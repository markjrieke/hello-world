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003ynch\Desktop\Siemens\"/>
    </mc:Choice>
  </mc:AlternateContent>
  <xr:revisionPtr revIDLastSave="0" documentId="13_ncr:1_{2D92AA0D-F2B9-4F12-8327-203E5C21B29C}" xr6:coauthVersionLast="46" xr6:coauthVersionMax="46" xr10:uidLastSave="{00000000-0000-0000-0000-000000000000}"/>
  <bookViews>
    <workbookView xWindow="-110" yWindow="-110" windowWidth="19420" windowHeight="10420" xr2:uid="{CD5EBB27-E660-49CA-AE2C-EB925640EA5B}"/>
  </bookViews>
  <sheets>
    <sheet name="Summary" sheetId="3" r:id="rId1"/>
    <sheet name="Tracker" sheetId="1" r:id="rId2"/>
    <sheet name="Projects" sheetId="2" r:id="rId3"/>
    <sheet name="Charge Codes" sheetId="8" r:id="rId4"/>
    <sheet name="Week Selection" sheetId="4" state="hidden" r:id="rId5"/>
    <sheet name="Report Out Chart" sheetId="7" state="hidden" r:id="rId6"/>
    <sheet name="2021 Holiday Schedule" sheetId="9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3" l="1"/>
  <c r="B24" i="3"/>
  <c r="B21" i="3"/>
  <c r="E62" i="3" l="1"/>
  <c r="J3" i="1"/>
  <c r="I3" i="1"/>
  <c r="H3" i="1"/>
  <c r="G3" i="1"/>
  <c r="E61" i="3" l="1"/>
  <c r="B23" i="3"/>
  <c r="B22" i="3"/>
  <c r="D30" i="4" a="1"/>
  <c r="D30" i="4" s="1"/>
  <c r="H30" i="4" a="1"/>
  <c r="H30" i="4" s="1"/>
  <c r="E31" i="4" a="1"/>
  <c r="E31" i="4" s="1"/>
  <c r="F32" i="4" a="1"/>
  <c r="F32" i="4" s="1"/>
  <c r="G32" i="4" a="1"/>
  <c r="G32" i="4" s="1"/>
  <c r="H32" i="4" a="1"/>
  <c r="H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C39" i="4" a="1"/>
  <c r="C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M51" i="4" a="1"/>
  <c r="M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M52" i="4" a="1"/>
  <c r="M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M53" i="4" a="1"/>
  <c r="M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J54" i="4" a="1"/>
  <c r="J54" i="4" s="1"/>
  <c r="K54" i="4" a="1"/>
  <c r="K54" i="4" s="1"/>
  <c r="L54" i="4" a="1"/>
  <c r="L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J57" i="4" a="1"/>
  <c r="J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K59" i="4" a="1"/>
  <c r="K59" i="4" s="1"/>
  <c r="L59" i="4" a="1"/>
  <c r="L59" i="4" s="1"/>
  <c r="L3" i="4" a="1"/>
  <c r="L3" i="4" s="1"/>
  <c r="H3" i="4" a="1"/>
  <c r="H3" i="4" s="1"/>
  <c r="G3" i="4" a="1"/>
  <c r="G3" i="4" s="1"/>
  <c r="F3" i="4" a="1"/>
  <c r="F3" i="4" s="1"/>
  <c r="E3" i="4" a="1"/>
  <c r="E3" i="4" s="1"/>
  <c r="D3" i="4" a="1"/>
  <c r="D3" i="4" s="1"/>
  <c r="C3" i="4" a="1"/>
  <c r="C3" i="4" s="1"/>
  <c r="AB1" i="7"/>
  <c r="AA1" i="7"/>
  <c r="Z1" i="7"/>
  <c r="Y1" i="7"/>
  <c r="X1" i="7"/>
  <c r="M2" i="4"/>
  <c r="M3" i="4" s="1" a="1"/>
  <c r="M3" i="4" s="1"/>
  <c r="L2" i="4"/>
  <c r="L32" i="4" s="1" a="1"/>
  <c r="L32" i="4" s="1"/>
  <c r="K2" i="4"/>
  <c r="K46" i="4" s="1" a="1"/>
  <c r="K46" i="4" s="1"/>
  <c r="J2" i="4"/>
  <c r="J35" i="4" s="1" a="1"/>
  <c r="J35" i="4" s="1"/>
  <c r="I2" i="4"/>
  <c r="I33" i="4" s="1" a="1"/>
  <c r="I33" i="4" s="1"/>
  <c r="L1" i="7"/>
  <c r="K1" i="7"/>
  <c r="J1" i="7"/>
  <c r="I1" i="7"/>
  <c r="H1" i="7"/>
  <c r="I59" i="4" l="1" a="1"/>
  <c r="I59" i="4" s="1"/>
  <c r="I3" i="4" a="1"/>
  <c r="I3" i="4" s="1"/>
  <c r="I56" i="4" a="1"/>
  <c r="I56" i="4" s="1"/>
  <c r="I34" i="4" a="1"/>
  <c r="I34" i="4" s="1"/>
  <c r="I53" i="4" a="1"/>
  <c r="I53" i="4" s="1"/>
  <c r="I51" i="4" a="1"/>
  <c r="I51" i="4" s="1"/>
  <c r="I47" i="4" a="1"/>
  <c r="I47" i="4" s="1"/>
  <c r="I43" i="4" a="1"/>
  <c r="I43" i="4" s="1"/>
  <c r="I39" i="4" a="1"/>
  <c r="I39" i="4" s="1"/>
  <c r="I35" i="4" a="1"/>
  <c r="I35" i="4" s="1"/>
  <c r="I31" i="4" a="1"/>
  <c r="I31" i="4" s="1"/>
  <c r="I50" i="4" a="1"/>
  <c r="I50" i="4" s="1"/>
  <c r="I42" i="4" a="1"/>
  <c r="I42" i="4" s="1"/>
  <c r="I57" i="4" a="1"/>
  <c r="I57" i="4" s="1"/>
  <c r="I52" i="4" a="1"/>
  <c r="I52" i="4" s="1"/>
  <c r="I48" i="4" a="1"/>
  <c r="I48" i="4" s="1"/>
  <c r="I44" i="4" a="1"/>
  <c r="I44" i="4" s="1"/>
  <c r="I40" i="4" a="1"/>
  <c r="I40" i="4" s="1"/>
  <c r="I36" i="4" a="1"/>
  <c r="I36" i="4" s="1"/>
  <c r="I46" i="4" a="1"/>
  <c r="I46" i="4" s="1"/>
  <c r="I38" i="4" a="1"/>
  <c r="I38" i="4" s="1"/>
  <c r="I54" i="4" a="1"/>
  <c r="I54" i="4" s="1"/>
  <c r="I55" i="4" a="1"/>
  <c r="I55" i="4" s="1"/>
  <c r="I49" i="4" a="1"/>
  <c r="I49" i="4" s="1"/>
  <c r="I45" i="4" a="1"/>
  <c r="I45" i="4" s="1"/>
  <c r="I41" i="4" a="1"/>
  <c r="I41" i="4" s="1"/>
  <c r="I37" i="4" a="1"/>
  <c r="I37" i="4" s="1"/>
  <c r="M50" i="4" a="1"/>
  <c r="M50" i="4" s="1"/>
  <c r="M47" i="4" a="1"/>
  <c r="M47" i="4" s="1"/>
  <c r="M43" i="4" a="1"/>
  <c r="M43" i="4" s="1"/>
  <c r="M39" i="4" a="1"/>
  <c r="M39" i="4" s="1"/>
  <c r="M35" i="4" a="1"/>
  <c r="M35" i="4" s="1"/>
  <c r="M56" i="4" a="1"/>
  <c r="M56" i="4" s="1"/>
  <c r="M49" i="4" a="1"/>
  <c r="M49" i="4" s="1"/>
  <c r="M45" i="4" a="1"/>
  <c r="M45" i="4" s="1"/>
  <c r="M41" i="4" a="1"/>
  <c r="M41" i="4" s="1"/>
  <c r="M37" i="4" a="1"/>
  <c r="M37" i="4" s="1"/>
  <c r="M33" i="4" a="1"/>
  <c r="M33" i="4" s="1"/>
  <c r="M32" i="4" a="1"/>
  <c r="M32" i="4" s="1"/>
  <c r="M46" i="4" a="1"/>
  <c r="M46" i="4" s="1"/>
  <c r="M42" i="4" a="1"/>
  <c r="M42" i="4" s="1"/>
  <c r="M38" i="4" a="1"/>
  <c r="M38" i="4" s="1"/>
  <c r="M34" i="4" a="1"/>
  <c r="M34" i="4" s="1"/>
  <c r="M57" i="4" a="1"/>
  <c r="M57" i="4" s="1"/>
  <c r="M48" i="4" a="1"/>
  <c r="M48" i="4" s="1"/>
  <c r="M44" i="4" a="1"/>
  <c r="M44" i="4" s="1"/>
  <c r="M40" i="4" a="1"/>
  <c r="M40" i="4" s="1"/>
  <c r="M36" i="4" a="1"/>
  <c r="M36" i="4" s="1"/>
  <c r="M59" i="4" a="1"/>
  <c r="M59" i="4" s="1"/>
  <c r="M55" i="4" a="1"/>
  <c r="M55" i="4" s="1"/>
  <c r="M31" i="4" a="1"/>
  <c r="M31" i="4" s="1"/>
  <c r="M54" i="4" a="1"/>
  <c r="M54" i="4" s="1"/>
  <c r="M58" i="4" a="1"/>
  <c r="M58" i="4" s="1"/>
  <c r="L52" i="4" a="1"/>
  <c r="L52" i="4" s="1"/>
  <c r="L43" i="4" a="1"/>
  <c r="L43" i="4" s="1"/>
  <c r="L57" i="4" a="1"/>
  <c r="L57" i="4" s="1"/>
  <c r="L51" i="4" a="1"/>
  <c r="L51" i="4" s="1"/>
  <c r="L58" i="4" a="1"/>
  <c r="L58" i="4" s="1"/>
  <c r="L49" i="4" a="1"/>
  <c r="L49" i="4" s="1"/>
  <c r="L55" i="4" a="1"/>
  <c r="L55" i="4" s="1"/>
  <c r="L53" i="4" a="1"/>
  <c r="L53" i="4" s="1"/>
  <c r="L47" i="4" a="1"/>
  <c r="L47" i="4" s="1"/>
  <c r="L39" i="4" a="1"/>
  <c r="L39" i="4" s="1"/>
  <c r="L35" i="4" a="1"/>
  <c r="L35" i="4" s="1"/>
  <c r="L56" i="4" a="1"/>
  <c r="L56" i="4" s="1"/>
  <c r="L50" i="4" a="1"/>
  <c r="L50" i="4" s="1"/>
  <c r="L46" i="4" a="1"/>
  <c r="L46" i="4" s="1"/>
  <c r="L42" i="4" a="1"/>
  <c r="L42" i="4" s="1"/>
  <c r="L38" i="4" a="1"/>
  <c r="L38" i="4" s="1"/>
  <c r="L34" i="4" a="1"/>
  <c r="L34" i="4" s="1"/>
  <c r="L45" i="4" a="1"/>
  <c r="L45" i="4" s="1"/>
  <c r="L41" i="4" a="1"/>
  <c r="L41" i="4" s="1"/>
  <c r="L37" i="4" a="1"/>
  <c r="L37" i="4" s="1"/>
  <c r="L33" i="4" a="1"/>
  <c r="L33" i="4" s="1"/>
  <c r="L30" i="4" a="1"/>
  <c r="L30" i="4" s="1"/>
  <c r="L48" i="4" a="1"/>
  <c r="L48" i="4" s="1"/>
  <c r="L44" i="4" a="1"/>
  <c r="L44" i="4" s="1"/>
  <c r="L40" i="4" a="1"/>
  <c r="L40" i="4" s="1"/>
  <c r="L36" i="4" a="1"/>
  <c r="L36" i="4" s="1"/>
  <c r="K44" i="4" a="1"/>
  <c r="K44" i="4" s="1"/>
  <c r="K40" i="4" a="1"/>
  <c r="K40" i="4" s="1"/>
  <c r="K38" i="4" a="1"/>
  <c r="K38" i="4" s="1"/>
  <c r="K36" i="4" a="1"/>
  <c r="K36" i="4" s="1"/>
  <c r="K34" i="4" a="1"/>
  <c r="K34" i="4" s="1"/>
  <c r="K32" i="4" a="1"/>
  <c r="K32" i="4" s="1"/>
  <c r="K55" i="4" a="1"/>
  <c r="K55" i="4" s="1"/>
  <c r="K42" i="4" a="1"/>
  <c r="K42" i="4" s="1"/>
  <c r="K3" i="4" a="1"/>
  <c r="K3" i="4" s="1"/>
  <c r="K53" i="4" a="1"/>
  <c r="K53" i="4" s="1"/>
  <c r="K51" i="4" a="1"/>
  <c r="K51" i="4" s="1"/>
  <c r="K49" i="4" a="1"/>
  <c r="K49" i="4" s="1"/>
  <c r="K47" i="4" a="1"/>
  <c r="K47" i="4" s="1"/>
  <c r="K43" i="4" a="1"/>
  <c r="K43" i="4" s="1"/>
  <c r="K41" i="4" a="1"/>
  <c r="K41" i="4" s="1"/>
  <c r="K39" i="4" a="1"/>
  <c r="K39" i="4" s="1"/>
  <c r="K37" i="4" a="1"/>
  <c r="K37" i="4" s="1"/>
  <c r="K35" i="4" a="1"/>
  <c r="K35" i="4" s="1"/>
  <c r="Q35" i="4" s="1"/>
  <c r="K33" i="4" a="1"/>
  <c r="K33" i="4" s="1"/>
  <c r="K56" i="4" a="1"/>
  <c r="K56" i="4" s="1"/>
  <c r="K45" i="4" a="1"/>
  <c r="K45" i="4" s="1"/>
  <c r="K57" i="4" a="1"/>
  <c r="K57" i="4" s="1"/>
  <c r="P57" i="4" s="1"/>
  <c r="K52" i="4" a="1"/>
  <c r="K52" i="4" s="1"/>
  <c r="K50" i="4" a="1"/>
  <c r="K50" i="4" s="1"/>
  <c r="K48" i="4" a="1"/>
  <c r="K48" i="4" s="1"/>
  <c r="J53" i="4" a="1"/>
  <c r="J53" i="4" s="1"/>
  <c r="J49" i="4" a="1"/>
  <c r="J49" i="4" s="1"/>
  <c r="J44" i="4" a="1"/>
  <c r="J44" i="4" s="1"/>
  <c r="J40" i="4" a="1"/>
  <c r="J40" i="4" s="1"/>
  <c r="J36" i="4" a="1"/>
  <c r="J36" i="4" s="1"/>
  <c r="J32" i="4" a="1"/>
  <c r="J32" i="4" s="1"/>
  <c r="J50" i="4" a="1"/>
  <c r="J50" i="4" s="1"/>
  <c r="J46" i="4" a="1"/>
  <c r="J46" i="4" s="1"/>
  <c r="J45" i="4" a="1"/>
  <c r="J45" i="4" s="1"/>
  <c r="J41" i="4" a="1"/>
  <c r="J41" i="4" s="1"/>
  <c r="J37" i="4" a="1"/>
  <c r="J37" i="4" s="1"/>
  <c r="J33" i="4" a="1"/>
  <c r="J33" i="4" s="1"/>
  <c r="J59" i="4" a="1"/>
  <c r="J59" i="4" s="1"/>
  <c r="J55" i="4" a="1"/>
  <c r="J55" i="4" s="1"/>
  <c r="J51" i="4" a="1"/>
  <c r="J51" i="4" s="1"/>
  <c r="J47" i="4" a="1"/>
  <c r="J47" i="4" s="1"/>
  <c r="J42" i="4" a="1"/>
  <c r="J42" i="4" s="1"/>
  <c r="Q42" i="4" s="1"/>
  <c r="J38" i="4" a="1"/>
  <c r="J38" i="4" s="1"/>
  <c r="J34" i="4" a="1"/>
  <c r="J34" i="4" s="1"/>
  <c r="J3" i="4" a="1"/>
  <c r="J3" i="4" s="1"/>
  <c r="Q3" i="4" s="1"/>
  <c r="J56" i="4" a="1"/>
  <c r="J56" i="4" s="1"/>
  <c r="J52" i="4" a="1"/>
  <c r="J52" i="4" s="1"/>
  <c r="J48" i="4" a="1"/>
  <c r="J48" i="4" s="1"/>
  <c r="J43" i="4" a="1"/>
  <c r="J43" i="4" s="1"/>
  <c r="J39" i="4" a="1"/>
  <c r="J39" i="4" s="1"/>
  <c r="O39" i="4" s="1"/>
  <c r="C4" i="4" a="1"/>
  <c r="C4" i="4" s="1"/>
  <c r="G4" i="4" a="1"/>
  <c r="G4" i="4" s="1"/>
  <c r="K4" i="4" a="1"/>
  <c r="K4" i="4" s="1"/>
  <c r="D5" i="4" a="1"/>
  <c r="D5" i="4" s="1"/>
  <c r="H5" i="4" a="1"/>
  <c r="H5" i="4" s="1"/>
  <c r="L5" i="4" a="1"/>
  <c r="L5" i="4" s="1"/>
  <c r="E6" i="4" a="1"/>
  <c r="E6" i="4" s="1"/>
  <c r="I6" i="4" a="1"/>
  <c r="I6" i="4" s="1"/>
  <c r="M6" i="4" a="1"/>
  <c r="M6" i="4" s="1"/>
  <c r="F7" i="4" a="1"/>
  <c r="F7" i="4" s="1"/>
  <c r="J7" i="4" a="1"/>
  <c r="J7" i="4" s="1"/>
  <c r="C8" i="4" a="1"/>
  <c r="C8" i="4" s="1"/>
  <c r="G8" i="4" a="1"/>
  <c r="G8" i="4" s="1"/>
  <c r="K8" i="4" a="1"/>
  <c r="K8" i="4" s="1"/>
  <c r="D9" i="4" a="1"/>
  <c r="D9" i="4" s="1"/>
  <c r="H9" i="4" a="1"/>
  <c r="H9" i="4" s="1"/>
  <c r="L9" i="4" a="1"/>
  <c r="L9" i="4" s="1"/>
  <c r="E10" i="4" a="1"/>
  <c r="E10" i="4" s="1"/>
  <c r="L10" i="4" a="1"/>
  <c r="L10" i="4" s="1"/>
  <c r="E11" i="4" a="1"/>
  <c r="E11" i="4" s="1"/>
  <c r="I11" i="4" a="1"/>
  <c r="I11" i="4" s="1"/>
  <c r="M11" i="4" a="1"/>
  <c r="M11" i="4" s="1"/>
  <c r="F12" i="4" a="1"/>
  <c r="F12" i="4" s="1"/>
  <c r="J12" i="4" a="1"/>
  <c r="J12" i="4" s="1"/>
  <c r="C13" i="4" a="1"/>
  <c r="C13" i="4" s="1"/>
  <c r="G13" i="4" a="1"/>
  <c r="G13" i="4" s="1"/>
  <c r="K13" i="4" a="1"/>
  <c r="K13" i="4" s="1"/>
  <c r="D14" i="4" a="1"/>
  <c r="D14" i="4" s="1"/>
  <c r="H14" i="4" a="1"/>
  <c r="H14" i="4" s="1"/>
  <c r="L14" i="4" a="1"/>
  <c r="L14" i="4" s="1"/>
  <c r="E15" i="4" a="1"/>
  <c r="E15" i="4" s="1"/>
  <c r="I15" i="4" a="1"/>
  <c r="I15" i="4" s="1"/>
  <c r="M15" i="4" a="1"/>
  <c r="M15" i="4" s="1"/>
  <c r="F16" i="4" a="1"/>
  <c r="F16" i="4" s="1"/>
  <c r="J16" i="4" a="1"/>
  <c r="J16" i="4" s="1"/>
  <c r="C17" i="4" a="1"/>
  <c r="C17" i="4" s="1"/>
  <c r="G17" i="4" a="1"/>
  <c r="G17" i="4" s="1"/>
  <c r="K17" i="4" a="1"/>
  <c r="K17" i="4" s="1"/>
  <c r="D18" i="4" a="1"/>
  <c r="D18" i="4" s="1"/>
  <c r="H18" i="4" a="1"/>
  <c r="H18" i="4" s="1"/>
  <c r="L18" i="4" a="1"/>
  <c r="L18" i="4" s="1"/>
  <c r="E19" i="4" a="1"/>
  <c r="E19" i="4" s="1"/>
  <c r="I19" i="4" a="1"/>
  <c r="I19" i="4" s="1"/>
  <c r="M19" i="4" a="1"/>
  <c r="M19" i="4" s="1"/>
  <c r="F20" i="4" a="1"/>
  <c r="F20" i="4" s="1"/>
  <c r="J20" i="4" a="1"/>
  <c r="J20" i="4" s="1"/>
  <c r="C21" i="4" a="1"/>
  <c r="C21" i="4" s="1"/>
  <c r="G21" i="4" a="1"/>
  <c r="G21" i="4" s="1"/>
  <c r="K21" i="4" a="1"/>
  <c r="K21" i="4" s="1"/>
  <c r="D22" i="4" a="1"/>
  <c r="D22" i="4" s="1"/>
  <c r="H22" i="4" a="1"/>
  <c r="H22" i="4" s="1"/>
  <c r="L22" i="4" a="1"/>
  <c r="L22" i="4" s="1"/>
  <c r="E23" i="4" a="1"/>
  <c r="E23" i="4" s="1"/>
  <c r="I23" i="4" a="1"/>
  <c r="I23" i="4" s="1"/>
  <c r="M23" i="4" a="1"/>
  <c r="M23" i="4" s="1"/>
  <c r="E24" i="4" a="1"/>
  <c r="E24" i="4" s="1"/>
  <c r="I24" i="4" a="1"/>
  <c r="I24" i="4" s="1"/>
  <c r="M24" i="4" a="1"/>
  <c r="M24" i="4" s="1"/>
  <c r="F25" i="4" a="1"/>
  <c r="F25" i="4" s="1"/>
  <c r="J25" i="4" a="1"/>
  <c r="J25" i="4" s="1"/>
  <c r="C26" i="4" a="1"/>
  <c r="C26" i="4" s="1"/>
  <c r="G26" i="4" a="1"/>
  <c r="G26" i="4" s="1"/>
  <c r="K26" i="4" a="1"/>
  <c r="K26" i="4" s="1"/>
  <c r="D27" i="4" a="1"/>
  <c r="D27" i="4" s="1"/>
  <c r="H27" i="4" a="1"/>
  <c r="H27" i="4" s="1"/>
  <c r="L27" i="4" a="1"/>
  <c r="L27" i="4" s="1"/>
  <c r="E28" i="4" a="1"/>
  <c r="E28" i="4" s="1"/>
  <c r="I28" i="4" a="1"/>
  <c r="I28" i="4" s="1"/>
  <c r="M28" i="4" a="1"/>
  <c r="M28" i="4" s="1"/>
  <c r="F29" i="4" a="1"/>
  <c r="F29" i="4" s="1"/>
  <c r="J29" i="4" a="1"/>
  <c r="J29" i="4" s="1"/>
  <c r="C30" i="4" a="1"/>
  <c r="C30" i="4" s="1"/>
  <c r="G30" i="4" a="1"/>
  <c r="G30" i="4" s="1"/>
  <c r="K30" i="4" a="1"/>
  <c r="K30" i="4" s="1"/>
  <c r="D31" i="4" a="1"/>
  <c r="D31" i="4" s="1"/>
  <c r="H31" i="4" a="1"/>
  <c r="H31" i="4" s="1"/>
  <c r="L31" i="4" a="1"/>
  <c r="L31" i="4" s="1"/>
  <c r="E32" i="4" a="1"/>
  <c r="E32" i="4" s="1"/>
  <c r="I32" i="4" a="1"/>
  <c r="I32" i="4" s="1"/>
  <c r="D4" i="4" a="1"/>
  <c r="D4" i="4" s="1"/>
  <c r="H4" i="4" a="1"/>
  <c r="H4" i="4" s="1"/>
  <c r="L4" i="4" a="1"/>
  <c r="L4" i="4" s="1"/>
  <c r="E5" i="4" a="1"/>
  <c r="E5" i="4" s="1"/>
  <c r="I5" i="4" a="1"/>
  <c r="I5" i="4" s="1"/>
  <c r="M5" i="4" a="1"/>
  <c r="M5" i="4" s="1"/>
  <c r="F6" i="4" a="1"/>
  <c r="F6" i="4" s="1"/>
  <c r="J6" i="4" a="1"/>
  <c r="J6" i="4" s="1"/>
  <c r="C7" i="4" a="1"/>
  <c r="C7" i="4" s="1"/>
  <c r="G7" i="4" a="1"/>
  <c r="G7" i="4" s="1"/>
  <c r="K7" i="4" a="1"/>
  <c r="K7" i="4" s="1"/>
  <c r="D8" i="4" a="1"/>
  <c r="D8" i="4" s="1"/>
  <c r="H8" i="4" a="1"/>
  <c r="H8" i="4" s="1"/>
  <c r="L8" i="4" a="1"/>
  <c r="L8" i="4" s="1"/>
  <c r="E9" i="4" a="1"/>
  <c r="E9" i="4" s="1"/>
  <c r="I9" i="4" a="1"/>
  <c r="I9" i="4" s="1"/>
  <c r="M9" i="4" a="1"/>
  <c r="M9" i="4" s="1"/>
  <c r="F10" i="4" a="1"/>
  <c r="F10" i="4" s="1"/>
  <c r="I10" i="4" a="1"/>
  <c r="I10" i="4" s="1"/>
  <c r="M10" i="4" a="1"/>
  <c r="M10" i="4" s="1"/>
  <c r="F11" i="4" a="1"/>
  <c r="F11" i="4" s="1"/>
  <c r="J11" i="4" a="1"/>
  <c r="J11" i="4" s="1"/>
  <c r="C12" i="4" a="1"/>
  <c r="C12" i="4" s="1"/>
  <c r="G12" i="4" a="1"/>
  <c r="G12" i="4" s="1"/>
  <c r="K12" i="4" a="1"/>
  <c r="K12" i="4" s="1"/>
  <c r="D13" i="4" a="1"/>
  <c r="D13" i="4" s="1"/>
  <c r="H13" i="4" a="1"/>
  <c r="H13" i="4" s="1"/>
  <c r="L13" i="4" a="1"/>
  <c r="L13" i="4" s="1"/>
  <c r="E14" i="4" a="1"/>
  <c r="E14" i="4" s="1"/>
  <c r="I14" i="4" a="1"/>
  <c r="I14" i="4" s="1"/>
  <c r="M14" i="4" a="1"/>
  <c r="M14" i="4" s="1"/>
  <c r="F15" i="4" a="1"/>
  <c r="F15" i="4" s="1"/>
  <c r="J15" i="4" a="1"/>
  <c r="J15" i="4" s="1"/>
  <c r="C16" i="4" a="1"/>
  <c r="C16" i="4" s="1"/>
  <c r="G16" i="4" a="1"/>
  <c r="G16" i="4" s="1"/>
  <c r="K16" i="4" a="1"/>
  <c r="K16" i="4" s="1"/>
  <c r="D17" i="4" a="1"/>
  <c r="D17" i="4" s="1"/>
  <c r="H17" i="4" a="1"/>
  <c r="H17" i="4" s="1"/>
  <c r="L17" i="4" a="1"/>
  <c r="L17" i="4" s="1"/>
  <c r="E18" i="4" a="1"/>
  <c r="E18" i="4" s="1"/>
  <c r="I18" i="4" a="1"/>
  <c r="I18" i="4" s="1"/>
  <c r="M18" i="4" a="1"/>
  <c r="M18" i="4" s="1"/>
  <c r="F19" i="4" a="1"/>
  <c r="F19" i="4" s="1"/>
  <c r="J19" i="4" a="1"/>
  <c r="J19" i="4" s="1"/>
  <c r="C20" i="4" a="1"/>
  <c r="C20" i="4" s="1"/>
  <c r="G20" i="4" a="1"/>
  <c r="G20" i="4" s="1"/>
  <c r="K20" i="4" a="1"/>
  <c r="K20" i="4" s="1"/>
  <c r="D21" i="4" a="1"/>
  <c r="D21" i="4" s="1"/>
  <c r="H21" i="4" a="1"/>
  <c r="H21" i="4" s="1"/>
  <c r="L21" i="4" a="1"/>
  <c r="L21" i="4" s="1"/>
  <c r="E22" i="4" a="1"/>
  <c r="E22" i="4" s="1"/>
  <c r="I22" i="4" a="1"/>
  <c r="I22" i="4" s="1"/>
  <c r="M22" i="4" a="1"/>
  <c r="M22" i="4" s="1"/>
  <c r="F23" i="4" a="1"/>
  <c r="F23" i="4" s="1"/>
  <c r="J23" i="4" a="1"/>
  <c r="J23" i="4" s="1"/>
  <c r="C24" i="4" a="1"/>
  <c r="C24" i="4" s="1"/>
  <c r="F24" i="4" a="1"/>
  <c r="F24" i="4" s="1"/>
  <c r="J24" i="4" a="1"/>
  <c r="J24" i="4" s="1"/>
  <c r="C25" i="4" a="1"/>
  <c r="C25" i="4" s="1"/>
  <c r="G25" i="4" a="1"/>
  <c r="G25" i="4" s="1"/>
  <c r="K25" i="4" a="1"/>
  <c r="K25" i="4" s="1"/>
  <c r="D26" i="4" a="1"/>
  <c r="D26" i="4" s="1"/>
  <c r="H26" i="4" a="1"/>
  <c r="H26" i="4" s="1"/>
  <c r="L26" i="4" a="1"/>
  <c r="L26" i="4" s="1"/>
  <c r="E27" i="4" a="1"/>
  <c r="E27" i="4" s="1"/>
  <c r="I27" i="4" a="1"/>
  <c r="I27" i="4" s="1"/>
  <c r="M27" i="4" a="1"/>
  <c r="M27" i="4" s="1"/>
  <c r="F28" i="4" a="1"/>
  <c r="F28" i="4" s="1"/>
  <c r="J28" i="4" a="1"/>
  <c r="J28" i="4" s="1"/>
  <c r="C29" i="4" a="1"/>
  <c r="C29" i="4" s="1"/>
  <c r="G29" i="4" a="1"/>
  <c r="G29" i="4" s="1"/>
  <c r="K29" i="4" a="1"/>
  <c r="K29" i="4" s="1"/>
  <c r="E4" i="4" a="1"/>
  <c r="E4" i="4" s="1"/>
  <c r="I4" i="4" a="1"/>
  <c r="I4" i="4" s="1"/>
  <c r="M4" i="4" a="1"/>
  <c r="M4" i="4" s="1"/>
  <c r="F5" i="4" a="1"/>
  <c r="F5" i="4" s="1"/>
  <c r="J5" i="4" a="1"/>
  <c r="J5" i="4" s="1"/>
  <c r="C6" i="4" a="1"/>
  <c r="C6" i="4" s="1"/>
  <c r="G6" i="4" a="1"/>
  <c r="G6" i="4" s="1"/>
  <c r="K6" i="4" a="1"/>
  <c r="K6" i="4" s="1"/>
  <c r="D7" i="4" a="1"/>
  <c r="D7" i="4" s="1"/>
  <c r="H7" i="4" a="1"/>
  <c r="H7" i="4" s="1"/>
  <c r="L7" i="4" a="1"/>
  <c r="L7" i="4" s="1"/>
  <c r="E8" i="4" a="1"/>
  <c r="E8" i="4" s="1"/>
  <c r="I8" i="4" a="1"/>
  <c r="I8" i="4" s="1"/>
  <c r="M8" i="4" a="1"/>
  <c r="M8" i="4" s="1"/>
  <c r="F9" i="4" a="1"/>
  <c r="F9" i="4" s="1"/>
  <c r="J9" i="4" a="1"/>
  <c r="J9" i="4" s="1"/>
  <c r="C10" i="4" a="1"/>
  <c r="C10" i="4" s="1"/>
  <c r="G10" i="4" a="1"/>
  <c r="G10" i="4" s="1"/>
  <c r="J10" i="4" a="1"/>
  <c r="J10" i="4" s="1"/>
  <c r="C11" i="4" a="1"/>
  <c r="C11" i="4" s="1"/>
  <c r="G11" i="4" a="1"/>
  <c r="G11" i="4" s="1"/>
  <c r="K11" i="4" a="1"/>
  <c r="K11" i="4" s="1"/>
  <c r="D12" i="4" a="1"/>
  <c r="D12" i="4" s="1"/>
  <c r="H12" i="4" a="1"/>
  <c r="H12" i="4" s="1"/>
  <c r="L12" i="4" a="1"/>
  <c r="L12" i="4" s="1"/>
  <c r="E13" i="4" a="1"/>
  <c r="E13" i="4" s="1"/>
  <c r="I13" i="4" a="1"/>
  <c r="I13" i="4" s="1"/>
  <c r="M13" i="4" a="1"/>
  <c r="M13" i="4" s="1"/>
  <c r="F14" i="4" a="1"/>
  <c r="F14" i="4" s="1"/>
  <c r="J14" i="4" a="1"/>
  <c r="J14" i="4" s="1"/>
  <c r="C15" i="4" a="1"/>
  <c r="C15" i="4" s="1"/>
  <c r="G15" i="4" a="1"/>
  <c r="G15" i="4" s="1"/>
  <c r="K15" i="4" a="1"/>
  <c r="K15" i="4" s="1"/>
  <c r="D16" i="4" a="1"/>
  <c r="D16" i="4" s="1"/>
  <c r="H16" i="4" a="1"/>
  <c r="H16" i="4" s="1"/>
  <c r="L16" i="4" a="1"/>
  <c r="L16" i="4" s="1"/>
  <c r="E17" i="4" a="1"/>
  <c r="E17" i="4" s="1"/>
  <c r="I17" i="4" a="1"/>
  <c r="I17" i="4" s="1"/>
  <c r="M17" i="4" a="1"/>
  <c r="M17" i="4" s="1"/>
  <c r="F18" i="4" a="1"/>
  <c r="F18" i="4" s="1"/>
  <c r="J18" i="4" a="1"/>
  <c r="J18" i="4" s="1"/>
  <c r="C19" i="4" a="1"/>
  <c r="C19" i="4" s="1"/>
  <c r="G19" i="4" a="1"/>
  <c r="G19" i="4" s="1"/>
  <c r="K19" i="4" a="1"/>
  <c r="K19" i="4" s="1"/>
  <c r="D20" i="4" a="1"/>
  <c r="D20" i="4" s="1"/>
  <c r="H20" i="4" a="1"/>
  <c r="H20" i="4" s="1"/>
  <c r="L20" i="4" a="1"/>
  <c r="L20" i="4" s="1"/>
  <c r="E21" i="4" a="1"/>
  <c r="E21" i="4" s="1"/>
  <c r="I21" i="4" a="1"/>
  <c r="I21" i="4" s="1"/>
  <c r="M21" i="4" a="1"/>
  <c r="M21" i="4" s="1"/>
  <c r="F22" i="4" a="1"/>
  <c r="F22" i="4" s="1"/>
  <c r="J22" i="4" a="1"/>
  <c r="J22" i="4" s="1"/>
  <c r="C23" i="4" a="1"/>
  <c r="C23" i="4" s="1"/>
  <c r="G23" i="4" a="1"/>
  <c r="G23" i="4" s="1"/>
  <c r="K23" i="4" a="1"/>
  <c r="K23" i="4" s="1"/>
  <c r="G24" i="4" a="1"/>
  <c r="G24" i="4" s="1"/>
  <c r="K24" i="4" a="1"/>
  <c r="K24" i="4" s="1"/>
  <c r="D25" i="4" a="1"/>
  <c r="D25" i="4" s="1"/>
  <c r="H25" i="4" a="1"/>
  <c r="H25" i="4" s="1"/>
  <c r="L25" i="4" a="1"/>
  <c r="L25" i="4" s="1"/>
  <c r="E26" i="4" a="1"/>
  <c r="E26" i="4" s="1"/>
  <c r="I26" i="4" a="1"/>
  <c r="I26" i="4" s="1"/>
  <c r="M26" i="4" a="1"/>
  <c r="M26" i="4" s="1"/>
  <c r="F27" i="4" a="1"/>
  <c r="F27" i="4" s="1"/>
  <c r="J27" i="4" a="1"/>
  <c r="J27" i="4" s="1"/>
  <c r="C28" i="4" a="1"/>
  <c r="C28" i="4" s="1"/>
  <c r="G28" i="4" a="1"/>
  <c r="G28" i="4" s="1"/>
  <c r="K28" i="4" a="1"/>
  <c r="K28" i="4" s="1"/>
  <c r="D29" i="4" a="1"/>
  <c r="D29" i="4" s="1"/>
  <c r="H29" i="4" a="1"/>
  <c r="H29" i="4" s="1"/>
  <c r="L29" i="4" a="1"/>
  <c r="L29" i="4" s="1"/>
  <c r="E30" i="4" a="1"/>
  <c r="E30" i="4" s="1"/>
  <c r="I30" i="4" a="1"/>
  <c r="I30" i="4" s="1"/>
  <c r="M30" i="4" a="1"/>
  <c r="M30" i="4" s="1"/>
  <c r="F31" i="4" a="1"/>
  <c r="F31" i="4" s="1"/>
  <c r="J31" i="4" a="1"/>
  <c r="J31" i="4" s="1"/>
  <c r="C32" i="4" a="1"/>
  <c r="C32" i="4" s="1"/>
  <c r="F4" i="4" a="1"/>
  <c r="F4" i="4" s="1"/>
  <c r="J4" i="4" a="1"/>
  <c r="J4" i="4" s="1"/>
  <c r="C5" i="4" a="1"/>
  <c r="C5" i="4" s="1"/>
  <c r="G5" i="4" a="1"/>
  <c r="G5" i="4" s="1"/>
  <c r="K5" i="4" a="1"/>
  <c r="K5" i="4" s="1"/>
  <c r="D6" i="4" a="1"/>
  <c r="D6" i="4" s="1"/>
  <c r="H6" i="4" a="1"/>
  <c r="H6" i="4" s="1"/>
  <c r="L6" i="4" a="1"/>
  <c r="L6" i="4" s="1"/>
  <c r="E7" i="4" a="1"/>
  <c r="E7" i="4" s="1"/>
  <c r="I7" i="4" a="1"/>
  <c r="I7" i="4" s="1"/>
  <c r="M7" i="4" a="1"/>
  <c r="M7" i="4" s="1"/>
  <c r="F8" i="4" a="1"/>
  <c r="F8" i="4" s="1"/>
  <c r="J8" i="4" a="1"/>
  <c r="J8" i="4" s="1"/>
  <c r="C9" i="4" a="1"/>
  <c r="C9" i="4" s="1"/>
  <c r="G9" i="4" a="1"/>
  <c r="G9" i="4" s="1"/>
  <c r="K9" i="4" a="1"/>
  <c r="K9" i="4" s="1"/>
  <c r="D10" i="4" a="1"/>
  <c r="D10" i="4" s="1"/>
  <c r="H10" i="4" a="1"/>
  <c r="H10" i="4" s="1"/>
  <c r="K10" i="4" a="1"/>
  <c r="K10" i="4" s="1"/>
  <c r="D11" i="4" a="1"/>
  <c r="D11" i="4" s="1"/>
  <c r="H11" i="4" a="1"/>
  <c r="H11" i="4" s="1"/>
  <c r="L11" i="4" a="1"/>
  <c r="L11" i="4" s="1"/>
  <c r="E12" i="4" a="1"/>
  <c r="E12" i="4" s="1"/>
  <c r="I12" i="4" a="1"/>
  <c r="I12" i="4" s="1"/>
  <c r="M12" i="4" a="1"/>
  <c r="M12" i="4" s="1"/>
  <c r="F13" i="4" a="1"/>
  <c r="F13" i="4" s="1"/>
  <c r="J13" i="4" a="1"/>
  <c r="J13" i="4" s="1"/>
  <c r="C14" i="4" a="1"/>
  <c r="C14" i="4" s="1"/>
  <c r="G14" i="4" a="1"/>
  <c r="G14" i="4" s="1"/>
  <c r="K14" i="4" a="1"/>
  <c r="K14" i="4" s="1"/>
  <c r="D15" i="4" a="1"/>
  <c r="D15" i="4" s="1"/>
  <c r="H15" i="4" a="1"/>
  <c r="H15" i="4" s="1"/>
  <c r="L15" i="4" a="1"/>
  <c r="L15" i="4" s="1"/>
  <c r="E16" i="4" a="1"/>
  <c r="E16" i="4" s="1"/>
  <c r="I16" i="4" a="1"/>
  <c r="I16" i="4" s="1"/>
  <c r="M16" i="4" a="1"/>
  <c r="M16" i="4" s="1"/>
  <c r="F17" i="4" a="1"/>
  <c r="F17" i="4" s="1"/>
  <c r="J17" i="4" a="1"/>
  <c r="J17" i="4" s="1"/>
  <c r="C18" i="4" a="1"/>
  <c r="C18" i="4" s="1"/>
  <c r="G18" i="4" a="1"/>
  <c r="G18" i="4" s="1"/>
  <c r="K18" i="4" a="1"/>
  <c r="K18" i="4" s="1"/>
  <c r="D19" i="4" a="1"/>
  <c r="D19" i="4" s="1"/>
  <c r="H19" i="4" a="1"/>
  <c r="H19" i="4" s="1"/>
  <c r="L19" i="4" a="1"/>
  <c r="L19" i="4" s="1"/>
  <c r="E20" i="4" a="1"/>
  <c r="E20" i="4" s="1"/>
  <c r="I20" i="4" a="1"/>
  <c r="I20" i="4" s="1"/>
  <c r="M20" i="4" a="1"/>
  <c r="M20" i="4" s="1"/>
  <c r="F21" i="4" a="1"/>
  <c r="F21" i="4" s="1"/>
  <c r="J21" i="4" a="1"/>
  <c r="J21" i="4" s="1"/>
  <c r="C22" i="4" a="1"/>
  <c r="C22" i="4" s="1"/>
  <c r="G22" i="4" a="1"/>
  <c r="G22" i="4" s="1"/>
  <c r="K22" i="4" a="1"/>
  <c r="K22" i="4" s="1"/>
  <c r="D23" i="4" a="1"/>
  <c r="D23" i="4" s="1"/>
  <c r="H23" i="4" a="1"/>
  <c r="H23" i="4" s="1"/>
  <c r="L23" i="4" a="1"/>
  <c r="L23" i="4" s="1"/>
  <c r="D24" i="4" a="1"/>
  <c r="D24" i="4" s="1"/>
  <c r="H24" i="4" a="1"/>
  <c r="H24" i="4" s="1"/>
  <c r="L24" i="4" a="1"/>
  <c r="L24" i="4" s="1"/>
  <c r="E25" i="4" a="1"/>
  <c r="E25" i="4" s="1"/>
  <c r="I25" i="4" a="1"/>
  <c r="I25" i="4" s="1"/>
  <c r="M25" i="4" a="1"/>
  <c r="M25" i="4" s="1"/>
  <c r="F26" i="4" a="1"/>
  <c r="F26" i="4" s="1"/>
  <c r="J26" i="4" a="1"/>
  <c r="J26" i="4" s="1"/>
  <c r="C27" i="4" a="1"/>
  <c r="C27" i="4" s="1"/>
  <c r="G27" i="4" a="1"/>
  <c r="G27" i="4" s="1"/>
  <c r="K27" i="4" a="1"/>
  <c r="K27" i="4" s="1"/>
  <c r="D28" i="4" a="1"/>
  <c r="D28" i="4" s="1"/>
  <c r="H28" i="4" a="1"/>
  <c r="H28" i="4" s="1"/>
  <c r="L28" i="4" a="1"/>
  <c r="L28" i="4" s="1"/>
  <c r="E29" i="4" a="1"/>
  <c r="E29" i="4" s="1"/>
  <c r="I29" i="4" a="1"/>
  <c r="I29" i="4" s="1"/>
  <c r="M29" i="4" a="1"/>
  <c r="M29" i="4" s="1"/>
  <c r="F30" i="4" a="1"/>
  <c r="F30" i="4" s="1"/>
  <c r="J30" i="4" a="1"/>
  <c r="J30" i="4" s="1"/>
  <c r="C31" i="4" a="1"/>
  <c r="C31" i="4" s="1"/>
  <c r="G31" i="4" a="1"/>
  <c r="G31" i="4" s="1"/>
  <c r="K31" i="4" a="1"/>
  <c r="K31" i="4" s="1"/>
  <c r="D32" i="4" a="1"/>
  <c r="D32" i="4" s="1"/>
  <c r="O41" i="4"/>
  <c r="O37" i="4"/>
  <c r="P59" i="4"/>
  <c r="O53" i="4"/>
  <c r="P41" i="4"/>
  <c r="O40" i="4"/>
  <c r="P37" i="4"/>
  <c r="P38" i="4"/>
  <c r="Q37" i="4"/>
  <c r="O49" i="4"/>
  <c r="O38" i="4"/>
  <c r="O57" i="4"/>
  <c r="O59" i="4"/>
  <c r="Q54" i="4"/>
  <c r="Q58" i="4"/>
  <c r="P55" i="4"/>
  <c r="P58" i="4"/>
  <c r="P3" i="4"/>
  <c r="Q59" i="4"/>
  <c r="O58" i="4"/>
  <c r="Q51" i="4"/>
  <c r="O48" i="4"/>
  <c r="P47" i="4"/>
  <c r="P45" i="4"/>
  <c r="Q57" i="4"/>
  <c r="O55" i="4"/>
  <c r="P54" i="4"/>
  <c r="P53" i="4"/>
  <c r="P49" i="4"/>
  <c r="O45" i="4"/>
  <c r="Q45" i="4"/>
  <c r="Q41" i="4"/>
  <c r="O35" i="4"/>
  <c r="Q55" i="4"/>
  <c r="P50" i="4"/>
  <c r="O47" i="4"/>
  <c r="P46" i="4"/>
  <c r="P44" i="4"/>
  <c r="Q38" i="4"/>
  <c r="Q34" i="4"/>
  <c r="Q53" i="4"/>
  <c r="Q52" i="4"/>
  <c r="O51" i="4"/>
  <c r="Q50" i="4"/>
  <c r="Q46" i="4"/>
  <c r="O44" i="4"/>
  <c r="Q44" i="4"/>
  <c r="P43" i="4"/>
  <c r="P40" i="4"/>
  <c r="Q36" i="4"/>
  <c r="P35" i="4"/>
  <c r="O34" i="4"/>
  <c r="Q49" i="4" l="1"/>
  <c r="O46" i="4"/>
  <c r="Q56" i="4"/>
  <c r="P42" i="4"/>
  <c r="Q40" i="4"/>
  <c r="P36" i="4"/>
  <c r="O36" i="4"/>
  <c r="O54" i="4"/>
  <c r="Q39" i="4"/>
  <c r="O42" i="4"/>
  <c r="P39" i="4"/>
  <c r="P52" i="4"/>
  <c r="O52" i="4"/>
  <c r="P33" i="4"/>
  <c r="O8" i="4"/>
  <c r="Q33" i="4"/>
  <c r="O33" i="4"/>
  <c r="Q47" i="4"/>
  <c r="Q32" i="4"/>
  <c r="Q43" i="4"/>
  <c r="O21" i="4"/>
  <c r="P34" i="4"/>
  <c r="O5" i="4"/>
  <c r="P12" i="4"/>
  <c r="P8" i="4"/>
  <c r="Q8" i="4"/>
  <c r="P9" i="4"/>
  <c r="Q7" i="4"/>
  <c r="P51" i="4"/>
  <c r="O50" i="4"/>
  <c r="P56" i="4"/>
  <c r="O17" i="4"/>
  <c r="O56" i="4"/>
  <c r="O12" i="4"/>
  <c r="O11" i="4"/>
  <c r="Q12" i="4"/>
  <c r="P5" i="4"/>
  <c r="P18" i="4"/>
  <c r="P21" i="4"/>
  <c r="O23" i="4"/>
  <c r="P15" i="4"/>
  <c r="Q15" i="4"/>
  <c r="O15" i="4"/>
  <c r="Q30" i="4"/>
  <c r="P24" i="4"/>
  <c r="P17" i="4"/>
  <c r="P22" i="4"/>
  <c r="Q23" i="4"/>
  <c r="Q22" i="4"/>
  <c r="P20" i="4"/>
  <c r="P7" i="4"/>
  <c r="O24" i="4"/>
  <c r="P25" i="4"/>
  <c r="Q21" i="4"/>
  <c r="P14" i="4"/>
  <c r="P11" i="4"/>
  <c r="Q6" i="4"/>
  <c r="O22" i="4"/>
  <c r="P23" i="4"/>
  <c r="Q20" i="4"/>
  <c r="O30" i="4"/>
  <c r="Q17" i="4"/>
  <c r="Q25" i="4"/>
  <c r="P30" i="4"/>
  <c r="Q24" i="4"/>
  <c r="Q11" i="4"/>
  <c r="O20" i="4"/>
  <c r="O26" i="4"/>
  <c r="P13" i="4"/>
  <c r="Q10" i="4"/>
  <c r="Q9" i="4"/>
  <c r="O6" i="4"/>
  <c r="P4" i="4"/>
  <c r="Q48" i="4"/>
  <c r="O19" i="4"/>
  <c r="O7" i="4"/>
  <c r="O4" i="4"/>
  <c r="Q4" i="4"/>
  <c r="P10" i="4"/>
  <c r="P48" i="4"/>
  <c r="O14" i="4"/>
  <c r="Q14" i="4"/>
  <c r="O10" i="4"/>
  <c r="P6" i="4"/>
  <c r="O29" i="4"/>
  <c r="Q27" i="4"/>
  <c r="O27" i="4"/>
  <c r="O18" i="4"/>
  <c r="Q5" i="4"/>
  <c r="P16" i="4"/>
  <c r="P26" i="4"/>
  <c r="Q18" i="4"/>
  <c r="O3" i="4"/>
  <c r="Q16" i="4"/>
  <c r="Q13" i="4"/>
  <c r="O43" i="4"/>
  <c r="P19" i="4"/>
  <c r="O16" i="4"/>
  <c r="O9" i="4"/>
  <c r="O13" i="4"/>
  <c r="Q19" i="4"/>
  <c r="Q26" i="4"/>
  <c r="P29" i="4"/>
  <c r="O32" i="4"/>
  <c r="O25" i="4"/>
  <c r="P32" i="4"/>
  <c r="P27" i="4"/>
  <c r="O31" i="4"/>
  <c r="Q28" i="4"/>
  <c r="Q29" i="4"/>
  <c r="O28" i="4"/>
  <c r="P28" i="4"/>
  <c r="P31" i="4"/>
  <c r="Q31" i="4"/>
  <c r="E60" i="3" l="1"/>
  <c r="E59" i="3" l="1"/>
  <c r="G27" i="3" l="1" a="1"/>
  <c r="G27" i="3" s="1"/>
  <c r="Q27" i="3" l="1" a="1"/>
  <c r="Q27" i="3" s="1"/>
  <c r="P27" i="3" a="1"/>
  <c r="P27" i="3" s="1"/>
  <c r="E58" i="3"/>
  <c r="L2" i="7"/>
  <c r="AB2" i="7" s="1"/>
  <c r="D2" i="7"/>
  <c r="T2" i="7" s="1"/>
  <c r="E2" i="7"/>
  <c r="U2" i="7" s="1"/>
  <c r="F2" i="7"/>
  <c r="V2" i="7" s="1"/>
  <c r="G2" i="7"/>
  <c r="W2" i="7" s="1"/>
  <c r="H2" i="7"/>
  <c r="X2" i="7" s="1"/>
  <c r="I2" i="7"/>
  <c r="Y2" i="7" s="1"/>
  <c r="J2" i="7"/>
  <c r="Z2" i="7" s="1"/>
  <c r="K2" i="7"/>
  <c r="AA2" i="7" s="1"/>
  <c r="C2" i="7"/>
  <c r="S2" i="7" s="1"/>
  <c r="B2" i="7"/>
  <c r="R2" i="7" s="1"/>
  <c r="E57" i="3" l="1"/>
  <c r="O27" i="3" l="1" a="1"/>
  <c r="O27" i="3" s="1"/>
  <c r="N27" i="3" a="1"/>
  <c r="N27" i="3" s="1"/>
  <c r="M27" i="3" a="1"/>
  <c r="M27" i="3" s="1"/>
  <c r="L27" i="3" a="1"/>
  <c r="L27" i="3" s="1"/>
  <c r="K27" i="3" a="1"/>
  <c r="K27" i="3" s="1"/>
  <c r="J27" i="3" a="1"/>
  <c r="J27" i="3" s="1"/>
  <c r="I27" i="3" a="1"/>
  <c r="I27" i="3" s="1"/>
  <c r="H27" i="3" a="1"/>
  <c r="H27" i="3" s="1"/>
  <c r="R27" i="3" l="1"/>
  <c r="E56" i="3"/>
  <c r="E55" i="3"/>
  <c r="E54" i="3"/>
  <c r="E53" i="3"/>
  <c r="E52" i="3"/>
  <c r="E51" i="3"/>
  <c r="E50" i="3"/>
  <c r="E49" i="3"/>
  <c r="E48" i="3"/>
  <c r="E47" i="3"/>
  <c r="E46" i="3"/>
  <c r="E45" i="3"/>
  <c r="L29" i="3" l="1"/>
  <c r="K29" i="3"/>
  <c r="J29" i="3"/>
  <c r="I29" i="3"/>
  <c r="H29" i="3"/>
  <c r="G29" i="3"/>
  <c r="F29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A3" i="7" l="1"/>
  <c r="B3" i="7" l="1"/>
  <c r="R3" i="7" s="1"/>
  <c r="L3" i="7"/>
  <c r="AB3" i="7" s="1"/>
  <c r="F3" i="7"/>
  <c r="V3" i="7" s="1"/>
  <c r="J3" i="7"/>
  <c r="Z3" i="7" s="1"/>
  <c r="C3" i="7"/>
  <c r="S3" i="7" s="1"/>
  <c r="G3" i="7"/>
  <c r="W3" i="7" s="1"/>
  <c r="K3" i="7"/>
  <c r="AA3" i="7" s="1"/>
  <c r="D3" i="7"/>
  <c r="T3" i="7" s="1"/>
  <c r="H3" i="7"/>
  <c r="X3" i="7" s="1"/>
  <c r="E3" i="7"/>
  <c r="U3" i="7" s="1"/>
  <c r="I3" i="7"/>
  <c r="Y3" i="7" s="1"/>
  <c r="N3" i="7"/>
  <c r="A4" i="7"/>
  <c r="B4" i="7" l="1"/>
  <c r="R4" i="7" s="1"/>
  <c r="L4" i="7"/>
  <c r="AB4" i="7" s="1"/>
  <c r="D4" i="7"/>
  <c r="T4" i="7" s="1"/>
  <c r="H4" i="7"/>
  <c r="X4" i="7" s="1"/>
  <c r="E4" i="7"/>
  <c r="U4" i="7" s="1"/>
  <c r="I4" i="7"/>
  <c r="Y4" i="7" s="1"/>
  <c r="F4" i="7"/>
  <c r="V4" i="7" s="1"/>
  <c r="J4" i="7"/>
  <c r="Z4" i="7" s="1"/>
  <c r="K4" i="7"/>
  <c r="AA4" i="7" s="1"/>
  <c r="C4" i="7"/>
  <c r="S4" i="7" s="1"/>
  <c r="G4" i="7"/>
  <c r="W4" i="7" s="1"/>
  <c r="A5" i="7"/>
  <c r="B5" i="7" l="1"/>
  <c r="R5" i="7" s="1"/>
  <c r="L5" i="7"/>
  <c r="AB5" i="7" s="1"/>
  <c r="F5" i="7"/>
  <c r="V5" i="7" s="1"/>
  <c r="J5" i="7"/>
  <c r="Z5" i="7" s="1"/>
  <c r="C5" i="7"/>
  <c r="S5" i="7" s="1"/>
  <c r="G5" i="7"/>
  <c r="W5" i="7" s="1"/>
  <c r="K5" i="7"/>
  <c r="AA5" i="7" s="1"/>
  <c r="D5" i="7"/>
  <c r="T5" i="7" s="1"/>
  <c r="H5" i="7"/>
  <c r="X5" i="7" s="1"/>
  <c r="E5" i="7"/>
  <c r="U5" i="7" s="1"/>
  <c r="I5" i="7"/>
  <c r="Y5" i="7" s="1"/>
  <c r="A6" i="7"/>
  <c r="B6" i="7" l="1"/>
  <c r="R6" i="7" s="1"/>
  <c r="L6" i="7"/>
  <c r="AB6" i="7" s="1"/>
  <c r="D6" i="7"/>
  <c r="T6" i="7" s="1"/>
  <c r="H6" i="7"/>
  <c r="X6" i="7" s="1"/>
  <c r="E6" i="7"/>
  <c r="U6" i="7" s="1"/>
  <c r="I6" i="7"/>
  <c r="Y6" i="7" s="1"/>
  <c r="F6" i="7"/>
  <c r="V6" i="7" s="1"/>
  <c r="J6" i="7"/>
  <c r="Z6" i="7" s="1"/>
  <c r="G6" i="7"/>
  <c r="W6" i="7" s="1"/>
  <c r="K6" i="7"/>
  <c r="AA6" i="7" s="1"/>
  <c r="C6" i="7"/>
  <c r="S6" i="7" s="1"/>
  <c r="A7" i="7"/>
  <c r="P3" i="7"/>
  <c r="O3" i="7"/>
  <c r="B12" i="3"/>
  <c r="F18" i="3"/>
  <c r="A1" i="4"/>
  <c r="C5" i="3"/>
  <c r="A52" i="4"/>
  <c r="A53" i="4" s="1"/>
  <c r="A54" i="4" s="1"/>
  <c r="A55" i="4" s="1"/>
  <c r="A56" i="4" s="1"/>
  <c r="A57" i="4" s="1"/>
  <c r="A58" i="4" s="1"/>
  <c r="A59" i="4" s="1"/>
  <c r="A43" i="4"/>
  <c r="A44" i="4"/>
  <c r="A45" i="4"/>
  <c r="A46" i="4"/>
  <c r="A47" i="4" s="1"/>
  <c r="A48" i="4" s="1"/>
  <c r="A49" i="4" s="1"/>
  <c r="A50" i="4" s="1"/>
  <c r="A51" i="4" s="1"/>
  <c r="A26" i="4"/>
  <c r="A27" i="4"/>
  <c r="A28" i="4"/>
  <c r="A29" i="4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4" i="4"/>
  <c r="O18" i="3" l="1" a="1"/>
  <c r="O18" i="3" s="1"/>
  <c r="K18" i="3" a="1"/>
  <c r="K18" i="3" s="1"/>
  <c r="G18" i="3" a="1"/>
  <c r="G18" i="3" s="1"/>
  <c r="I18" i="3" a="1"/>
  <c r="I18" i="3" s="1"/>
  <c r="P18" i="3" a="1"/>
  <c r="P18" i="3" s="1"/>
  <c r="L18" i="3" a="1"/>
  <c r="L18" i="3" s="1"/>
  <c r="H18" i="3" a="1"/>
  <c r="H18" i="3" s="1"/>
  <c r="M18" i="3" a="1"/>
  <c r="M18" i="3" s="1"/>
  <c r="Q18" i="3" a="1"/>
  <c r="Q18" i="3" s="1"/>
  <c r="N18" i="3" a="1"/>
  <c r="N18" i="3" s="1"/>
  <c r="J18" i="3" a="1"/>
  <c r="J18" i="3" s="1"/>
  <c r="B7" i="7"/>
  <c r="R7" i="7" s="1"/>
  <c r="L7" i="7"/>
  <c r="AB7" i="7" s="1"/>
  <c r="B13" i="4"/>
  <c r="B14" i="4"/>
  <c r="B18" i="4"/>
  <c r="B22" i="4"/>
  <c r="B26" i="4"/>
  <c r="B30" i="4"/>
  <c r="B34" i="4"/>
  <c r="B38" i="4"/>
  <c r="B42" i="4"/>
  <c r="B46" i="4"/>
  <c r="B50" i="4"/>
  <c r="B54" i="4"/>
  <c r="B58" i="4"/>
  <c r="B35" i="4"/>
  <c r="B43" i="4"/>
  <c r="B51" i="4"/>
  <c r="B59" i="4"/>
  <c r="B16" i="4"/>
  <c r="B20" i="4"/>
  <c r="B24" i="4"/>
  <c r="B32" i="4"/>
  <c r="B36" i="4"/>
  <c r="B44" i="4"/>
  <c r="B48" i="4"/>
  <c r="B56" i="4"/>
  <c r="B21" i="4"/>
  <c r="B29" i="4"/>
  <c r="B37" i="4"/>
  <c r="B45" i="4"/>
  <c r="B53" i="4"/>
  <c r="B15" i="4"/>
  <c r="B19" i="4"/>
  <c r="B23" i="4"/>
  <c r="B27" i="4"/>
  <c r="B31" i="4"/>
  <c r="B39" i="4"/>
  <c r="B47" i="4"/>
  <c r="B55" i="4"/>
  <c r="B28" i="4"/>
  <c r="B40" i="4"/>
  <c r="B52" i="4"/>
  <c r="B17" i="4"/>
  <c r="B25" i="4"/>
  <c r="B33" i="4"/>
  <c r="B41" i="4"/>
  <c r="B49" i="4"/>
  <c r="B57" i="4"/>
  <c r="B6" i="4"/>
  <c r="B7" i="4"/>
  <c r="B11" i="4"/>
  <c r="B12" i="4"/>
  <c r="B9" i="4"/>
  <c r="B10" i="4"/>
  <c r="B8" i="4"/>
  <c r="F7" i="7"/>
  <c r="V7" i="7" s="1"/>
  <c r="J7" i="7"/>
  <c r="Z7" i="7" s="1"/>
  <c r="C7" i="7"/>
  <c r="S7" i="7" s="1"/>
  <c r="G7" i="7"/>
  <c r="W7" i="7" s="1"/>
  <c r="K7" i="7"/>
  <c r="AA7" i="7" s="1"/>
  <c r="D7" i="7"/>
  <c r="T7" i="7" s="1"/>
  <c r="H7" i="7"/>
  <c r="X7" i="7" s="1"/>
  <c r="I7" i="7"/>
  <c r="Y7" i="7" s="1"/>
  <c r="E7" i="7"/>
  <c r="U7" i="7" s="1"/>
  <c r="F30" i="3"/>
  <c r="A8" i="7"/>
  <c r="O4" i="7"/>
  <c r="P4" i="7"/>
  <c r="N4" i="7"/>
  <c r="B3" i="4"/>
  <c r="B4" i="4"/>
  <c r="B5" i="4"/>
  <c r="F19" i="3"/>
  <c r="Q19" i="3" s="1" a="1"/>
  <c r="Q19" i="3" s="1"/>
  <c r="F34" i="3" l="1" a="1"/>
  <c r="F34" i="3" s="1"/>
  <c r="F31" i="3" a="1"/>
  <c r="F31" i="3" s="1"/>
  <c r="F61" i="3" a="1"/>
  <c r="F61" i="3" s="1"/>
  <c r="F62" i="3" a="1"/>
  <c r="F62" i="3" s="1"/>
  <c r="P2" i="7"/>
  <c r="O2" i="7"/>
  <c r="N2" i="7"/>
  <c r="F59" i="3" a="1"/>
  <c r="F59" i="3" s="1"/>
  <c r="F60" i="3" a="1"/>
  <c r="F60" i="3" s="1"/>
  <c r="U18" i="3"/>
  <c r="P19" i="3" a="1"/>
  <c r="P19" i="3" s="1"/>
  <c r="L19" i="3" a="1"/>
  <c r="L19" i="3" s="1"/>
  <c r="H19" i="3" a="1"/>
  <c r="H19" i="3" s="1"/>
  <c r="J19" i="3" a="1"/>
  <c r="J19" i="3" s="1"/>
  <c r="M19" i="3" a="1"/>
  <c r="M19" i="3" s="1"/>
  <c r="I19" i="3" a="1"/>
  <c r="I19" i="3" s="1"/>
  <c r="N19" i="3" a="1"/>
  <c r="N19" i="3" s="1"/>
  <c r="O19" i="3" a="1"/>
  <c r="O19" i="3" s="1"/>
  <c r="K19" i="3" a="1"/>
  <c r="K19" i="3" s="1"/>
  <c r="G19" i="3" a="1"/>
  <c r="G19" i="3" s="1"/>
  <c r="F57" i="3" a="1"/>
  <c r="F57" i="3" s="1"/>
  <c r="F58" i="3" a="1"/>
  <c r="F58" i="3" s="1"/>
  <c r="V18" i="3"/>
  <c r="R18" i="3"/>
  <c r="T18" i="3"/>
  <c r="B8" i="7"/>
  <c r="R8" i="7" s="1"/>
  <c r="L8" i="7"/>
  <c r="AB8" i="7" s="1"/>
  <c r="D8" i="7"/>
  <c r="T8" i="7" s="1"/>
  <c r="H8" i="7"/>
  <c r="X8" i="7" s="1"/>
  <c r="E8" i="7"/>
  <c r="U8" i="7" s="1"/>
  <c r="I8" i="7"/>
  <c r="Y8" i="7" s="1"/>
  <c r="F8" i="7"/>
  <c r="V8" i="7" s="1"/>
  <c r="J8" i="7"/>
  <c r="Z8" i="7" s="1"/>
  <c r="C8" i="7"/>
  <c r="S8" i="7" s="1"/>
  <c r="G8" i="7"/>
  <c r="W8" i="7" s="1"/>
  <c r="K8" i="7"/>
  <c r="AA8" i="7" s="1"/>
  <c r="F55" i="3" a="1"/>
  <c r="F55" i="3" s="1"/>
  <c r="G30" i="3"/>
  <c r="G62" i="3" s="1" a="1"/>
  <c r="G62" i="3" s="1"/>
  <c r="F56" i="3" a="1"/>
  <c r="F56" i="3" s="1"/>
  <c r="F52" i="3" a="1"/>
  <c r="F52" i="3" s="1"/>
  <c r="F48" i="3" a="1"/>
  <c r="F48" i="3" s="1"/>
  <c r="F53" i="3" a="1"/>
  <c r="F53" i="3" s="1"/>
  <c r="F49" i="3" a="1"/>
  <c r="F49" i="3" s="1"/>
  <c r="F45" i="3" a="1"/>
  <c r="F45" i="3" s="1"/>
  <c r="F54" i="3" a="1"/>
  <c r="F54" i="3" s="1"/>
  <c r="F50" i="3" a="1"/>
  <c r="F50" i="3" s="1"/>
  <c r="F46" i="3" a="1"/>
  <c r="F46" i="3" s="1"/>
  <c r="F47" i="3" a="1"/>
  <c r="F47" i="3" s="1"/>
  <c r="F51" i="3" a="1"/>
  <c r="F51" i="3" s="1"/>
  <c r="G40" i="3" a="1"/>
  <c r="G40" i="3" s="1"/>
  <c r="G33" i="3" a="1"/>
  <c r="G33" i="3" s="1"/>
  <c r="G41" i="3" a="1"/>
  <c r="G41" i="3" s="1"/>
  <c r="G42" i="3" a="1"/>
  <c r="G42" i="3" s="1"/>
  <c r="G32" i="3" a="1"/>
  <c r="G32" i="3" s="1"/>
  <c r="G39" i="3" a="1"/>
  <c r="G39" i="3" s="1"/>
  <c r="G31" i="3" a="1"/>
  <c r="G31" i="3" s="1"/>
  <c r="F41" i="3" a="1"/>
  <c r="F41" i="3" s="1"/>
  <c r="F36" i="3" a="1"/>
  <c r="F36" i="3" s="1"/>
  <c r="F38" i="3" a="1"/>
  <c r="F38" i="3" s="1"/>
  <c r="F37" i="3" a="1"/>
  <c r="F37" i="3" s="1"/>
  <c r="F32" i="3" a="1"/>
  <c r="F32" i="3" s="1"/>
  <c r="F43" i="3" a="1"/>
  <c r="F43" i="3" s="1"/>
  <c r="F33" i="3" a="1"/>
  <c r="F33" i="3" s="1"/>
  <c r="F44" i="3" a="1"/>
  <c r="F44" i="3" s="1"/>
  <c r="F39" i="3" a="1"/>
  <c r="F39" i="3" s="1"/>
  <c r="F42" i="3" a="1"/>
  <c r="F42" i="3" s="1"/>
  <c r="F40" i="3" a="1"/>
  <c r="F40" i="3" s="1"/>
  <c r="F35" i="3" a="1"/>
  <c r="F35" i="3" s="1"/>
  <c r="A9" i="7"/>
  <c r="N5" i="7"/>
  <c r="O5" i="7"/>
  <c r="P5" i="7"/>
  <c r="C6" i="3"/>
  <c r="F20" i="3"/>
  <c r="L20" i="3" s="1" a="1"/>
  <c r="L20" i="3" s="1"/>
  <c r="G38" i="3" l="1" a="1"/>
  <c r="G38" i="3" s="1"/>
  <c r="G44" i="3" a="1"/>
  <c r="G44" i="3" s="1"/>
  <c r="T19" i="3"/>
  <c r="G60" i="3" a="1"/>
  <c r="G60" i="3" s="1"/>
  <c r="G61" i="3" a="1"/>
  <c r="G61" i="3" s="1"/>
  <c r="G43" i="3" a="1"/>
  <c r="G43" i="3" s="1"/>
  <c r="R19" i="3"/>
  <c r="G58" i="3" a="1"/>
  <c r="G58" i="3" s="1"/>
  <c r="G59" i="3" a="1"/>
  <c r="G59" i="3" s="1"/>
  <c r="Q20" i="3" a="1"/>
  <c r="Q20" i="3" s="1"/>
  <c r="M20" i="3" a="1"/>
  <c r="M20" i="3" s="1"/>
  <c r="I20" i="3" a="1"/>
  <c r="I20" i="3" s="1"/>
  <c r="N20" i="3" a="1"/>
  <c r="N20" i="3" s="1"/>
  <c r="J20" i="3" a="1"/>
  <c r="J20" i="3" s="1"/>
  <c r="K20" i="3" a="1"/>
  <c r="K20" i="3" s="1"/>
  <c r="G20" i="3" a="1"/>
  <c r="G20" i="3" s="1"/>
  <c r="O20" i="3" a="1"/>
  <c r="O20" i="3" s="1"/>
  <c r="P20" i="3" a="1"/>
  <c r="P20" i="3" s="1"/>
  <c r="H20" i="3" a="1"/>
  <c r="H20" i="3" s="1"/>
  <c r="V19" i="3"/>
  <c r="U19" i="3"/>
  <c r="L9" i="7"/>
  <c r="AB9" i="7" s="1"/>
  <c r="A10" i="7"/>
  <c r="B9" i="7"/>
  <c r="R9" i="7" s="1"/>
  <c r="G53" i="3" a="1"/>
  <c r="G53" i="3" s="1"/>
  <c r="G57" i="3" a="1"/>
  <c r="G57" i="3" s="1"/>
  <c r="F9" i="7"/>
  <c r="V9" i="7" s="1"/>
  <c r="J9" i="7"/>
  <c r="Z9" i="7" s="1"/>
  <c r="C9" i="7"/>
  <c r="S9" i="7" s="1"/>
  <c r="G9" i="7"/>
  <c r="W9" i="7" s="1"/>
  <c r="K9" i="7"/>
  <c r="AA9" i="7" s="1"/>
  <c r="D9" i="7"/>
  <c r="T9" i="7" s="1"/>
  <c r="H9" i="7"/>
  <c r="X9" i="7" s="1"/>
  <c r="I9" i="7"/>
  <c r="Y9" i="7" s="1"/>
  <c r="E9" i="7"/>
  <c r="U9" i="7" s="1"/>
  <c r="G35" i="3" a="1"/>
  <c r="G35" i="3" s="1"/>
  <c r="G37" i="3" a="1"/>
  <c r="G37" i="3" s="1"/>
  <c r="G36" i="3" a="1"/>
  <c r="G36" i="3" s="1"/>
  <c r="G34" i="3" a="1"/>
  <c r="G34" i="3" s="1"/>
  <c r="G56" i="3" a="1"/>
  <c r="G56" i="3" s="1"/>
  <c r="G51" i="3" a="1"/>
  <c r="G51" i="3" s="1"/>
  <c r="G50" i="3" a="1"/>
  <c r="G50" i="3" s="1"/>
  <c r="G48" i="3" a="1"/>
  <c r="G48" i="3" s="1"/>
  <c r="G54" i="3" a="1"/>
  <c r="G54" i="3" s="1"/>
  <c r="G55" i="3" a="1"/>
  <c r="G55" i="3" s="1"/>
  <c r="G45" i="3" a="1"/>
  <c r="G45" i="3" s="1"/>
  <c r="G47" i="3" a="1"/>
  <c r="G47" i="3" s="1"/>
  <c r="G49" i="3" a="1"/>
  <c r="G49" i="3" s="1"/>
  <c r="G52" i="3" a="1"/>
  <c r="G52" i="3" s="1"/>
  <c r="G46" i="3" a="1"/>
  <c r="G46" i="3" s="1"/>
  <c r="H30" i="3"/>
  <c r="N6" i="7"/>
  <c r="O6" i="7"/>
  <c r="P6" i="7"/>
  <c r="F21" i="3"/>
  <c r="H44" i="3" l="1" a="1"/>
  <c r="H44" i="3" s="1"/>
  <c r="H48" i="3" a="1"/>
  <c r="H48" i="3" s="1"/>
  <c r="H52" i="3" a="1"/>
  <c r="H52" i="3" s="1"/>
  <c r="H56" i="3" a="1"/>
  <c r="H56" i="3" s="1"/>
  <c r="H60" i="3" a="1"/>
  <c r="H60" i="3" s="1"/>
  <c r="H43" i="3" a="1"/>
  <c r="H43" i="3" s="1"/>
  <c r="H55" i="3" a="1"/>
  <c r="H55" i="3" s="1"/>
  <c r="H45" i="3" a="1"/>
  <c r="H45" i="3" s="1"/>
  <c r="H49" i="3" a="1"/>
  <c r="H49" i="3" s="1"/>
  <c r="H53" i="3" a="1"/>
  <c r="H53" i="3" s="1"/>
  <c r="H57" i="3" a="1"/>
  <c r="H57" i="3" s="1"/>
  <c r="H61" i="3" a="1"/>
  <c r="H61" i="3" s="1"/>
  <c r="H62" i="3" a="1"/>
  <c r="H62" i="3" s="1"/>
  <c r="H47" i="3" a="1"/>
  <c r="H47" i="3" s="1"/>
  <c r="H59" i="3" a="1"/>
  <c r="H59" i="3" s="1"/>
  <c r="H46" i="3" a="1"/>
  <c r="H46" i="3" s="1"/>
  <c r="H50" i="3" a="1"/>
  <c r="H50" i="3" s="1"/>
  <c r="H54" i="3" a="1"/>
  <c r="H54" i="3" s="1"/>
  <c r="H58" i="3" a="1"/>
  <c r="H58" i="3" s="1"/>
  <c r="H51" i="3" a="1"/>
  <c r="H51" i="3" s="1"/>
  <c r="T20" i="3"/>
  <c r="V20" i="3"/>
  <c r="R20" i="3"/>
  <c r="N21" i="3" a="1"/>
  <c r="N21" i="3" s="1"/>
  <c r="J21" i="3" a="1"/>
  <c r="J21" i="3" s="1"/>
  <c r="O21" i="3" a="1"/>
  <c r="O21" i="3" s="1"/>
  <c r="K21" i="3" a="1"/>
  <c r="K21" i="3" s="1"/>
  <c r="G21" i="3" a="1"/>
  <c r="G21" i="3" s="1"/>
  <c r="L21" i="3" a="1"/>
  <c r="L21" i="3" s="1"/>
  <c r="H21" i="3" a="1"/>
  <c r="H21" i="3" s="1"/>
  <c r="P21" i="3" a="1"/>
  <c r="P21" i="3" s="1"/>
  <c r="Q21" i="3" a="1"/>
  <c r="Q21" i="3" s="1"/>
  <c r="M21" i="3" a="1"/>
  <c r="M21" i="3" s="1"/>
  <c r="I21" i="3" a="1"/>
  <c r="I21" i="3" s="1"/>
  <c r="U20" i="3"/>
  <c r="L10" i="7"/>
  <c r="AB10" i="7" s="1"/>
  <c r="A11" i="7"/>
  <c r="B10" i="7"/>
  <c r="R10" i="7" s="1"/>
  <c r="H38" i="3" a="1"/>
  <c r="H38" i="3" s="1"/>
  <c r="D10" i="7"/>
  <c r="T10" i="7" s="1"/>
  <c r="H10" i="7"/>
  <c r="X10" i="7" s="1"/>
  <c r="E10" i="7"/>
  <c r="U10" i="7" s="1"/>
  <c r="I10" i="7"/>
  <c r="Y10" i="7" s="1"/>
  <c r="F10" i="7"/>
  <c r="V10" i="7" s="1"/>
  <c r="J10" i="7"/>
  <c r="Z10" i="7" s="1"/>
  <c r="C10" i="7"/>
  <c r="S10" i="7" s="1"/>
  <c r="G10" i="7"/>
  <c r="W10" i="7" s="1"/>
  <c r="K10" i="7"/>
  <c r="AA10" i="7" s="1"/>
  <c r="H31" i="3" a="1"/>
  <c r="H31" i="3" s="1"/>
  <c r="H37" i="3" a="1"/>
  <c r="H37" i="3" s="1"/>
  <c r="H39" i="3" a="1"/>
  <c r="H39" i="3" s="1"/>
  <c r="H41" i="3" a="1"/>
  <c r="H41" i="3" s="1"/>
  <c r="H36" i="3" a="1"/>
  <c r="H36" i="3" s="1"/>
  <c r="H40" i="3" a="1"/>
  <c r="H40" i="3" s="1"/>
  <c r="H35" i="3" a="1"/>
  <c r="H35" i="3" s="1"/>
  <c r="H34" i="3" a="1"/>
  <c r="H34" i="3" s="1"/>
  <c r="H33" i="3" a="1"/>
  <c r="H33" i="3" s="1"/>
  <c r="H42" i="3" a="1"/>
  <c r="H42" i="3" s="1"/>
  <c r="I30" i="3"/>
  <c r="I62" i="3" s="1" a="1"/>
  <c r="I62" i="3" s="1"/>
  <c r="H32" i="3" a="1"/>
  <c r="H32" i="3" s="1"/>
  <c r="P7" i="7"/>
  <c r="N7" i="7"/>
  <c r="O7" i="7"/>
  <c r="F22" i="3"/>
  <c r="I39" i="3" l="1" a="1"/>
  <c r="I39" i="3" s="1"/>
  <c r="I41" i="3" a="1"/>
  <c r="I41" i="3" s="1"/>
  <c r="I38" i="3" a="1"/>
  <c r="I38" i="3" s="1"/>
  <c r="I35" i="3" a="1"/>
  <c r="I35" i="3" s="1"/>
  <c r="I36" i="3" a="1"/>
  <c r="I36" i="3" s="1"/>
  <c r="I60" i="3" a="1"/>
  <c r="I60" i="3" s="1"/>
  <c r="I61" i="3" a="1"/>
  <c r="I61" i="3" s="1"/>
  <c r="I34" i="3" a="1"/>
  <c r="I34" i="3" s="1"/>
  <c r="I32" i="3" a="1"/>
  <c r="I32" i="3" s="1"/>
  <c r="I40" i="3" a="1"/>
  <c r="I40" i="3" s="1"/>
  <c r="I58" i="3" a="1"/>
  <c r="I58" i="3" s="1"/>
  <c r="I59" i="3" a="1"/>
  <c r="I59" i="3" s="1"/>
  <c r="I31" i="3" a="1"/>
  <c r="I31" i="3" s="1"/>
  <c r="I33" i="3" a="1"/>
  <c r="I33" i="3" s="1"/>
  <c r="I37" i="3" a="1"/>
  <c r="I37" i="3" s="1"/>
  <c r="I44" i="3" a="1"/>
  <c r="I44" i="3" s="1"/>
  <c r="I43" i="3" a="1"/>
  <c r="I43" i="3" s="1"/>
  <c r="I42" i="3" a="1"/>
  <c r="I42" i="3" s="1"/>
  <c r="V21" i="3"/>
  <c r="R21" i="3"/>
  <c r="O22" i="3" a="1"/>
  <c r="O22" i="3" s="1"/>
  <c r="K22" i="3" a="1"/>
  <c r="K22" i="3" s="1"/>
  <c r="G22" i="3" a="1"/>
  <c r="G22" i="3" s="1"/>
  <c r="P22" i="3" a="1"/>
  <c r="P22" i="3" s="1"/>
  <c r="L22" i="3" a="1"/>
  <c r="L22" i="3" s="1"/>
  <c r="H22" i="3" a="1"/>
  <c r="H22" i="3" s="1"/>
  <c r="I22" i="3" a="1"/>
  <c r="I22" i="3" s="1"/>
  <c r="Q22" i="3" a="1"/>
  <c r="Q22" i="3" s="1"/>
  <c r="M22" i="3" a="1"/>
  <c r="M22" i="3" s="1"/>
  <c r="N22" i="3" a="1"/>
  <c r="N22" i="3" s="1"/>
  <c r="J22" i="3" a="1"/>
  <c r="J22" i="3" s="1"/>
  <c r="T21" i="3"/>
  <c r="U21" i="3"/>
  <c r="L11" i="7"/>
  <c r="AB11" i="7" s="1"/>
  <c r="A12" i="7"/>
  <c r="B11" i="7"/>
  <c r="R11" i="7" s="1"/>
  <c r="I56" i="3" a="1"/>
  <c r="I56" i="3" s="1"/>
  <c r="I57" i="3" a="1"/>
  <c r="I57" i="3" s="1"/>
  <c r="I45" i="3" a="1"/>
  <c r="I45" i="3" s="1"/>
  <c r="I49" i="3" a="1"/>
  <c r="I49" i="3" s="1"/>
  <c r="I48" i="3" a="1"/>
  <c r="I48" i="3" s="1"/>
  <c r="I54" i="3" a="1"/>
  <c r="I54" i="3" s="1"/>
  <c r="I52" i="3" a="1"/>
  <c r="I52" i="3" s="1"/>
  <c r="I53" i="3" a="1"/>
  <c r="I53" i="3" s="1"/>
  <c r="I51" i="3" a="1"/>
  <c r="I51" i="3" s="1"/>
  <c r="F11" i="7"/>
  <c r="V11" i="7" s="1"/>
  <c r="J11" i="7"/>
  <c r="Z11" i="7" s="1"/>
  <c r="C11" i="7"/>
  <c r="S11" i="7" s="1"/>
  <c r="G11" i="7"/>
  <c r="W11" i="7" s="1"/>
  <c r="K11" i="7"/>
  <c r="AA11" i="7" s="1"/>
  <c r="D11" i="7"/>
  <c r="T11" i="7" s="1"/>
  <c r="H11" i="7"/>
  <c r="X11" i="7" s="1"/>
  <c r="E11" i="7"/>
  <c r="U11" i="7" s="1"/>
  <c r="I11" i="7"/>
  <c r="Y11" i="7" s="1"/>
  <c r="I50" i="3" a="1"/>
  <c r="I50" i="3" s="1"/>
  <c r="I46" i="3" a="1"/>
  <c r="I46" i="3" s="1"/>
  <c r="I47" i="3" a="1"/>
  <c r="I47" i="3" s="1"/>
  <c r="I55" i="3" a="1"/>
  <c r="I55" i="3" s="1"/>
  <c r="J30" i="3"/>
  <c r="O8" i="7"/>
  <c r="P8" i="7"/>
  <c r="N8" i="7"/>
  <c r="F23" i="3"/>
  <c r="T22" i="3" l="1"/>
  <c r="J61" i="3" a="1"/>
  <c r="J61" i="3" s="1"/>
  <c r="J62" i="3" a="1"/>
  <c r="J62" i="3" s="1"/>
  <c r="J59" i="3" a="1"/>
  <c r="J59" i="3" s="1"/>
  <c r="J60" i="3" a="1"/>
  <c r="J60" i="3" s="1"/>
  <c r="U22" i="3"/>
  <c r="V22" i="3"/>
  <c r="R22" i="3"/>
  <c r="P23" i="3" a="1"/>
  <c r="P23" i="3" s="1"/>
  <c r="L23" i="3" a="1"/>
  <c r="L23" i="3" s="1"/>
  <c r="H23" i="3" a="1"/>
  <c r="H23" i="3" s="1"/>
  <c r="Q23" i="3" a="1"/>
  <c r="Q23" i="3" s="1"/>
  <c r="M23" i="3" a="1"/>
  <c r="M23" i="3" s="1"/>
  <c r="I23" i="3" a="1"/>
  <c r="I23" i="3" s="1"/>
  <c r="J23" i="3" a="1"/>
  <c r="J23" i="3" s="1"/>
  <c r="N23" i="3" a="1"/>
  <c r="N23" i="3" s="1"/>
  <c r="O23" i="3" a="1"/>
  <c r="O23" i="3" s="1"/>
  <c r="K23" i="3" a="1"/>
  <c r="K23" i="3" s="1"/>
  <c r="G23" i="3" a="1"/>
  <c r="G23" i="3" s="1"/>
  <c r="J57" i="3" a="1"/>
  <c r="J57" i="3" s="1"/>
  <c r="J58" i="3" a="1"/>
  <c r="J58" i="3" s="1"/>
  <c r="L12" i="7"/>
  <c r="AB12" i="7" s="1"/>
  <c r="A13" i="7"/>
  <c r="B12" i="7"/>
  <c r="R12" i="7" s="1"/>
  <c r="D12" i="7"/>
  <c r="T12" i="7" s="1"/>
  <c r="H12" i="7"/>
  <c r="X12" i="7" s="1"/>
  <c r="E12" i="7"/>
  <c r="U12" i="7" s="1"/>
  <c r="I12" i="7"/>
  <c r="Y12" i="7" s="1"/>
  <c r="F12" i="7"/>
  <c r="V12" i="7" s="1"/>
  <c r="J12" i="7"/>
  <c r="Z12" i="7" s="1"/>
  <c r="K12" i="7"/>
  <c r="AA12" i="7" s="1"/>
  <c r="G12" i="7"/>
  <c r="W12" i="7" s="1"/>
  <c r="C12" i="7"/>
  <c r="S12" i="7" s="1"/>
  <c r="K30" i="3"/>
  <c r="J55" i="3" a="1"/>
  <c r="J55" i="3" s="1"/>
  <c r="J56" i="3" a="1"/>
  <c r="J56" i="3" s="1"/>
  <c r="J52" i="3" a="1"/>
  <c r="J52" i="3" s="1"/>
  <c r="J48" i="3" a="1"/>
  <c r="J48" i="3" s="1"/>
  <c r="J53" i="3" a="1"/>
  <c r="J53" i="3" s="1"/>
  <c r="J49" i="3" a="1"/>
  <c r="J49" i="3" s="1"/>
  <c r="J45" i="3" a="1"/>
  <c r="J45" i="3" s="1"/>
  <c r="J54" i="3" a="1"/>
  <c r="J54" i="3" s="1"/>
  <c r="J50" i="3" a="1"/>
  <c r="J50" i="3" s="1"/>
  <c r="J46" i="3" a="1"/>
  <c r="J46" i="3" s="1"/>
  <c r="J51" i="3" a="1"/>
  <c r="J51" i="3" s="1"/>
  <c r="J47" i="3" a="1"/>
  <c r="J47" i="3" s="1"/>
  <c r="K38" i="3" a="1"/>
  <c r="K38" i="3" s="1"/>
  <c r="K33" i="3" a="1"/>
  <c r="K33" i="3" s="1"/>
  <c r="K44" i="3" a="1"/>
  <c r="K44" i="3" s="1"/>
  <c r="K35" i="3" a="1"/>
  <c r="K35" i="3" s="1"/>
  <c r="K34" i="3" a="1"/>
  <c r="K34" i="3" s="1"/>
  <c r="K40" i="3" a="1"/>
  <c r="K40" i="3" s="1"/>
  <c r="K31" i="3" a="1"/>
  <c r="K31" i="3" s="1"/>
  <c r="K42" i="3" a="1"/>
  <c r="K42" i="3" s="1"/>
  <c r="K37" i="3" a="1"/>
  <c r="K37" i="3" s="1"/>
  <c r="K41" i="3" a="1"/>
  <c r="K41" i="3" s="1"/>
  <c r="K36" i="3" a="1"/>
  <c r="K36" i="3" s="1"/>
  <c r="K43" i="3" a="1"/>
  <c r="K43" i="3" s="1"/>
  <c r="K32" i="3" a="1"/>
  <c r="K32" i="3" s="1"/>
  <c r="K39" i="3" a="1"/>
  <c r="K39" i="3" s="1"/>
  <c r="J40" i="3" a="1"/>
  <c r="J40" i="3" s="1"/>
  <c r="J35" i="3" a="1"/>
  <c r="J35" i="3" s="1"/>
  <c r="J42" i="3" a="1"/>
  <c r="J42" i="3" s="1"/>
  <c r="J39" i="3" a="1"/>
  <c r="J39" i="3" s="1"/>
  <c r="J41" i="3" a="1"/>
  <c r="J41" i="3" s="1"/>
  <c r="J36" i="3" a="1"/>
  <c r="J36" i="3" s="1"/>
  <c r="J38" i="3" a="1"/>
  <c r="J38" i="3" s="1"/>
  <c r="J31" i="3" a="1"/>
  <c r="J31" i="3" s="1"/>
  <c r="J44" i="3" a="1"/>
  <c r="J44" i="3" s="1"/>
  <c r="J37" i="3" a="1"/>
  <c r="J37" i="3" s="1"/>
  <c r="J32" i="3" a="1"/>
  <c r="J32" i="3" s="1"/>
  <c r="J43" i="3" a="1"/>
  <c r="J43" i="3" s="1"/>
  <c r="J34" i="3" a="1"/>
  <c r="J34" i="3" s="1"/>
  <c r="J33" i="3" a="1"/>
  <c r="J33" i="3" s="1"/>
  <c r="N9" i="7"/>
  <c r="O9" i="7"/>
  <c r="P9" i="7"/>
  <c r="F24" i="3"/>
  <c r="K61" i="3" l="1" a="1"/>
  <c r="K61" i="3" s="1"/>
  <c r="K62" i="3" a="1"/>
  <c r="K62" i="3" s="1"/>
  <c r="K59" i="3" a="1"/>
  <c r="K59" i="3" s="1"/>
  <c r="K60" i="3" a="1"/>
  <c r="K60" i="3" s="1"/>
  <c r="I24" i="3" a="1"/>
  <c r="I24" i="3" s="1"/>
  <c r="I25" i="3" s="1"/>
  <c r="P24" i="3" a="1"/>
  <c r="P24" i="3" s="1"/>
  <c r="P25" i="3" s="1"/>
  <c r="V23" i="3"/>
  <c r="R23" i="3"/>
  <c r="U23" i="3"/>
  <c r="Q24" i="3" a="1"/>
  <c r="Q24" i="3" s="1"/>
  <c r="Q25" i="3" s="1"/>
  <c r="M24" i="3" a="1"/>
  <c r="M24" i="3" s="1"/>
  <c r="G24" i="3" a="1"/>
  <c r="G24" i="3" s="1"/>
  <c r="G25" i="3" s="1"/>
  <c r="N24" i="3" a="1"/>
  <c r="N24" i="3" s="1"/>
  <c r="N25" i="3" s="1"/>
  <c r="J24" i="3" a="1"/>
  <c r="J24" i="3" s="1"/>
  <c r="K24" i="3" a="1"/>
  <c r="K24" i="3" s="1"/>
  <c r="K25" i="3" s="1"/>
  <c r="O24" i="3" a="1"/>
  <c r="O24" i="3" s="1"/>
  <c r="O25" i="3" s="1"/>
  <c r="L24" i="3" a="1"/>
  <c r="L24" i="3" s="1"/>
  <c r="H24" i="3" a="1"/>
  <c r="H24" i="3" s="1"/>
  <c r="K50" i="3" a="1"/>
  <c r="K50" i="3" s="1"/>
  <c r="K58" i="3" a="1"/>
  <c r="K58" i="3" s="1"/>
  <c r="T23" i="3"/>
  <c r="L13" i="7"/>
  <c r="AB13" i="7" s="1"/>
  <c r="A14" i="7"/>
  <c r="B13" i="7"/>
  <c r="R13" i="7" s="1"/>
  <c r="K48" i="3" a="1"/>
  <c r="K48" i="3" s="1"/>
  <c r="K55" i="3" a="1"/>
  <c r="K55" i="3" s="1"/>
  <c r="K57" i="3" a="1"/>
  <c r="K57" i="3" s="1"/>
  <c r="K47" i="3" a="1"/>
  <c r="K47" i="3" s="1"/>
  <c r="K54" i="3" a="1"/>
  <c r="K54" i="3" s="1"/>
  <c r="K52" i="3" a="1"/>
  <c r="K52" i="3" s="1"/>
  <c r="K51" i="3" a="1"/>
  <c r="K51" i="3" s="1"/>
  <c r="K49" i="3" a="1"/>
  <c r="K49" i="3" s="1"/>
  <c r="K56" i="3" a="1"/>
  <c r="K56" i="3" s="1"/>
  <c r="K45" i="3" a="1"/>
  <c r="K45" i="3" s="1"/>
  <c r="K46" i="3" a="1"/>
  <c r="K46" i="3" s="1"/>
  <c r="K53" i="3" a="1"/>
  <c r="K53" i="3" s="1"/>
  <c r="F13" i="7"/>
  <c r="V13" i="7" s="1"/>
  <c r="J13" i="7"/>
  <c r="Z13" i="7" s="1"/>
  <c r="C13" i="7"/>
  <c r="S13" i="7" s="1"/>
  <c r="G13" i="7"/>
  <c r="W13" i="7" s="1"/>
  <c r="K13" i="7"/>
  <c r="AA13" i="7" s="1"/>
  <c r="D13" i="7"/>
  <c r="T13" i="7" s="1"/>
  <c r="H13" i="7"/>
  <c r="X13" i="7" s="1"/>
  <c r="E13" i="7"/>
  <c r="U13" i="7" s="1"/>
  <c r="I13" i="7"/>
  <c r="Y13" i="7" s="1"/>
  <c r="L30" i="3"/>
  <c r="L62" i="3" s="1" a="1"/>
  <c r="L62" i="3" s="1"/>
  <c r="N10" i="7"/>
  <c r="O10" i="7"/>
  <c r="P10" i="7"/>
  <c r="L60" i="3" l="1" a="1"/>
  <c r="L60" i="3" s="1"/>
  <c r="L61" i="3" a="1"/>
  <c r="L61" i="3" s="1"/>
  <c r="L58" i="3" a="1"/>
  <c r="L58" i="3" s="1"/>
  <c r="L59" i="3" a="1"/>
  <c r="L59" i="3" s="1"/>
  <c r="V24" i="3"/>
  <c r="R24" i="3"/>
  <c r="R25" i="3" s="1"/>
  <c r="T24" i="3"/>
  <c r="U24" i="3"/>
  <c r="L14" i="7"/>
  <c r="AB14" i="7" s="1"/>
  <c r="A15" i="7"/>
  <c r="B14" i="7"/>
  <c r="R14" i="7" s="1"/>
  <c r="L56" i="3" a="1"/>
  <c r="L56" i="3" s="1"/>
  <c r="L57" i="3" a="1"/>
  <c r="L57" i="3" s="1"/>
  <c r="L34" i="3" a="1"/>
  <c r="L34" i="3" s="1"/>
  <c r="L55" i="3" a="1"/>
  <c r="L55" i="3" s="1"/>
  <c r="L45" i="3" a="1"/>
  <c r="L45" i="3" s="1"/>
  <c r="L44" i="3" a="1"/>
  <c r="L44" i="3" s="1"/>
  <c r="L33" i="3" a="1"/>
  <c r="L33" i="3" s="1"/>
  <c r="L46" i="3" a="1"/>
  <c r="L46" i="3" s="1"/>
  <c r="L40" i="3" a="1"/>
  <c r="L40" i="3" s="1"/>
  <c r="L49" i="3" a="1"/>
  <c r="L49" i="3" s="1"/>
  <c r="L41" i="3" a="1"/>
  <c r="L41" i="3" s="1"/>
  <c r="L43" i="3" a="1"/>
  <c r="L43" i="3" s="1"/>
  <c r="L47" i="3" a="1"/>
  <c r="L47" i="3" s="1"/>
  <c r="L35" i="3" a="1"/>
  <c r="L35" i="3" s="1"/>
  <c r="L36" i="3" a="1"/>
  <c r="L36" i="3" s="1"/>
  <c r="L38" i="3" a="1"/>
  <c r="L38" i="3" s="1"/>
  <c r="L42" i="3" a="1"/>
  <c r="L42" i="3" s="1"/>
  <c r="L52" i="3" a="1"/>
  <c r="L52" i="3" s="1"/>
  <c r="L54" i="3" a="1"/>
  <c r="L54" i="3" s="1"/>
  <c r="L32" i="3" a="1"/>
  <c r="L32" i="3" s="1"/>
  <c r="L39" i="3" a="1"/>
  <c r="L39" i="3" s="1"/>
  <c r="L31" i="3" a="1"/>
  <c r="L31" i="3" s="1"/>
  <c r="L37" i="3" a="1"/>
  <c r="L37" i="3" s="1"/>
  <c r="L48" i="3" a="1"/>
  <c r="L48" i="3" s="1"/>
  <c r="L50" i="3" a="1"/>
  <c r="L50" i="3" s="1"/>
  <c r="L53" i="3" a="1"/>
  <c r="L53" i="3" s="1"/>
  <c r="L51" i="3" a="1"/>
  <c r="L51" i="3" s="1"/>
  <c r="D14" i="7"/>
  <c r="T14" i="7" s="1"/>
  <c r="H14" i="7"/>
  <c r="X14" i="7" s="1"/>
  <c r="E14" i="7"/>
  <c r="U14" i="7" s="1"/>
  <c r="I14" i="7"/>
  <c r="Y14" i="7" s="1"/>
  <c r="F14" i="7"/>
  <c r="V14" i="7" s="1"/>
  <c r="J14" i="7"/>
  <c r="Z14" i="7" s="1"/>
  <c r="G14" i="7"/>
  <c r="W14" i="7" s="1"/>
  <c r="K14" i="7"/>
  <c r="AA14" i="7" s="1"/>
  <c r="C14" i="7"/>
  <c r="S14" i="7" s="1"/>
  <c r="H25" i="3"/>
  <c r="L25" i="3"/>
  <c r="P11" i="7"/>
  <c r="N11" i="7"/>
  <c r="O11" i="7"/>
  <c r="M25" i="3"/>
  <c r="J25" i="3"/>
  <c r="U25" i="3" l="1"/>
  <c r="T25" i="3"/>
  <c r="V25" i="3"/>
  <c r="N31" i="3"/>
  <c r="N32" i="3" s="1"/>
  <c r="L15" i="7"/>
  <c r="AB15" i="7" s="1"/>
  <c r="A16" i="7"/>
  <c r="B15" i="7"/>
  <c r="R15" i="7" s="1"/>
  <c r="F15" i="7"/>
  <c r="V15" i="7" s="1"/>
  <c r="J15" i="7"/>
  <c r="Z15" i="7" s="1"/>
  <c r="C15" i="7"/>
  <c r="S15" i="7" s="1"/>
  <c r="G15" i="7"/>
  <c r="W15" i="7" s="1"/>
  <c r="K15" i="7"/>
  <c r="AA15" i="7" s="1"/>
  <c r="D15" i="7"/>
  <c r="T15" i="7" s="1"/>
  <c r="H15" i="7"/>
  <c r="X15" i="7" s="1"/>
  <c r="E15" i="7"/>
  <c r="U15" i="7" s="1"/>
  <c r="I15" i="7"/>
  <c r="Y15" i="7" s="1"/>
  <c r="O12" i="7"/>
  <c r="P12" i="7"/>
  <c r="N12" i="7"/>
  <c r="L16" i="7" l="1"/>
  <c r="AB16" i="7" s="1"/>
  <c r="A17" i="7"/>
  <c r="B16" i="7"/>
  <c r="R16" i="7" s="1"/>
  <c r="D16" i="7"/>
  <c r="T16" i="7" s="1"/>
  <c r="H16" i="7"/>
  <c r="X16" i="7" s="1"/>
  <c r="E16" i="7"/>
  <c r="U16" i="7" s="1"/>
  <c r="I16" i="7"/>
  <c r="Y16" i="7" s="1"/>
  <c r="F16" i="7"/>
  <c r="V16" i="7" s="1"/>
  <c r="J16" i="7"/>
  <c r="Z16" i="7" s="1"/>
  <c r="C16" i="7"/>
  <c r="S16" i="7" s="1"/>
  <c r="G16" i="7"/>
  <c r="W16" i="7" s="1"/>
  <c r="K16" i="7"/>
  <c r="AA16" i="7" s="1"/>
  <c r="N13" i="7"/>
  <c r="O13" i="7"/>
  <c r="P13" i="7"/>
  <c r="L17" i="7" l="1"/>
  <c r="AB17" i="7" s="1"/>
  <c r="A18" i="7"/>
  <c r="B17" i="7"/>
  <c r="R17" i="7" s="1"/>
  <c r="F17" i="7"/>
  <c r="V17" i="7" s="1"/>
  <c r="J17" i="7"/>
  <c r="Z17" i="7" s="1"/>
  <c r="C17" i="7"/>
  <c r="S17" i="7" s="1"/>
  <c r="G17" i="7"/>
  <c r="W17" i="7" s="1"/>
  <c r="K17" i="7"/>
  <c r="AA17" i="7" s="1"/>
  <c r="D17" i="7"/>
  <c r="T17" i="7" s="1"/>
  <c r="H17" i="7"/>
  <c r="X17" i="7" s="1"/>
  <c r="I17" i="7"/>
  <c r="Y17" i="7" s="1"/>
  <c r="E17" i="7"/>
  <c r="U17" i="7" s="1"/>
  <c r="N14" i="7"/>
  <c r="O14" i="7"/>
  <c r="P14" i="7"/>
  <c r="L18" i="7" l="1"/>
  <c r="AB18" i="7" s="1"/>
  <c r="A19" i="7"/>
  <c r="B18" i="7"/>
  <c r="R18" i="7" s="1"/>
  <c r="D18" i="7"/>
  <c r="T18" i="7" s="1"/>
  <c r="H18" i="7"/>
  <c r="X18" i="7" s="1"/>
  <c r="E18" i="7"/>
  <c r="U18" i="7" s="1"/>
  <c r="I18" i="7"/>
  <c r="Y18" i="7" s="1"/>
  <c r="F18" i="7"/>
  <c r="V18" i="7" s="1"/>
  <c r="J18" i="7"/>
  <c r="Z18" i="7" s="1"/>
  <c r="C18" i="7"/>
  <c r="S18" i="7" s="1"/>
  <c r="K18" i="7"/>
  <c r="AA18" i="7" s="1"/>
  <c r="G18" i="7"/>
  <c r="W18" i="7" s="1"/>
  <c r="P15" i="7"/>
  <c r="N15" i="7"/>
  <c r="O15" i="7"/>
  <c r="L19" i="7" l="1"/>
  <c r="AB19" i="7" s="1"/>
  <c r="A20" i="7"/>
  <c r="B19" i="7"/>
  <c r="R19" i="7" s="1"/>
  <c r="F19" i="7"/>
  <c r="V19" i="7" s="1"/>
  <c r="J19" i="7"/>
  <c r="Z19" i="7" s="1"/>
  <c r="C19" i="7"/>
  <c r="S19" i="7" s="1"/>
  <c r="G19" i="7"/>
  <c r="W19" i="7" s="1"/>
  <c r="K19" i="7"/>
  <c r="AA19" i="7" s="1"/>
  <c r="D19" i="7"/>
  <c r="T19" i="7" s="1"/>
  <c r="H19" i="7"/>
  <c r="X19" i="7" s="1"/>
  <c r="E19" i="7"/>
  <c r="U19" i="7" s="1"/>
  <c r="I19" i="7"/>
  <c r="Y19" i="7" s="1"/>
  <c r="O16" i="7"/>
  <c r="P16" i="7"/>
  <c r="N16" i="7"/>
  <c r="L20" i="7" l="1"/>
  <c r="AB20" i="7" s="1"/>
  <c r="A21" i="7"/>
  <c r="B20" i="7"/>
  <c r="R20" i="7" s="1"/>
  <c r="D20" i="7"/>
  <c r="T20" i="7" s="1"/>
  <c r="H20" i="7"/>
  <c r="X20" i="7" s="1"/>
  <c r="E20" i="7"/>
  <c r="U20" i="7" s="1"/>
  <c r="I20" i="7"/>
  <c r="Y20" i="7" s="1"/>
  <c r="F20" i="7"/>
  <c r="V20" i="7" s="1"/>
  <c r="J20" i="7"/>
  <c r="Z20" i="7" s="1"/>
  <c r="K20" i="7"/>
  <c r="AA20" i="7" s="1"/>
  <c r="G20" i="7"/>
  <c r="W20" i="7" s="1"/>
  <c r="C20" i="7"/>
  <c r="S20" i="7" s="1"/>
  <c r="N17" i="7"/>
  <c r="O17" i="7"/>
  <c r="P17" i="7"/>
  <c r="L21" i="7" l="1"/>
  <c r="AB21" i="7" s="1"/>
  <c r="A22" i="7"/>
  <c r="B21" i="7"/>
  <c r="R21" i="7" s="1"/>
  <c r="F21" i="7"/>
  <c r="V21" i="7" s="1"/>
  <c r="J21" i="7"/>
  <c r="Z21" i="7" s="1"/>
  <c r="C21" i="7"/>
  <c r="S21" i="7" s="1"/>
  <c r="G21" i="7"/>
  <c r="W21" i="7" s="1"/>
  <c r="K21" i="7"/>
  <c r="AA21" i="7" s="1"/>
  <c r="D21" i="7"/>
  <c r="T21" i="7" s="1"/>
  <c r="H21" i="7"/>
  <c r="X21" i="7" s="1"/>
  <c r="E21" i="7"/>
  <c r="U21" i="7" s="1"/>
  <c r="I21" i="7"/>
  <c r="Y21" i="7" s="1"/>
  <c r="N18" i="7"/>
  <c r="O18" i="7"/>
  <c r="P18" i="7"/>
  <c r="L22" i="7" l="1"/>
  <c r="AB22" i="7" s="1"/>
  <c r="A23" i="7"/>
  <c r="B22" i="7"/>
  <c r="R22" i="7" s="1"/>
  <c r="D22" i="7"/>
  <c r="T22" i="7" s="1"/>
  <c r="H22" i="7"/>
  <c r="X22" i="7" s="1"/>
  <c r="E22" i="7"/>
  <c r="U22" i="7" s="1"/>
  <c r="I22" i="7"/>
  <c r="Y22" i="7" s="1"/>
  <c r="F22" i="7"/>
  <c r="V22" i="7" s="1"/>
  <c r="J22" i="7"/>
  <c r="Z22" i="7" s="1"/>
  <c r="G22" i="7"/>
  <c r="W22" i="7" s="1"/>
  <c r="K22" i="7"/>
  <c r="AA22" i="7" s="1"/>
  <c r="C22" i="7"/>
  <c r="S22" i="7" s="1"/>
  <c r="P19" i="7"/>
  <c r="N19" i="7"/>
  <c r="O19" i="7"/>
  <c r="L23" i="7" l="1"/>
  <c r="AB23" i="7" s="1"/>
  <c r="A24" i="7"/>
  <c r="B23" i="7"/>
  <c r="R23" i="7" s="1"/>
  <c r="F23" i="7"/>
  <c r="V23" i="7" s="1"/>
  <c r="J23" i="7"/>
  <c r="Z23" i="7" s="1"/>
  <c r="C23" i="7"/>
  <c r="S23" i="7" s="1"/>
  <c r="G23" i="7"/>
  <c r="W23" i="7" s="1"/>
  <c r="K23" i="7"/>
  <c r="AA23" i="7" s="1"/>
  <c r="D23" i="7"/>
  <c r="T23" i="7" s="1"/>
  <c r="H23" i="7"/>
  <c r="X23" i="7" s="1"/>
  <c r="E23" i="7"/>
  <c r="U23" i="7" s="1"/>
  <c r="I23" i="7"/>
  <c r="Y23" i="7" s="1"/>
  <c r="O20" i="7"/>
  <c r="P20" i="7"/>
  <c r="N20" i="7"/>
  <c r="L24" i="7" l="1"/>
  <c r="AB24" i="7" s="1"/>
  <c r="A25" i="7"/>
  <c r="B24" i="7"/>
  <c r="R24" i="7" s="1"/>
  <c r="D24" i="7"/>
  <c r="T24" i="7" s="1"/>
  <c r="H24" i="7"/>
  <c r="X24" i="7" s="1"/>
  <c r="E24" i="7"/>
  <c r="U24" i="7" s="1"/>
  <c r="I24" i="7"/>
  <c r="Y24" i="7" s="1"/>
  <c r="F24" i="7"/>
  <c r="V24" i="7" s="1"/>
  <c r="J24" i="7"/>
  <c r="Z24" i="7" s="1"/>
  <c r="C24" i="7"/>
  <c r="S24" i="7" s="1"/>
  <c r="G24" i="7"/>
  <c r="W24" i="7" s="1"/>
  <c r="K24" i="7"/>
  <c r="AA24" i="7" s="1"/>
  <c r="N21" i="7"/>
  <c r="O21" i="7"/>
  <c r="P21" i="7"/>
  <c r="L25" i="7" l="1"/>
  <c r="AB25" i="7" s="1"/>
  <c r="A26" i="7"/>
  <c r="B25" i="7"/>
  <c r="R25" i="7" s="1"/>
  <c r="F25" i="7"/>
  <c r="V25" i="7" s="1"/>
  <c r="J25" i="7"/>
  <c r="Z25" i="7" s="1"/>
  <c r="C25" i="7"/>
  <c r="S25" i="7" s="1"/>
  <c r="G25" i="7"/>
  <c r="W25" i="7" s="1"/>
  <c r="K25" i="7"/>
  <c r="AA25" i="7" s="1"/>
  <c r="D25" i="7"/>
  <c r="T25" i="7" s="1"/>
  <c r="H25" i="7"/>
  <c r="X25" i="7" s="1"/>
  <c r="I25" i="7"/>
  <c r="Y25" i="7" s="1"/>
  <c r="E25" i="7"/>
  <c r="U25" i="7" s="1"/>
  <c r="N22" i="7"/>
  <c r="O22" i="7"/>
  <c r="P22" i="7"/>
  <c r="L26" i="7" l="1"/>
  <c r="AB26" i="7" s="1"/>
  <c r="A27" i="7"/>
  <c r="B26" i="7"/>
  <c r="R26" i="7" s="1"/>
  <c r="D26" i="7"/>
  <c r="T26" i="7" s="1"/>
  <c r="H26" i="7"/>
  <c r="X26" i="7" s="1"/>
  <c r="E26" i="7"/>
  <c r="U26" i="7" s="1"/>
  <c r="I26" i="7"/>
  <c r="Y26" i="7" s="1"/>
  <c r="F26" i="7"/>
  <c r="V26" i="7" s="1"/>
  <c r="J26" i="7"/>
  <c r="Z26" i="7" s="1"/>
  <c r="C26" i="7"/>
  <c r="S26" i="7" s="1"/>
  <c r="G26" i="7"/>
  <c r="W26" i="7" s="1"/>
  <c r="K26" i="7"/>
  <c r="AA26" i="7" s="1"/>
  <c r="P23" i="7"/>
  <c r="N23" i="7"/>
  <c r="O23" i="7"/>
  <c r="L27" i="7" l="1"/>
  <c r="AB27" i="7" s="1"/>
  <c r="A28" i="7"/>
  <c r="B27" i="7"/>
  <c r="R27" i="7" s="1"/>
  <c r="F27" i="7"/>
  <c r="V27" i="7" s="1"/>
  <c r="J27" i="7"/>
  <c r="Z27" i="7" s="1"/>
  <c r="C27" i="7"/>
  <c r="S27" i="7" s="1"/>
  <c r="G27" i="7"/>
  <c r="W27" i="7" s="1"/>
  <c r="K27" i="7"/>
  <c r="AA27" i="7" s="1"/>
  <c r="D27" i="7"/>
  <c r="T27" i="7" s="1"/>
  <c r="H27" i="7"/>
  <c r="X27" i="7" s="1"/>
  <c r="E27" i="7"/>
  <c r="U27" i="7" s="1"/>
  <c r="I27" i="7"/>
  <c r="Y27" i="7" s="1"/>
  <c r="O24" i="7"/>
  <c r="P24" i="7"/>
  <c r="N24" i="7"/>
  <c r="L28" i="7" l="1"/>
  <c r="AB28" i="7" s="1"/>
  <c r="A29" i="7"/>
  <c r="B28" i="7"/>
  <c r="R28" i="7" s="1"/>
  <c r="D28" i="7"/>
  <c r="T28" i="7" s="1"/>
  <c r="H28" i="7"/>
  <c r="X28" i="7" s="1"/>
  <c r="E28" i="7"/>
  <c r="U28" i="7" s="1"/>
  <c r="I28" i="7"/>
  <c r="Y28" i="7" s="1"/>
  <c r="F28" i="7"/>
  <c r="V28" i="7" s="1"/>
  <c r="J28" i="7"/>
  <c r="Z28" i="7" s="1"/>
  <c r="K28" i="7"/>
  <c r="AA28" i="7" s="1"/>
  <c r="C28" i="7"/>
  <c r="S28" i="7" s="1"/>
  <c r="G28" i="7"/>
  <c r="W28" i="7" s="1"/>
  <c r="N25" i="7"/>
  <c r="O25" i="7"/>
  <c r="P25" i="7"/>
  <c r="L29" i="7" l="1"/>
  <c r="AB29" i="7" s="1"/>
  <c r="A30" i="7"/>
  <c r="B29" i="7"/>
  <c r="R29" i="7" s="1"/>
  <c r="F29" i="7"/>
  <c r="V29" i="7" s="1"/>
  <c r="J29" i="7"/>
  <c r="Z29" i="7" s="1"/>
  <c r="C29" i="7"/>
  <c r="S29" i="7" s="1"/>
  <c r="G29" i="7"/>
  <c r="W29" i="7" s="1"/>
  <c r="K29" i="7"/>
  <c r="AA29" i="7" s="1"/>
  <c r="D29" i="7"/>
  <c r="T29" i="7" s="1"/>
  <c r="H29" i="7"/>
  <c r="X29" i="7" s="1"/>
  <c r="E29" i="7"/>
  <c r="U29" i="7" s="1"/>
  <c r="I29" i="7"/>
  <c r="Y29" i="7" s="1"/>
  <c r="N26" i="7"/>
  <c r="O26" i="7"/>
  <c r="P26" i="7"/>
  <c r="L30" i="7" l="1"/>
  <c r="AB30" i="7" s="1"/>
  <c r="A31" i="7"/>
  <c r="B30" i="7"/>
  <c r="R30" i="7" s="1"/>
  <c r="D30" i="7"/>
  <c r="T30" i="7" s="1"/>
  <c r="H30" i="7"/>
  <c r="X30" i="7" s="1"/>
  <c r="E30" i="7"/>
  <c r="U30" i="7" s="1"/>
  <c r="I30" i="7"/>
  <c r="Y30" i="7" s="1"/>
  <c r="F30" i="7"/>
  <c r="V30" i="7" s="1"/>
  <c r="J30" i="7"/>
  <c r="Z30" i="7" s="1"/>
  <c r="G30" i="7"/>
  <c r="W30" i="7" s="1"/>
  <c r="K30" i="7"/>
  <c r="AA30" i="7" s="1"/>
  <c r="C30" i="7"/>
  <c r="S30" i="7" s="1"/>
  <c r="P27" i="7"/>
  <c r="N27" i="7"/>
  <c r="O27" i="7"/>
  <c r="L31" i="7" l="1"/>
  <c r="AB31" i="7" s="1"/>
  <c r="A32" i="7"/>
  <c r="B31" i="7"/>
  <c r="R31" i="7" s="1"/>
  <c r="F31" i="7"/>
  <c r="V31" i="7" s="1"/>
  <c r="J31" i="7"/>
  <c r="Z31" i="7" s="1"/>
  <c r="C31" i="7"/>
  <c r="S31" i="7" s="1"/>
  <c r="G31" i="7"/>
  <c r="W31" i="7" s="1"/>
  <c r="D31" i="7"/>
  <c r="T31" i="7" s="1"/>
  <c r="H31" i="7"/>
  <c r="X31" i="7" s="1"/>
  <c r="K31" i="7"/>
  <c r="AA31" i="7" s="1"/>
  <c r="E31" i="7"/>
  <c r="U31" i="7" s="1"/>
  <c r="I31" i="7"/>
  <c r="Y31" i="7" s="1"/>
  <c r="O28" i="7"/>
  <c r="P28" i="7"/>
  <c r="N28" i="7"/>
  <c r="R32" i="7" l="1"/>
  <c r="V32" i="7"/>
  <c r="Z32" i="7"/>
  <c r="S32" i="7"/>
  <c r="X32" i="7"/>
  <c r="T32" i="7"/>
  <c r="Y32" i="7"/>
  <c r="U32" i="7"/>
  <c r="AA32" i="7"/>
  <c r="W32" i="7"/>
  <c r="AB32" i="7"/>
  <c r="L32" i="7"/>
  <c r="A33" i="7"/>
  <c r="B32" i="7"/>
  <c r="D32" i="7"/>
  <c r="H32" i="7"/>
  <c r="F32" i="7"/>
  <c r="J32" i="7"/>
  <c r="I32" i="7"/>
  <c r="C32" i="7"/>
  <c r="K32" i="7"/>
  <c r="E32" i="7"/>
  <c r="G32" i="7"/>
  <c r="N29" i="7"/>
  <c r="O29" i="7"/>
  <c r="P29" i="7"/>
  <c r="S33" i="7" l="1"/>
  <c r="W33" i="7"/>
  <c r="AA33" i="7"/>
  <c r="R33" i="7"/>
  <c r="X33" i="7"/>
  <c r="T33" i="7"/>
  <c r="Y33" i="7"/>
  <c r="U33" i="7"/>
  <c r="Z33" i="7"/>
  <c r="V33" i="7"/>
  <c r="AB33" i="7"/>
  <c r="L33" i="7"/>
  <c r="A34" i="7"/>
  <c r="B33" i="7"/>
  <c r="F33" i="7"/>
  <c r="J33" i="7"/>
  <c r="D33" i="7"/>
  <c r="H33" i="7"/>
  <c r="G33" i="7"/>
  <c r="I33" i="7"/>
  <c r="C33" i="7"/>
  <c r="K33" i="7"/>
  <c r="E33" i="7"/>
  <c r="N30" i="7"/>
  <c r="O30" i="7"/>
  <c r="P30" i="7"/>
  <c r="T34" i="7" l="1"/>
  <c r="X34" i="7"/>
  <c r="R34" i="7"/>
  <c r="W34" i="7"/>
  <c r="AB34" i="7"/>
  <c r="S34" i="7"/>
  <c r="Y34" i="7"/>
  <c r="U34" i="7"/>
  <c r="Z34" i="7"/>
  <c r="AA34" i="7"/>
  <c r="V34" i="7"/>
  <c r="L34" i="7"/>
  <c r="A35" i="7"/>
  <c r="B34" i="7"/>
  <c r="D34" i="7"/>
  <c r="H34" i="7"/>
  <c r="F34" i="7"/>
  <c r="J34" i="7"/>
  <c r="E34" i="7"/>
  <c r="G34" i="7"/>
  <c r="I34" i="7"/>
  <c r="C34" i="7"/>
  <c r="K34" i="7"/>
  <c r="P31" i="7"/>
  <c r="N31" i="7"/>
  <c r="O31" i="7"/>
  <c r="U35" i="7" l="1"/>
  <c r="Y35" i="7"/>
  <c r="R35" i="7"/>
  <c r="V35" i="7"/>
  <c r="Z35" i="7"/>
  <c r="S35" i="7"/>
  <c r="W35" i="7"/>
  <c r="AA35" i="7"/>
  <c r="T35" i="7"/>
  <c r="X35" i="7"/>
  <c r="AB35" i="7"/>
  <c r="L35" i="7"/>
  <c r="A36" i="7"/>
  <c r="B35" i="7"/>
  <c r="F35" i="7"/>
  <c r="J35" i="7"/>
  <c r="D35" i="7"/>
  <c r="C35" i="7"/>
  <c r="I35" i="7"/>
  <c r="E35" i="7"/>
  <c r="K35" i="7"/>
  <c r="G35" i="7"/>
  <c r="H35" i="7"/>
  <c r="O32" i="7"/>
  <c r="P32" i="7"/>
  <c r="N32" i="7"/>
  <c r="R36" i="7" l="1"/>
  <c r="V36" i="7"/>
  <c r="Z36" i="7"/>
  <c r="S36" i="7"/>
  <c r="W36" i="7"/>
  <c r="AA36" i="7"/>
  <c r="T36" i="7"/>
  <c r="X36" i="7"/>
  <c r="AB36" i="7"/>
  <c r="Y36" i="7"/>
  <c r="U36" i="7"/>
  <c r="L36" i="7"/>
  <c r="A37" i="7"/>
  <c r="B36" i="7"/>
  <c r="D36" i="7"/>
  <c r="H36" i="7"/>
  <c r="E36" i="7"/>
  <c r="J36" i="7"/>
  <c r="F36" i="7"/>
  <c r="K36" i="7"/>
  <c r="G36" i="7"/>
  <c r="I36" i="7"/>
  <c r="C36" i="7"/>
  <c r="N33" i="7"/>
  <c r="O33" i="7"/>
  <c r="P33" i="7"/>
  <c r="S37" i="7" l="1"/>
  <c r="W37" i="7"/>
  <c r="AA37" i="7"/>
  <c r="T37" i="7"/>
  <c r="X37" i="7"/>
  <c r="AB37" i="7"/>
  <c r="U37" i="7"/>
  <c r="Y37" i="7"/>
  <c r="R37" i="7"/>
  <c r="Z37" i="7"/>
  <c r="V37" i="7"/>
  <c r="L37" i="7"/>
  <c r="A38" i="7"/>
  <c r="B37" i="7"/>
  <c r="D37" i="7"/>
  <c r="H37" i="7"/>
  <c r="E37" i="7"/>
  <c r="I37" i="7"/>
  <c r="F37" i="7"/>
  <c r="J37" i="7"/>
  <c r="C37" i="7"/>
  <c r="G37" i="7"/>
  <c r="K37" i="7"/>
  <c r="N34" i="7"/>
  <c r="O34" i="7"/>
  <c r="P34" i="7"/>
  <c r="T38" i="7" l="1"/>
  <c r="X38" i="7"/>
  <c r="AB38" i="7"/>
  <c r="U38" i="7"/>
  <c r="Y38" i="7"/>
  <c r="R38" i="7"/>
  <c r="V38" i="7"/>
  <c r="Z38" i="7"/>
  <c r="S38" i="7"/>
  <c r="W38" i="7"/>
  <c r="AA38" i="7"/>
  <c r="L38" i="7"/>
  <c r="A39" i="7"/>
  <c r="B38" i="7"/>
  <c r="F38" i="7"/>
  <c r="J38" i="7"/>
  <c r="C38" i="7"/>
  <c r="G38" i="7"/>
  <c r="K38" i="7"/>
  <c r="D38" i="7"/>
  <c r="H38" i="7"/>
  <c r="E38" i="7"/>
  <c r="I38" i="7"/>
  <c r="P35" i="7"/>
  <c r="N35" i="7"/>
  <c r="O35" i="7"/>
  <c r="U39" i="7" l="1"/>
  <c r="Y39" i="7"/>
  <c r="R39" i="7"/>
  <c r="V39" i="7"/>
  <c r="Z39" i="7"/>
  <c r="S39" i="7"/>
  <c r="W39" i="7"/>
  <c r="AA39" i="7"/>
  <c r="X39" i="7"/>
  <c r="T39" i="7"/>
  <c r="AB39" i="7"/>
  <c r="L39" i="7"/>
  <c r="A40" i="7"/>
  <c r="B39" i="7"/>
  <c r="D39" i="7"/>
  <c r="H39" i="7"/>
  <c r="E39" i="7"/>
  <c r="I39" i="7"/>
  <c r="F39" i="7"/>
  <c r="J39" i="7"/>
  <c r="K39" i="7"/>
  <c r="G39" i="7"/>
  <c r="C39" i="7"/>
  <c r="O36" i="7"/>
  <c r="P36" i="7"/>
  <c r="N36" i="7"/>
  <c r="R40" i="7" l="1"/>
  <c r="V40" i="7"/>
  <c r="Z40" i="7"/>
  <c r="S40" i="7"/>
  <c r="W40" i="7"/>
  <c r="AA40" i="7"/>
  <c r="T40" i="7"/>
  <c r="X40" i="7"/>
  <c r="AB40" i="7"/>
  <c r="U40" i="7"/>
  <c r="Y40" i="7"/>
  <c r="L40" i="7"/>
  <c r="A41" i="7"/>
  <c r="B40" i="7"/>
  <c r="F40" i="7"/>
  <c r="J40" i="7"/>
  <c r="C40" i="7"/>
  <c r="G40" i="7"/>
  <c r="K40" i="7"/>
  <c r="D40" i="7"/>
  <c r="H40" i="7"/>
  <c r="E40" i="7"/>
  <c r="I40" i="7"/>
  <c r="N37" i="7"/>
  <c r="O37" i="7"/>
  <c r="P37" i="7"/>
  <c r="S41" i="7" l="1"/>
  <c r="W41" i="7"/>
  <c r="AA41" i="7"/>
  <c r="T41" i="7"/>
  <c r="X41" i="7"/>
  <c r="AB41" i="7"/>
  <c r="U41" i="7"/>
  <c r="Y41" i="7"/>
  <c r="R41" i="7"/>
  <c r="V41" i="7"/>
  <c r="Z41" i="7"/>
  <c r="L41" i="7"/>
  <c r="A42" i="7"/>
  <c r="B41" i="7"/>
  <c r="D41" i="7"/>
  <c r="H41" i="7"/>
  <c r="E41" i="7"/>
  <c r="I41" i="7"/>
  <c r="F41" i="7"/>
  <c r="J41" i="7"/>
  <c r="G41" i="7"/>
  <c r="C41" i="7"/>
  <c r="K41" i="7"/>
  <c r="N38" i="7"/>
  <c r="O38" i="7"/>
  <c r="P38" i="7"/>
  <c r="T42" i="7" l="1"/>
  <c r="X42" i="7"/>
  <c r="AB42" i="7"/>
  <c r="U42" i="7"/>
  <c r="Y42" i="7"/>
  <c r="R42" i="7"/>
  <c r="V42" i="7"/>
  <c r="Z42" i="7"/>
  <c r="W42" i="7"/>
  <c r="S42" i="7"/>
  <c r="AA42" i="7"/>
  <c r="L42" i="7"/>
  <c r="A43" i="7"/>
  <c r="B42" i="7"/>
  <c r="F42" i="7"/>
  <c r="J42" i="7"/>
  <c r="C42" i="7"/>
  <c r="G42" i="7"/>
  <c r="K42" i="7"/>
  <c r="D42" i="7"/>
  <c r="H42" i="7"/>
  <c r="E42" i="7"/>
  <c r="I42" i="7"/>
  <c r="P39" i="7"/>
  <c r="N39" i="7"/>
  <c r="O39" i="7"/>
  <c r="U43" i="7" l="1"/>
  <c r="Y43" i="7"/>
  <c r="R43" i="7"/>
  <c r="V43" i="7"/>
  <c r="S43" i="7"/>
  <c r="W43" i="7"/>
  <c r="AA43" i="7"/>
  <c r="Z43" i="7"/>
  <c r="AB43" i="7"/>
  <c r="T43" i="7"/>
  <c r="X43" i="7"/>
  <c r="L43" i="7"/>
  <c r="A44" i="7"/>
  <c r="B43" i="7"/>
  <c r="D43" i="7"/>
  <c r="H43" i="7"/>
  <c r="E43" i="7"/>
  <c r="I43" i="7"/>
  <c r="F43" i="7"/>
  <c r="J43" i="7"/>
  <c r="C43" i="7"/>
  <c r="G43" i="7"/>
  <c r="K43" i="7"/>
  <c r="N40" i="7"/>
  <c r="O40" i="7"/>
  <c r="P40" i="7"/>
  <c r="R44" i="7" l="1"/>
  <c r="V44" i="7"/>
  <c r="U44" i="7"/>
  <c r="Z44" i="7"/>
  <c r="T44" i="7"/>
  <c r="W44" i="7"/>
  <c r="AA44" i="7"/>
  <c r="S44" i="7"/>
  <c r="X44" i="7"/>
  <c r="AB44" i="7"/>
  <c r="Y44" i="7"/>
  <c r="L44" i="7"/>
  <c r="A45" i="7"/>
  <c r="B44" i="7"/>
  <c r="F44" i="7"/>
  <c r="J44" i="7"/>
  <c r="C44" i="7"/>
  <c r="G44" i="7"/>
  <c r="K44" i="7"/>
  <c r="D44" i="7"/>
  <c r="H44" i="7"/>
  <c r="I44" i="7"/>
  <c r="E44" i="7"/>
  <c r="P41" i="7"/>
  <c r="N41" i="7"/>
  <c r="O41" i="7"/>
  <c r="S45" i="7" l="1"/>
  <c r="W45" i="7"/>
  <c r="AA45" i="7"/>
  <c r="R45" i="7"/>
  <c r="T45" i="7"/>
  <c r="X45" i="7"/>
  <c r="AB45" i="7"/>
  <c r="V45" i="7"/>
  <c r="U45" i="7"/>
  <c r="Y45" i="7"/>
  <c r="Z45" i="7"/>
  <c r="L45" i="7"/>
  <c r="A46" i="7"/>
  <c r="B45" i="7"/>
  <c r="D45" i="7"/>
  <c r="H45" i="7"/>
  <c r="E45" i="7"/>
  <c r="I45" i="7"/>
  <c r="F45" i="7"/>
  <c r="J45" i="7"/>
  <c r="K45" i="7"/>
  <c r="C45" i="7"/>
  <c r="G45" i="7"/>
  <c r="O42" i="7"/>
  <c r="P42" i="7"/>
  <c r="N42" i="7"/>
  <c r="T46" i="7" l="1"/>
  <c r="X46" i="7"/>
  <c r="AB46" i="7"/>
  <c r="S46" i="7"/>
  <c r="W46" i="7"/>
  <c r="U46" i="7"/>
  <c r="Y46" i="7"/>
  <c r="R46" i="7"/>
  <c r="V46" i="7"/>
  <c r="Z46" i="7"/>
  <c r="AA46" i="7"/>
  <c r="L46" i="7"/>
  <c r="A47" i="7"/>
  <c r="B46" i="7"/>
  <c r="F46" i="7"/>
  <c r="J46" i="7"/>
  <c r="C46" i="7"/>
  <c r="G46" i="7"/>
  <c r="K46" i="7"/>
  <c r="D46" i="7"/>
  <c r="H46" i="7"/>
  <c r="E46" i="7"/>
  <c r="I46" i="7"/>
  <c r="N43" i="7"/>
  <c r="O43" i="7"/>
  <c r="P43" i="7"/>
  <c r="U47" i="7" l="1"/>
  <c r="Y47" i="7"/>
  <c r="X47" i="7"/>
  <c r="R47" i="7"/>
  <c r="V47" i="7"/>
  <c r="Z47" i="7"/>
  <c r="T47" i="7"/>
  <c r="S47" i="7"/>
  <c r="W47" i="7"/>
  <c r="AA47" i="7"/>
  <c r="AB47" i="7"/>
  <c r="L47" i="7"/>
  <c r="A48" i="7"/>
  <c r="B47" i="7"/>
  <c r="D47" i="7"/>
  <c r="H47" i="7"/>
  <c r="E47" i="7"/>
  <c r="I47" i="7"/>
  <c r="F47" i="7"/>
  <c r="J47" i="7"/>
  <c r="K47" i="7"/>
  <c r="C47" i="7"/>
  <c r="G47" i="7"/>
  <c r="N44" i="7"/>
  <c r="O44" i="7"/>
  <c r="P44" i="7"/>
  <c r="R48" i="7" l="1"/>
  <c r="V48" i="7"/>
  <c r="Z48" i="7"/>
  <c r="S48" i="7"/>
  <c r="W48" i="7"/>
  <c r="AA48" i="7"/>
  <c r="U48" i="7"/>
  <c r="T48" i="7"/>
  <c r="X48" i="7"/>
  <c r="AB48" i="7"/>
  <c r="Y48" i="7"/>
  <c r="L48" i="7"/>
  <c r="A49" i="7"/>
  <c r="B48" i="7"/>
  <c r="F48" i="7"/>
  <c r="J48" i="7"/>
  <c r="C48" i="7"/>
  <c r="G48" i="7"/>
  <c r="K48" i="7"/>
  <c r="D48" i="7"/>
  <c r="H48" i="7"/>
  <c r="E48" i="7"/>
  <c r="I48" i="7"/>
  <c r="P45" i="7"/>
  <c r="N45" i="7"/>
  <c r="O45" i="7"/>
  <c r="S49" i="7" l="1"/>
  <c r="W49" i="7"/>
  <c r="AA49" i="7"/>
  <c r="R49" i="7"/>
  <c r="Z49" i="7"/>
  <c r="T49" i="7"/>
  <c r="X49" i="7"/>
  <c r="AB49" i="7"/>
  <c r="V49" i="7"/>
  <c r="U49" i="7"/>
  <c r="Y49" i="7"/>
  <c r="L49" i="7"/>
  <c r="A50" i="7"/>
  <c r="B49" i="7"/>
  <c r="D49" i="7"/>
  <c r="H49" i="7"/>
  <c r="E49" i="7"/>
  <c r="I49" i="7"/>
  <c r="F49" i="7"/>
  <c r="J49" i="7"/>
  <c r="G49" i="7"/>
  <c r="K49" i="7"/>
  <c r="C49" i="7"/>
  <c r="O46" i="7"/>
  <c r="P46" i="7"/>
  <c r="N46" i="7"/>
  <c r="T50" i="7" l="1"/>
  <c r="X50" i="7"/>
  <c r="AB50" i="7"/>
  <c r="W50" i="7"/>
  <c r="U50" i="7"/>
  <c r="Y50" i="7"/>
  <c r="AA50" i="7"/>
  <c r="R50" i="7"/>
  <c r="V50" i="7"/>
  <c r="Z50" i="7"/>
  <c r="S50" i="7"/>
  <c r="L50" i="7"/>
  <c r="A51" i="7"/>
  <c r="B50" i="7"/>
  <c r="F50" i="7"/>
  <c r="J50" i="7"/>
  <c r="C50" i="7"/>
  <c r="G50" i="7"/>
  <c r="K50" i="7"/>
  <c r="D50" i="7"/>
  <c r="H50" i="7"/>
  <c r="I50" i="7"/>
  <c r="E50" i="7"/>
  <c r="N47" i="7"/>
  <c r="O47" i="7"/>
  <c r="P47" i="7"/>
  <c r="U51" i="7" l="1"/>
  <c r="Y51" i="7"/>
  <c r="X51" i="7"/>
  <c r="AB51" i="7"/>
  <c r="R51" i="7"/>
  <c r="V51" i="7"/>
  <c r="Z51" i="7"/>
  <c r="S51" i="7"/>
  <c r="W51" i="7"/>
  <c r="AA51" i="7"/>
  <c r="T51" i="7"/>
  <c r="L51" i="7"/>
  <c r="A52" i="7"/>
  <c r="B51" i="7"/>
  <c r="D51" i="7"/>
  <c r="H51" i="7"/>
  <c r="E51" i="7"/>
  <c r="I51" i="7"/>
  <c r="F51" i="7"/>
  <c r="J51" i="7"/>
  <c r="C51" i="7"/>
  <c r="G51" i="7"/>
  <c r="K51" i="7"/>
  <c r="N48" i="7"/>
  <c r="O48" i="7"/>
  <c r="P48" i="7"/>
  <c r="R52" i="7" l="1"/>
  <c r="V52" i="7"/>
  <c r="Z52" i="7"/>
  <c r="Y52" i="7"/>
  <c r="S52" i="7"/>
  <c r="W52" i="7"/>
  <c r="AA52" i="7"/>
  <c r="T52" i="7"/>
  <c r="X52" i="7"/>
  <c r="AB52" i="7"/>
  <c r="U52" i="7"/>
  <c r="L52" i="7"/>
  <c r="A53" i="7"/>
  <c r="B52" i="7"/>
  <c r="F52" i="7"/>
  <c r="J52" i="7"/>
  <c r="C52" i="7"/>
  <c r="G52" i="7"/>
  <c r="K52" i="7"/>
  <c r="D52" i="7"/>
  <c r="H52" i="7"/>
  <c r="I52" i="7"/>
  <c r="E52" i="7"/>
  <c r="P49" i="7"/>
  <c r="N49" i="7"/>
  <c r="O49" i="7"/>
  <c r="S53" i="7" l="1"/>
  <c r="W53" i="7"/>
  <c r="AA53" i="7"/>
  <c r="T53" i="7"/>
  <c r="X53" i="7"/>
  <c r="AB53" i="7"/>
  <c r="V53" i="7"/>
  <c r="U53" i="7"/>
  <c r="Y53" i="7"/>
  <c r="R53" i="7"/>
  <c r="Z53" i="7"/>
  <c r="L53" i="7"/>
  <c r="A54" i="7"/>
  <c r="B53" i="7"/>
  <c r="D53" i="7"/>
  <c r="H53" i="7"/>
  <c r="E53" i="7"/>
  <c r="I53" i="7"/>
  <c r="F53" i="7"/>
  <c r="J53" i="7"/>
  <c r="C53" i="7"/>
  <c r="G53" i="7"/>
  <c r="K53" i="7"/>
  <c r="O50" i="7"/>
  <c r="P50" i="7"/>
  <c r="N50" i="7"/>
  <c r="T54" i="7" l="1"/>
  <c r="X54" i="7"/>
  <c r="AB54" i="7"/>
  <c r="S54" i="7"/>
  <c r="AA54" i="7"/>
  <c r="U54" i="7"/>
  <c r="Y54" i="7"/>
  <c r="R54" i="7"/>
  <c r="V54" i="7"/>
  <c r="Z54" i="7"/>
  <c r="W54" i="7"/>
  <c r="L54" i="7"/>
  <c r="A55" i="7"/>
  <c r="B54" i="7"/>
  <c r="F54" i="7"/>
  <c r="J54" i="7"/>
  <c r="C54" i="7"/>
  <c r="G54" i="7"/>
  <c r="K54" i="7"/>
  <c r="D54" i="7"/>
  <c r="H54" i="7"/>
  <c r="E54" i="7"/>
  <c r="I54" i="7"/>
  <c r="N51" i="7"/>
  <c r="O51" i="7"/>
  <c r="P51" i="7"/>
  <c r="U55" i="7" l="1"/>
  <c r="Y55" i="7"/>
  <c r="AB55" i="7"/>
  <c r="R55" i="7"/>
  <c r="V55" i="7"/>
  <c r="Z55" i="7"/>
  <c r="X55" i="7"/>
  <c r="S55" i="7"/>
  <c r="W55" i="7"/>
  <c r="AA55" i="7"/>
  <c r="T55" i="7"/>
  <c r="L55" i="7"/>
  <c r="A56" i="7"/>
  <c r="B55" i="7"/>
  <c r="D55" i="7"/>
  <c r="H55" i="7"/>
  <c r="E55" i="7"/>
  <c r="I55" i="7"/>
  <c r="F55" i="7"/>
  <c r="J55" i="7"/>
  <c r="K55" i="7"/>
  <c r="G55" i="7"/>
  <c r="C55" i="7"/>
  <c r="N52" i="7"/>
  <c r="O52" i="7"/>
  <c r="P52" i="7"/>
  <c r="R56" i="7" l="1"/>
  <c r="V56" i="7"/>
  <c r="Z56" i="7"/>
  <c r="Y56" i="7"/>
  <c r="S56" i="7"/>
  <c r="W56" i="7"/>
  <c r="AA56" i="7"/>
  <c r="T56" i="7"/>
  <c r="X56" i="7"/>
  <c r="AB56" i="7"/>
  <c r="U56" i="7"/>
  <c r="L56" i="7"/>
  <c r="A57" i="7"/>
  <c r="B56" i="7"/>
  <c r="F56" i="7"/>
  <c r="J56" i="7"/>
  <c r="C56" i="7"/>
  <c r="G56" i="7"/>
  <c r="K56" i="7"/>
  <c r="D56" i="7"/>
  <c r="H56" i="7"/>
  <c r="E56" i="7"/>
  <c r="I56" i="7"/>
  <c r="P53" i="7"/>
  <c r="N53" i="7"/>
  <c r="O53" i="7"/>
  <c r="S57" i="7" l="1"/>
  <c r="W57" i="7"/>
  <c r="AA57" i="7"/>
  <c r="Z57" i="7"/>
  <c r="T57" i="7"/>
  <c r="X57" i="7"/>
  <c r="AB57" i="7"/>
  <c r="V57" i="7"/>
  <c r="U57" i="7"/>
  <c r="Y57" i="7"/>
  <c r="R57" i="7"/>
  <c r="L57" i="7"/>
  <c r="A58" i="7"/>
  <c r="B57" i="7"/>
  <c r="D57" i="7"/>
  <c r="H57" i="7"/>
  <c r="E57" i="7"/>
  <c r="I57" i="7"/>
  <c r="F57" i="7"/>
  <c r="J57" i="7"/>
  <c r="G57" i="7"/>
  <c r="K57" i="7"/>
  <c r="C57" i="7"/>
  <c r="O54" i="7"/>
  <c r="P54" i="7"/>
  <c r="N54" i="7"/>
  <c r="B58" i="7" l="1"/>
  <c r="L58" i="7"/>
  <c r="F58" i="7"/>
  <c r="J58" i="7"/>
  <c r="C58" i="7"/>
  <c r="G58" i="7"/>
  <c r="K58" i="7"/>
  <c r="D58" i="7"/>
  <c r="H58" i="7"/>
  <c r="E58" i="7"/>
  <c r="I58" i="7"/>
  <c r="N55" i="7"/>
  <c r="O55" i="7"/>
  <c r="P55" i="7"/>
  <c r="N56" i="7" l="1"/>
  <c r="O56" i="7"/>
  <c r="P56" i="7"/>
  <c r="P57" i="7" l="1"/>
  <c r="N57" i="7"/>
  <c r="O57" i="7"/>
  <c r="T58" i="7" l="1"/>
  <c r="Z58" i="7"/>
  <c r="O58" i="7"/>
  <c r="P58" i="7"/>
  <c r="X58" i="7"/>
  <c r="Y58" i="7"/>
  <c r="N58" i="7"/>
  <c r="U58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<sst xmlns="http://schemas.openxmlformats.org/spreadsheetml/2006/main" count="10667" uniqueCount="141">
  <si>
    <t>Item</t>
  </si>
  <si>
    <t>Category</t>
  </si>
  <si>
    <t>Project</t>
  </si>
  <si>
    <t>Description</t>
  </si>
  <si>
    <t>Start</t>
  </si>
  <si>
    <t>End</t>
  </si>
  <si>
    <t>Total</t>
  </si>
  <si>
    <t>Total (s)</t>
  </si>
  <si>
    <t>Total (m)</t>
  </si>
  <si>
    <t>Total (h)</t>
  </si>
  <si>
    <t>Project List</t>
  </si>
  <si>
    <t>Non-project</t>
  </si>
  <si>
    <t>Sunday of Each Week</t>
  </si>
  <si>
    <t>Starting Week</t>
  </si>
  <si>
    <t>Current Week?</t>
  </si>
  <si>
    <t>Look at Week</t>
  </si>
  <si>
    <t>Personal</t>
  </si>
  <si>
    <t>Date</t>
  </si>
  <si>
    <t>Day</t>
  </si>
  <si>
    <t>Sunday</t>
  </si>
  <si>
    <t>Monday</t>
  </si>
  <si>
    <t>Tuesday</t>
  </si>
  <si>
    <t>Wednesday</t>
  </si>
  <si>
    <t>Thursday</t>
  </si>
  <si>
    <t>Friday</t>
  </si>
  <si>
    <t>Saturday</t>
  </si>
  <si>
    <t>Running Total</t>
  </si>
  <si>
    <t>Weekly Total</t>
  </si>
  <si>
    <t>Absorption</t>
  </si>
  <si>
    <t>Utilization</t>
  </si>
  <si>
    <t>Office Hrs</t>
  </si>
  <si>
    <t>Include?</t>
  </si>
  <si>
    <t>x</t>
  </si>
  <si>
    <t>PTO</t>
  </si>
  <si>
    <t>Charge Code List</t>
  </si>
  <si>
    <t>Charge Code</t>
  </si>
  <si>
    <t>EN-C3-ME-AC</t>
  </si>
  <si>
    <t>TBD</t>
  </si>
  <si>
    <t>EN-ME-MI</t>
  </si>
  <si>
    <t>EN-ME-TS</t>
  </si>
  <si>
    <t>HI6092-EN-C3-ME-AC</t>
  </si>
  <si>
    <t>HI6092-EN-C3-ME-LO</t>
  </si>
  <si>
    <t>HI6092-EN-C3-ME-CD</t>
  </si>
  <si>
    <t>EN-C3-ME-CD</t>
  </si>
  <si>
    <t>EN-C3-ME-CG</t>
  </si>
  <si>
    <t>EN-C3-ME-CR</t>
  </si>
  <si>
    <t>EN-C3-ME-GF</t>
  </si>
  <si>
    <t>EN-C3-ME-LO</t>
  </si>
  <si>
    <t>EN-C3-ME-UB</t>
  </si>
  <si>
    <t>EN-ME-SAP</t>
  </si>
  <si>
    <t>EN-ME-BOM</t>
  </si>
  <si>
    <t>EN-ME-SPOOL</t>
  </si>
  <si>
    <t>Pipe Spool BOM creation</t>
  </si>
  <si>
    <t>EN-ME-BULK</t>
  </si>
  <si>
    <t>EN-ME-MISC</t>
  </si>
  <si>
    <t>Misc BOM/Dwg/Instruction creation</t>
  </si>
  <si>
    <t>EN-ME-CHK</t>
  </si>
  <si>
    <t>EN-ME-PROD</t>
  </si>
  <si>
    <t>Production Schedule Support</t>
  </si>
  <si>
    <t>EN-ME-SPIN</t>
  </si>
  <si>
    <t>Mechanical Spin Test Planning</t>
  </si>
  <si>
    <t>EN-ME-CSA</t>
  </si>
  <si>
    <t>Preparation for CSA Certification</t>
  </si>
  <si>
    <t>EN-ME-ME</t>
  </si>
  <si>
    <t>HI6092-EN-C3-ME-MI</t>
  </si>
  <si>
    <t>EN-C3-ME-MI</t>
  </si>
  <si>
    <t>EN-ME-CD</t>
  </si>
  <si>
    <t>EN-ME-PS</t>
  </si>
  <si>
    <t>HI6084-EN-ME-PS</t>
  </si>
  <si>
    <t>Customer Documents</t>
  </si>
  <si>
    <t>HI6092-EN-C3-ME-CG</t>
  </si>
  <si>
    <t>A35 Training</t>
  </si>
  <si>
    <t>NPRM</t>
  </si>
  <si>
    <t>HINPRM-NPRM</t>
  </si>
  <si>
    <t>Holiday</t>
  </si>
  <si>
    <t>Day of Week Observed</t>
  </si>
  <si>
    <t>New Year's Day</t>
  </si>
  <si>
    <t>Memorial Day</t>
  </si>
  <si>
    <t>Independence Day
(observed)</t>
  </si>
  <si>
    <t>Labor Day</t>
  </si>
  <si>
    <t>Thanksgiving Day</t>
  </si>
  <si>
    <t>Day after Thanksgiving</t>
  </si>
  <si>
    <t>Christmas Eve
(observed)</t>
  </si>
  <si>
    <t>Christmas Day
(observed)</t>
  </si>
  <si>
    <t>EN-C3-ME-DR</t>
  </si>
  <si>
    <t>HI6092-TBD</t>
  </si>
  <si>
    <t>HI6092-EN-C3-ME-GF</t>
  </si>
  <si>
    <t>EN-ME-GB</t>
  </si>
  <si>
    <t>HI6092-EN-C3-ME-GB</t>
  </si>
  <si>
    <t>OG5-IP-00150-002</t>
  </si>
  <si>
    <t>HIyyyy-OG5-IP-00150-002</t>
  </si>
  <si>
    <t>Current Week</t>
  </si>
  <si>
    <t>EN-C3-PE-PE</t>
  </si>
  <si>
    <t>HI6092-EN-C3-PE-PE</t>
  </si>
  <si>
    <t>EN-C3-ME-FO</t>
  </si>
  <si>
    <t>HI6092-EN-C3-ME-FO</t>
  </si>
  <si>
    <t>Archive</t>
  </si>
  <si>
    <t>IC-EN</t>
  </si>
  <si>
    <t>NCR</t>
  </si>
  <si>
    <t>HI6088-NCR</t>
  </si>
  <si>
    <t>HINPRM-TBD</t>
  </si>
  <si>
    <t>HI6069-NCR</t>
  </si>
  <si>
    <t>HI6096-TBD</t>
  </si>
  <si>
    <t>C3 Acoustic System</t>
  </si>
  <si>
    <t>C3 Customer Documents</t>
  </si>
  <si>
    <t>C3 Coupling Guard</t>
  </si>
  <si>
    <t>C3 Customer Response</t>
  </si>
  <si>
    <t>C3 Driver Drivetrain</t>
  </si>
  <si>
    <t>C3 Fitout</t>
  </si>
  <si>
    <t>C3 Gas Fuel System</t>
  </si>
  <si>
    <t>C3 Lube Oil System</t>
  </si>
  <si>
    <t>C3 Meetings, Internal</t>
  </si>
  <si>
    <t>C3 Underbase</t>
  </si>
  <si>
    <t>C3 Project Engineer</t>
  </si>
  <si>
    <t>BOM Conversion</t>
  </si>
  <si>
    <t>Bulk BOM Creation</t>
  </si>
  <si>
    <t>BOM Check</t>
  </si>
  <si>
    <t>Gearbox</t>
  </si>
  <si>
    <t>Meetings, External</t>
  </si>
  <si>
    <t>Meetings, Internal</t>
  </si>
  <si>
    <t>Production Support</t>
  </si>
  <si>
    <t>SAP Data Transfer</t>
  </si>
  <si>
    <t>Test Specification</t>
  </si>
  <si>
    <t>Internal Charge</t>
  </si>
  <si>
    <t>Non Conformance</t>
  </si>
  <si>
    <t>Non Project Meeting</t>
  </si>
  <si>
    <t>Make It Right Initiative</t>
  </si>
  <si>
    <t>Weekly Task Split</t>
  </si>
  <si>
    <r>
      <t xml:space="preserve">           </t>
    </r>
    <r>
      <rPr>
        <b/>
        <u/>
        <sz val="11"/>
        <color theme="1"/>
        <rFont val="Calibri"/>
        <family val="2"/>
        <scheme val="minor"/>
      </rPr>
      <t>Project Allocation by Week</t>
    </r>
  </si>
  <si>
    <r>
      <t xml:space="preserve">                    </t>
    </r>
    <r>
      <rPr>
        <b/>
        <u/>
        <sz val="11"/>
        <color theme="1"/>
        <rFont val="Calibri"/>
        <family val="2"/>
        <scheme val="minor"/>
      </rPr>
      <t>Task Allocation by Day</t>
    </r>
  </si>
  <si>
    <r>
      <t xml:space="preserve">                        </t>
    </r>
    <r>
      <rPr>
        <b/>
        <u/>
        <sz val="11"/>
        <color theme="1"/>
        <rFont val="Calibri"/>
        <family val="2"/>
        <scheme val="minor"/>
      </rPr>
      <t xml:space="preserve">Weekly </t>
    </r>
    <r>
      <rPr>
        <b/>
        <u/>
        <sz val="11"/>
        <color theme="4"/>
        <rFont val="Calibri"/>
        <family val="2"/>
        <scheme val="minor"/>
      </rPr>
      <t xml:space="preserve">Absorbtion </t>
    </r>
    <r>
      <rPr>
        <b/>
        <u/>
        <sz val="11"/>
        <color theme="6"/>
        <rFont val="Calibri"/>
        <family val="2"/>
        <scheme val="minor"/>
      </rPr>
      <t xml:space="preserve">Utilization </t>
    </r>
    <r>
      <rPr>
        <b/>
        <u/>
        <sz val="11"/>
        <rFont val="Calibri"/>
        <family val="2"/>
        <scheme val="minor"/>
      </rPr>
      <t xml:space="preserve">and </t>
    </r>
    <r>
      <rPr>
        <b/>
        <u/>
        <sz val="11"/>
        <color theme="5"/>
        <rFont val="Calibri"/>
        <family val="2"/>
        <scheme val="minor"/>
      </rPr>
      <t>Total Office Hours</t>
    </r>
  </si>
  <si>
    <r>
      <t xml:space="preserve">   </t>
    </r>
    <r>
      <rPr>
        <b/>
        <u/>
        <sz val="11"/>
        <color theme="1"/>
        <rFont val="Calibri"/>
        <family val="2"/>
        <scheme val="minor"/>
      </rPr>
      <t xml:space="preserve">Daily </t>
    </r>
    <r>
      <rPr>
        <b/>
        <u/>
        <sz val="11"/>
        <color theme="4"/>
        <rFont val="Calibri"/>
        <family val="2"/>
        <scheme val="minor"/>
      </rPr>
      <t xml:space="preserve">Absorbtion </t>
    </r>
    <r>
      <rPr>
        <b/>
        <u/>
        <sz val="11"/>
        <color theme="6"/>
        <rFont val="Calibri"/>
        <family val="2"/>
        <scheme val="minor"/>
      </rPr>
      <t xml:space="preserve">Utilization </t>
    </r>
    <r>
      <rPr>
        <b/>
        <u/>
        <sz val="11"/>
        <rFont val="Calibri"/>
        <family val="2"/>
        <scheme val="minor"/>
      </rPr>
      <t xml:space="preserve">and </t>
    </r>
    <r>
      <rPr>
        <b/>
        <u/>
        <sz val="11"/>
        <color theme="5"/>
        <rFont val="Calibri"/>
        <family val="2"/>
        <scheme val="minor"/>
      </rPr>
      <t>Total Office Hours</t>
    </r>
  </si>
  <si>
    <t>AAAA Project</t>
  </si>
  <si>
    <t>BBBB Project</t>
  </si>
  <si>
    <t>CCCC Project</t>
  </si>
  <si>
    <t>DDDD Project</t>
  </si>
  <si>
    <t>EEEE Project</t>
  </si>
  <si>
    <t>FFFF Project</t>
  </si>
  <si>
    <t>GGGG Project</t>
  </si>
  <si>
    <t>HHHH Project</t>
  </si>
  <si>
    <t>Description of task anonymized for external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</si>
</sst>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5F753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772C2A"/>
        <bgColor indexed="64"/>
      </patternFill>
    </fill>
    <fill>
      <patternFill patternType="solid">
        <fgColor rgb="FF276A7C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22" fontId="0" fillId="0" borderId="0" xfId="0" applyNumberFormat="1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9" fontId="0" fillId="0" borderId="0" xfId="1" applyFont="1"/>
    <xf numFmtId="0" fontId="0" fillId="3" borderId="0" xfId="0" applyFill="1"/>
    <xf numFmtId="0" fontId="3" fillId="3" borderId="0" xfId="0" applyFont="1" applyFill="1"/>
    <xf numFmtId="0" fontId="1" fillId="3" borderId="0" xfId="0" applyFont="1" applyFill="1"/>
    <xf numFmtId="164" fontId="0" fillId="3" borderId="0" xfId="0" applyNumberFormat="1" applyFill="1"/>
    <xf numFmtId="2" fontId="0" fillId="3" borderId="0" xfId="0" applyNumberFormat="1" applyFill="1"/>
    <xf numFmtId="9" fontId="0" fillId="3" borderId="0" xfId="1" applyFont="1" applyFill="1"/>
    <xf numFmtId="0" fontId="0" fillId="3" borderId="1" xfId="0" applyFill="1" applyBorder="1"/>
    <xf numFmtId="164" fontId="0" fillId="3" borderId="1" xfId="0" applyNumberFormat="1" applyFill="1" applyBorder="1"/>
    <xf numFmtId="2" fontId="0" fillId="3" borderId="1" xfId="0" applyNumberFormat="1" applyFill="1" applyBorder="1"/>
    <xf numFmtId="9" fontId="0" fillId="3" borderId="1" xfId="1" applyFont="1" applyFill="1" applyBorder="1"/>
    <xf numFmtId="0" fontId="4" fillId="3" borderId="0" xfId="0" applyFont="1" applyFill="1"/>
    <xf numFmtId="2" fontId="4" fillId="3" borderId="0" xfId="0" applyNumberFormat="1" applyFont="1" applyFill="1"/>
    <xf numFmtId="9" fontId="4" fillId="3" borderId="0" xfId="1" applyFont="1" applyFill="1"/>
    <xf numFmtId="0" fontId="0" fillId="3" borderId="2" xfId="0" applyFill="1" applyBorder="1"/>
    <xf numFmtId="0" fontId="0" fillId="0" borderId="0" xfId="0" quotePrefix="1"/>
    <xf numFmtId="0" fontId="1" fillId="3" borderId="1" xfId="0" applyFont="1" applyFill="1" applyBorder="1"/>
    <xf numFmtId="0" fontId="1" fillId="3" borderId="0" xfId="0" applyFont="1" applyFill="1" applyAlignment="1">
      <alignment horizontal="center"/>
    </xf>
    <xf numFmtId="2" fontId="0" fillId="2" borderId="0" xfId="0" applyNumberFormat="1" applyFill="1"/>
    <xf numFmtId="2" fontId="0" fillId="3" borderId="2" xfId="0" applyNumberFormat="1" applyFill="1" applyBorder="1" applyAlignment="1">
      <alignment horizontal="right"/>
    </xf>
    <xf numFmtId="0" fontId="1" fillId="3" borderId="2" xfId="0" applyFont="1" applyFill="1" applyBorder="1"/>
    <xf numFmtId="164" fontId="1" fillId="3" borderId="2" xfId="0" applyNumberFormat="1" applyFont="1" applyFill="1" applyBorder="1" applyAlignment="1">
      <alignment horizontal="center"/>
    </xf>
    <xf numFmtId="2" fontId="0" fillId="3" borderId="0" xfId="0" applyNumberFormat="1" applyFill="1" applyBorder="1" applyAlignment="1">
      <alignment horizontal="right"/>
    </xf>
    <xf numFmtId="2" fontId="0" fillId="3" borderId="3" xfId="0" applyNumberFormat="1" applyFill="1" applyBorder="1" applyAlignment="1">
      <alignment horizontal="right"/>
    </xf>
    <xf numFmtId="0" fontId="1" fillId="3" borderId="3" xfId="0" applyFont="1" applyFill="1" applyBorder="1"/>
    <xf numFmtId="0" fontId="0" fillId="3" borderId="0" xfId="0" applyFont="1" applyFill="1"/>
    <xf numFmtId="1" fontId="0" fillId="0" borderId="0" xfId="0" applyNumberFormat="1"/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9" fontId="2" fillId="0" borderId="0" xfId="1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76A7C"/>
      <color rgb="FF772C2A"/>
      <color rgb="FF5F75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3335505260416"/>
          <c:y val="0.1873233737842"/>
          <c:w val="0.56501787623014266"/>
          <c:h val="0.7092026767203119"/>
        </c:manualLayout>
      </c:layout>
      <c:pieChart>
        <c:varyColors val="1"/>
        <c:ser>
          <c:idx val="0"/>
          <c:order val="0"/>
          <c:tx>
            <c:strRef>
              <c:f>Summary!$C$7</c:f>
              <c:strCache>
                <c:ptCount val="1"/>
                <c:pt idx="0">
                  <c:v>11-Apr-21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65-49E4-A0AA-33881F1716B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65-49E4-A0AA-33881F1716B7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65-49E4-A0AA-33881F1716B7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65-49E4-A0AA-33881F1716B7}"/>
              </c:ext>
            </c:extLst>
          </c:dPt>
          <c:dPt>
            <c:idx val="4"/>
            <c:bubble3D val="0"/>
            <c:spPr>
              <a:solidFill>
                <a:srgbClr val="5F753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65-49E4-A0AA-33881F1716B7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848-4C14-8D93-68B7A3FC1E17}"/>
              </c:ext>
            </c:extLst>
          </c:dPt>
          <c:dPt>
            <c:idx val="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0A8-445F-8692-847DE05CC0C6}"/>
              </c:ext>
            </c:extLst>
          </c:dPt>
          <c:dPt>
            <c:idx val="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22-4DDD-9AF9-8A9999D6B639}"/>
              </c:ext>
            </c:extLst>
          </c:dPt>
          <c:dPt>
            <c:idx val="8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816-4343-91B4-2D015EEDDB9F}"/>
              </c:ext>
            </c:extLst>
          </c:dPt>
          <c:dPt>
            <c:idx val="9"/>
            <c:bubble3D val="0"/>
            <c:spPr>
              <a:solidFill>
                <a:srgbClr val="772C2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53F-4D5C-9E7C-1F6C89F3BD7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69F-4A26-90B4-0DCB0D70E5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Summary!$G$17:$Q$17</c:f>
              <c:strCache>
                <c:ptCount val="11"/>
                <c:pt idx="0">
                  <c:v>Holiday</c:v>
                </c:pt>
                <c:pt idx="1">
                  <c:v>PTO</c:v>
                </c:pt>
                <c:pt idx="2">
                  <c:v>Personal</c:v>
                </c:pt>
                <c:pt idx="3">
                  <c:v>Non-project</c:v>
                </c:pt>
                <c:pt idx="4">
                  <c:v>NPRM</c:v>
                </c:pt>
                <c:pt idx="5">
                  <c:v>Archive</c:v>
                </c:pt>
                <c:pt idx="6">
                  <c:v>AAAA Project</c:v>
                </c:pt>
                <c:pt idx="7">
                  <c:v>BBBB Project</c:v>
                </c:pt>
                <c:pt idx="8">
                  <c:v>CCCC Project</c:v>
                </c:pt>
                <c:pt idx="9">
                  <c:v>DDDD Project</c:v>
                </c:pt>
                <c:pt idx="10">
                  <c:v>EEEE Project</c:v>
                </c:pt>
              </c:strCache>
            </c:strRef>
          </c:cat>
          <c:val>
            <c:numRef>
              <c:f>Summary!$G$25:$Q$25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3.3418998654924774</c:v>
                </c:pt>
                <c:pt idx="3">
                  <c:v>16.16369480696228</c:v>
                </c:pt>
                <c:pt idx="4">
                  <c:v>8.5612778449081013</c:v>
                </c:pt>
                <c:pt idx="5">
                  <c:v>2.8382952861838802</c:v>
                </c:pt>
                <c:pt idx="6">
                  <c:v>18.503974909909012</c:v>
                </c:pt>
                <c:pt idx="7">
                  <c:v>2.9693666221531174</c:v>
                </c:pt>
                <c:pt idx="8">
                  <c:v>0</c:v>
                </c:pt>
                <c:pt idx="9">
                  <c:v>0</c:v>
                </c:pt>
                <c:pt idx="10">
                  <c:v>3.2457622542231164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D7-4D5B-A8C8-E1659B7E043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79536170186707"/>
          <c:y val="0.13704704491206721"/>
          <c:w val="0.28199698194454725"/>
          <c:h val="0.76120841344570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9"/>
          <c:order val="0"/>
          <c:tx>
            <c:strRef>
              <c:f>'Report Out Chart'!$B$1</c:f>
              <c:strCache>
                <c:ptCount val="1"/>
                <c:pt idx="0">
                  <c:v>Holiday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Chart'!$B$2:$B$58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16.097460464754224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16.097460464754224</c:v>
                </c:pt>
                <c:pt idx="12">
                  <c:v>8.0487302323771122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D4-47D9-8F37-95814E15018F}"/>
            </c:ext>
          </c:extLst>
        </c:ser>
        <c:ser>
          <c:idx val="5"/>
          <c:order val="1"/>
          <c:tx>
            <c:strRef>
              <c:f>'Report Out Chart'!$C$1</c:f>
              <c:strCache>
                <c:ptCount val="1"/>
                <c:pt idx="0">
                  <c:v>PTO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Chart'!$C$2:$C$58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8.0487302323771122</c:v>
                </c:pt>
                <c:pt idx="3">
                  <c:v>8.0487302323771122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8.0487302323771122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24.146190697131338</c:v>
                </c:pt>
                <c:pt idx="12">
                  <c:v>24.146190697131338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16.097460464754224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12.073095348477825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B-4A69-AD7B-13E82CEFAFCF}"/>
            </c:ext>
          </c:extLst>
        </c:ser>
        <c:ser>
          <c:idx val="0"/>
          <c:order val="2"/>
          <c:tx>
            <c:strRef>
              <c:f>'Report Out Chart'!$D$1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Chart'!$D$2:$D$58</c:f>
              <c:numCache>
                <c:formatCode>0</c:formatCode>
                <c:ptCount val="57"/>
                <c:pt idx="0">
                  <c:v>6.1094892918029835</c:v>
                </c:pt>
                <c:pt idx="1">
                  <c:v>6.9487371003442497</c:v>
                </c:pt>
                <c:pt idx="2">
                  <c:v>6.056110560752507</c:v>
                </c:pt>
                <c:pt idx="3">
                  <c:v>4.8982671796524802</c:v>
                </c:pt>
                <c:pt idx="4">
                  <c:v>6.9375583087284136</c:v>
                </c:pt>
                <c:pt idx="5">
                  <c:v>4.9038565760753023</c:v>
                </c:pt>
                <c:pt idx="6">
                  <c:v>6.4635775284403705</c:v>
                </c:pt>
                <c:pt idx="7">
                  <c:v>1.756467691163613</c:v>
                </c:pt>
                <c:pt idx="8">
                  <c:v>5.1746628118981661</c:v>
                </c:pt>
                <c:pt idx="9">
                  <c:v>7.0493462282248052</c:v>
                </c:pt>
                <c:pt idx="10">
                  <c:v>6.6896685960430302</c:v>
                </c:pt>
                <c:pt idx="11">
                  <c:v>0</c:v>
                </c:pt>
                <c:pt idx="12">
                  <c:v>1.8573562889092328</c:v>
                </c:pt>
                <c:pt idx="13">
                  <c:v>9.243463626002649</c:v>
                </c:pt>
                <c:pt idx="14">
                  <c:v>5.0150855561929406</c:v>
                </c:pt>
                <c:pt idx="15">
                  <c:v>6.342287635640087</c:v>
                </c:pt>
                <c:pt idx="16">
                  <c:v>7.671725472075182</c:v>
                </c:pt>
                <c:pt idx="17">
                  <c:v>4.9784750123026882</c:v>
                </c:pt>
                <c:pt idx="18">
                  <c:v>6.9230258790832018</c:v>
                </c:pt>
                <c:pt idx="19">
                  <c:v>2.7077828895933949</c:v>
                </c:pt>
                <c:pt idx="20">
                  <c:v>7.3494967935545343</c:v>
                </c:pt>
                <c:pt idx="21">
                  <c:v>4.8935161933519087</c:v>
                </c:pt>
                <c:pt idx="22">
                  <c:v>4.8937956633926571</c:v>
                </c:pt>
                <c:pt idx="23">
                  <c:v>5.0969702073307772</c:v>
                </c:pt>
                <c:pt idx="24">
                  <c:v>4.5869378230582916</c:v>
                </c:pt>
                <c:pt idx="25">
                  <c:v>5.9035200495656088</c:v>
                </c:pt>
                <c:pt idx="26">
                  <c:v>7.2698479004587657</c:v>
                </c:pt>
                <c:pt idx="27">
                  <c:v>3.3418998654924774</c:v>
                </c:pt>
                <c:pt idx="28">
                  <c:v>2.2332431695752248</c:v>
                </c:pt>
                <c:pt idx="29">
                  <c:v>1.748083597495659</c:v>
                </c:pt>
                <c:pt idx="30">
                  <c:v>1.748083597495659</c:v>
                </c:pt>
                <c:pt idx="31">
                  <c:v>1.748083597495659</c:v>
                </c:pt>
                <c:pt idx="32">
                  <c:v>1.748083597495659</c:v>
                </c:pt>
                <c:pt idx="33">
                  <c:v>1.748083597495659</c:v>
                </c:pt>
                <c:pt idx="34">
                  <c:v>1.748083597495659</c:v>
                </c:pt>
                <c:pt idx="35">
                  <c:v>1.748083597495659</c:v>
                </c:pt>
                <c:pt idx="36">
                  <c:v>1.748083597495659</c:v>
                </c:pt>
                <c:pt idx="37">
                  <c:v>1.748083597495659</c:v>
                </c:pt>
                <c:pt idx="38">
                  <c:v>1.748083597495659</c:v>
                </c:pt>
                <c:pt idx="39">
                  <c:v>1.748083597495659</c:v>
                </c:pt>
                <c:pt idx="40">
                  <c:v>1.748083597495659</c:v>
                </c:pt>
                <c:pt idx="41">
                  <c:v>1.748083597495659</c:v>
                </c:pt>
                <c:pt idx="42">
                  <c:v>1.748083597495659</c:v>
                </c:pt>
                <c:pt idx="43">
                  <c:v>1.748083597495659</c:v>
                </c:pt>
                <c:pt idx="44">
                  <c:v>1.748083597495659</c:v>
                </c:pt>
                <c:pt idx="45">
                  <c:v>1.748083597495659</c:v>
                </c:pt>
                <c:pt idx="46">
                  <c:v>1.748083597495659</c:v>
                </c:pt>
                <c:pt idx="47">
                  <c:v>1.748083597495659</c:v>
                </c:pt>
                <c:pt idx="48">
                  <c:v>1.748083597495659</c:v>
                </c:pt>
                <c:pt idx="49">
                  <c:v>1.748083597495659</c:v>
                </c:pt>
                <c:pt idx="50">
                  <c:v>1.748083597495659</c:v>
                </c:pt>
                <c:pt idx="51">
                  <c:v>1.748083597495659</c:v>
                </c:pt>
                <c:pt idx="52">
                  <c:v>1.748083597495659</c:v>
                </c:pt>
                <c:pt idx="53">
                  <c:v>1.748083597495659</c:v>
                </c:pt>
                <c:pt idx="54">
                  <c:v>1.748083597495659</c:v>
                </c:pt>
                <c:pt idx="55">
                  <c:v>1.748083597495659</c:v>
                </c:pt>
                <c:pt idx="56">
                  <c:v>1.748083597495659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B-4A69-AD7B-13E82CEFAFCF}"/>
            </c:ext>
          </c:extLst>
        </c:ser>
        <c:ser>
          <c:idx val="1"/>
          <c:order val="3"/>
          <c:tx>
            <c:strRef>
              <c:f>'Report Out Chart'!$E$1</c:f>
              <c:strCache>
                <c:ptCount val="1"/>
                <c:pt idx="0">
                  <c:v>Non-project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Chart'!$E$2:$E$58</c:f>
              <c:numCache>
                <c:formatCode>0</c:formatCode>
                <c:ptCount val="57"/>
                <c:pt idx="0">
                  <c:v>22.134846548763999</c:v>
                </c:pt>
                <c:pt idx="1">
                  <c:v>16.948446003763017</c:v>
                </c:pt>
                <c:pt idx="2">
                  <c:v>8.4643018245706116</c:v>
                </c:pt>
                <c:pt idx="3">
                  <c:v>6.7913956046136459</c:v>
                </c:pt>
                <c:pt idx="4">
                  <c:v>11.031790875107312</c:v>
                </c:pt>
                <c:pt idx="5">
                  <c:v>27.216166446813631</c:v>
                </c:pt>
                <c:pt idx="6">
                  <c:v>16.411025579390483</c:v>
                </c:pt>
                <c:pt idx="7">
                  <c:v>11.264868687755362</c:v>
                </c:pt>
                <c:pt idx="8">
                  <c:v>11.980590844224469</c:v>
                </c:pt>
                <c:pt idx="9">
                  <c:v>7.711130714440376</c:v>
                </c:pt>
                <c:pt idx="10">
                  <c:v>12.808100921946838</c:v>
                </c:pt>
                <c:pt idx="11">
                  <c:v>2.3291013109795227</c:v>
                </c:pt>
                <c:pt idx="12">
                  <c:v>3.0478976357886354</c:v>
                </c:pt>
                <c:pt idx="13">
                  <c:v>21.178221423600782</c:v>
                </c:pt>
                <c:pt idx="14">
                  <c:v>24.268039530013112</c:v>
                </c:pt>
                <c:pt idx="15">
                  <c:v>13.115517701484272</c:v>
                </c:pt>
                <c:pt idx="16">
                  <c:v>19.5092277803492</c:v>
                </c:pt>
                <c:pt idx="17">
                  <c:v>14.260226001385965</c:v>
                </c:pt>
                <c:pt idx="18">
                  <c:v>8.3631337564328714</c:v>
                </c:pt>
                <c:pt idx="19">
                  <c:v>19.754602263897649</c:v>
                </c:pt>
                <c:pt idx="20">
                  <c:v>11.788874561942935</c:v>
                </c:pt>
                <c:pt idx="21">
                  <c:v>19.656508363397162</c:v>
                </c:pt>
                <c:pt idx="22">
                  <c:v>16.676801359047708</c:v>
                </c:pt>
                <c:pt idx="23">
                  <c:v>19.09645088557652</c:v>
                </c:pt>
                <c:pt idx="24">
                  <c:v>14.67943070077116</c:v>
                </c:pt>
                <c:pt idx="25">
                  <c:v>13.544783313903485</c:v>
                </c:pt>
                <c:pt idx="26">
                  <c:v>16.108080317166991</c:v>
                </c:pt>
                <c:pt idx="27">
                  <c:v>16.16369480696228</c:v>
                </c:pt>
                <c:pt idx="28">
                  <c:v>6.2740970045522753</c:v>
                </c:pt>
                <c:pt idx="29">
                  <c:v>2.8223655073890401</c:v>
                </c:pt>
                <c:pt idx="30">
                  <c:v>2.8223655073890401</c:v>
                </c:pt>
                <c:pt idx="31">
                  <c:v>2.8223655073890401</c:v>
                </c:pt>
                <c:pt idx="32">
                  <c:v>2.8223655073890401</c:v>
                </c:pt>
                <c:pt idx="33">
                  <c:v>2.8223655073890401</c:v>
                </c:pt>
                <c:pt idx="34">
                  <c:v>2.8223655073890401</c:v>
                </c:pt>
                <c:pt idx="35">
                  <c:v>2.8223655073890401</c:v>
                </c:pt>
                <c:pt idx="36">
                  <c:v>2.8223655073890401</c:v>
                </c:pt>
                <c:pt idx="37">
                  <c:v>2.8223655073890401</c:v>
                </c:pt>
                <c:pt idx="38">
                  <c:v>2.8223655073890401</c:v>
                </c:pt>
                <c:pt idx="39">
                  <c:v>2.8223655073890401</c:v>
                </c:pt>
                <c:pt idx="40">
                  <c:v>2.8223655073890401</c:v>
                </c:pt>
                <c:pt idx="41">
                  <c:v>2.8223655073890401</c:v>
                </c:pt>
                <c:pt idx="42">
                  <c:v>2.8223655073890401</c:v>
                </c:pt>
                <c:pt idx="43">
                  <c:v>2.8223655073890401</c:v>
                </c:pt>
                <c:pt idx="44">
                  <c:v>2.8223655073890401</c:v>
                </c:pt>
                <c:pt idx="45">
                  <c:v>2.8223655073890401</c:v>
                </c:pt>
                <c:pt idx="46">
                  <c:v>2.8223655073890401</c:v>
                </c:pt>
                <c:pt idx="47">
                  <c:v>2.8223655073890401</c:v>
                </c:pt>
                <c:pt idx="48">
                  <c:v>2.8223655073890401</c:v>
                </c:pt>
                <c:pt idx="49">
                  <c:v>2.8223655073890401</c:v>
                </c:pt>
                <c:pt idx="50">
                  <c:v>2.8223655073890401</c:v>
                </c:pt>
                <c:pt idx="51">
                  <c:v>2.8223655073890401</c:v>
                </c:pt>
                <c:pt idx="52">
                  <c:v>2.8223655073890401</c:v>
                </c:pt>
                <c:pt idx="53">
                  <c:v>2.8223655073890401</c:v>
                </c:pt>
                <c:pt idx="54">
                  <c:v>2.8223655073890401</c:v>
                </c:pt>
                <c:pt idx="55">
                  <c:v>2.8223655073890401</c:v>
                </c:pt>
                <c:pt idx="56">
                  <c:v>2.8223655073890401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B-4A69-AD7B-13E82CEFAFCF}"/>
            </c:ext>
          </c:extLst>
        </c:ser>
        <c:ser>
          <c:idx val="8"/>
          <c:order val="4"/>
          <c:tx>
            <c:strRef>
              <c:f>'Report Out Chart'!$F$1</c:f>
              <c:strCache>
                <c:ptCount val="1"/>
                <c:pt idx="0">
                  <c:v>NPRM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Chart'!$F$2:$F$58</c:f>
              <c:numCache>
                <c:formatCode>0</c:formatCode>
                <c:ptCount val="57"/>
                <c:pt idx="0">
                  <c:v>1.9193985843711583</c:v>
                </c:pt>
                <c:pt idx="1">
                  <c:v>2.7946979972482398</c:v>
                </c:pt>
                <c:pt idx="2">
                  <c:v>2.8885998502998453</c:v>
                </c:pt>
                <c:pt idx="3">
                  <c:v>4.2303343585137725</c:v>
                </c:pt>
                <c:pt idx="4">
                  <c:v>4.2208323853855676</c:v>
                </c:pt>
                <c:pt idx="5">
                  <c:v>1.048011749077894</c:v>
                </c:pt>
                <c:pt idx="6">
                  <c:v>3.1202803137982662</c:v>
                </c:pt>
                <c:pt idx="7">
                  <c:v>0.42339674665839</c:v>
                </c:pt>
                <c:pt idx="8">
                  <c:v>1.950978671920089</c:v>
                </c:pt>
                <c:pt idx="9">
                  <c:v>3.8946911294567883</c:v>
                </c:pt>
                <c:pt idx="10">
                  <c:v>1.1243070041442831</c:v>
                </c:pt>
                <c:pt idx="11">
                  <c:v>0</c:v>
                </c:pt>
                <c:pt idx="12">
                  <c:v>0.79034059357492892</c:v>
                </c:pt>
                <c:pt idx="13">
                  <c:v>3.2133437576060571</c:v>
                </c:pt>
                <c:pt idx="14">
                  <c:v>3.1487862335342545</c:v>
                </c:pt>
                <c:pt idx="15">
                  <c:v>3.576933966668904</c:v>
                </c:pt>
                <c:pt idx="16">
                  <c:v>2.7821218563070915</c:v>
                </c:pt>
                <c:pt idx="17">
                  <c:v>5.5002451284481921</c:v>
                </c:pt>
                <c:pt idx="18">
                  <c:v>2.1860127732722026</c:v>
                </c:pt>
                <c:pt idx="19">
                  <c:v>2.6211472516279257</c:v>
                </c:pt>
                <c:pt idx="20">
                  <c:v>4.8974287705843524</c:v>
                </c:pt>
                <c:pt idx="21">
                  <c:v>4.7417640924629438</c:v>
                </c:pt>
                <c:pt idx="22">
                  <c:v>4.8250460922233476</c:v>
                </c:pt>
                <c:pt idx="23">
                  <c:v>3.0266579309630965</c:v>
                </c:pt>
                <c:pt idx="24">
                  <c:v>2.4098680833598549</c:v>
                </c:pt>
                <c:pt idx="25">
                  <c:v>3.830972014804487</c:v>
                </c:pt>
                <c:pt idx="26">
                  <c:v>5.5052755847895147</c:v>
                </c:pt>
                <c:pt idx="27">
                  <c:v>8.5612778449081013</c:v>
                </c:pt>
                <c:pt idx="28">
                  <c:v>3.5224373556311184</c:v>
                </c:pt>
                <c:pt idx="29">
                  <c:v>0.82527431862617928</c:v>
                </c:pt>
                <c:pt idx="30">
                  <c:v>0.82527431862617928</c:v>
                </c:pt>
                <c:pt idx="31">
                  <c:v>0.82527431862617928</c:v>
                </c:pt>
                <c:pt idx="32">
                  <c:v>0.82527431862617928</c:v>
                </c:pt>
                <c:pt idx="33">
                  <c:v>0.82527431862617928</c:v>
                </c:pt>
                <c:pt idx="34">
                  <c:v>0.82527431862617928</c:v>
                </c:pt>
                <c:pt idx="35">
                  <c:v>0.82527431862617928</c:v>
                </c:pt>
                <c:pt idx="36">
                  <c:v>0.82527431862617928</c:v>
                </c:pt>
                <c:pt idx="37">
                  <c:v>0.82527431862617928</c:v>
                </c:pt>
                <c:pt idx="38">
                  <c:v>0.82527431862617928</c:v>
                </c:pt>
                <c:pt idx="39">
                  <c:v>0.82527431862617928</c:v>
                </c:pt>
                <c:pt idx="40">
                  <c:v>0.82527431862617928</c:v>
                </c:pt>
                <c:pt idx="41">
                  <c:v>0.82527431862617928</c:v>
                </c:pt>
                <c:pt idx="42">
                  <c:v>0.82527431862617928</c:v>
                </c:pt>
                <c:pt idx="43">
                  <c:v>0.82527431862617928</c:v>
                </c:pt>
                <c:pt idx="44">
                  <c:v>0.82527431862617928</c:v>
                </c:pt>
                <c:pt idx="45">
                  <c:v>0.82527431862617928</c:v>
                </c:pt>
                <c:pt idx="46">
                  <c:v>0.82527431862617928</c:v>
                </c:pt>
                <c:pt idx="47">
                  <c:v>0.82527431862617928</c:v>
                </c:pt>
                <c:pt idx="48">
                  <c:v>0.82527431862617928</c:v>
                </c:pt>
                <c:pt idx="49">
                  <c:v>0.82527431862617928</c:v>
                </c:pt>
                <c:pt idx="50">
                  <c:v>0.82527431862617928</c:v>
                </c:pt>
                <c:pt idx="51">
                  <c:v>0.82527431862617928</c:v>
                </c:pt>
                <c:pt idx="52">
                  <c:v>0.82527431862617928</c:v>
                </c:pt>
                <c:pt idx="53">
                  <c:v>0.82527431862617928</c:v>
                </c:pt>
                <c:pt idx="54">
                  <c:v>0.82527431862617928</c:v>
                </c:pt>
                <c:pt idx="55">
                  <c:v>0.82527431862617928</c:v>
                </c:pt>
                <c:pt idx="56">
                  <c:v>0.82527431862617928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9-4EDB-9144-03172D7E5771}"/>
            </c:ext>
          </c:extLst>
        </c:ser>
        <c:ser>
          <c:idx val="6"/>
          <c:order val="5"/>
          <c:tx>
            <c:strRef>
              <c:f>'Report Out Chart'!$G$1</c:f>
              <c:strCache>
                <c:ptCount val="1"/>
                <c:pt idx="0">
                  <c:v>Archive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Chart'!$G$2:$G$58</c:f>
              <c:numCache>
                <c:formatCode>0</c:formatCode>
                <c:ptCount val="57"/>
                <c:pt idx="0">
                  <c:v>9.1537538202242335</c:v>
                </c:pt>
                <c:pt idx="1">
                  <c:v>13.201594400422362</c:v>
                </c:pt>
                <c:pt idx="2">
                  <c:v>2.4618494656120764</c:v>
                </c:pt>
                <c:pt idx="3">
                  <c:v>5.873616781031366</c:v>
                </c:pt>
                <c:pt idx="4">
                  <c:v>6.5245019451447908</c:v>
                </c:pt>
                <c:pt idx="5">
                  <c:v>12.969634465829071</c:v>
                </c:pt>
                <c:pt idx="6">
                  <c:v>26.663654652890063</c:v>
                </c:pt>
                <c:pt idx="7">
                  <c:v>12.611913122878418</c:v>
                </c:pt>
                <c:pt idx="8">
                  <c:v>31.65079322942853</c:v>
                </c:pt>
                <c:pt idx="9">
                  <c:v>26.083475349177085</c:v>
                </c:pt>
                <c:pt idx="10">
                  <c:v>28.939097762602692</c:v>
                </c:pt>
                <c:pt idx="11">
                  <c:v>9.7255490378237955E-2</c:v>
                </c:pt>
                <c:pt idx="12">
                  <c:v>2.6795564397224689</c:v>
                </c:pt>
                <c:pt idx="13">
                  <c:v>16.463006962872509</c:v>
                </c:pt>
                <c:pt idx="14">
                  <c:v>24.374517524357238</c:v>
                </c:pt>
                <c:pt idx="15">
                  <c:v>13.52689724658026</c:v>
                </c:pt>
                <c:pt idx="16">
                  <c:v>16.008589068922372</c:v>
                </c:pt>
                <c:pt idx="17">
                  <c:v>17.127027206954459</c:v>
                </c:pt>
                <c:pt idx="18">
                  <c:v>28.061562591332166</c:v>
                </c:pt>
                <c:pt idx="19">
                  <c:v>7.5356236801159957</c:v>
                </c:pt>
                <c:pt idx="20">
                  <c:v>9.9519195682640529</c:v>
                </c:pt>
                <c:pt idx="21">
                  <c:v>11.886968461389301</c:v>
                </c:pt>
                <c:pt idx="22">
                  <c:v>8.4324422671566168</c:v>
                </c:pt>
                <c:pt idx="23">
                  <c:v>14.188961202133839</c:v>
                </c:pt>
                <c:pt idx="24">
                  <c:v>4.4975074873206289</c:v>
                </c:pt>
                <c:pt idx="25">
                  <c:v>5.929510740340346</c:v>
                </c:pt>
                <c:pt idx="26">
                  <c:v>5.0964112677763387</c:v>
                </c:pt>
                <c:pt idx="27">
                  <c:v>2.8382952861838802</c:v>
                </c:pt>
                <c:pt idx="28">
                  <c:v>0.14616270516888966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2B-4A69-AD7B-13E82CEFAFCF}"/>
            </c:ext>
          </c:extLst>
        </c:ser>
        <c:ser>
          <c:idx val="2"/>
          <c:order val="6"/>
          <c:tx>
            <c:strRef>
              <c:f>'Report Out Chart'!$H$1</c:f>
              <c:strCache>
                <c:ptCount val="1"/>
                <c:pt idx="0">
                  <c:v>AAAA Project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Chart'!$H$2:$H$58</c:f>
              <c:numCache>
                <c:formatCode>0</c:formatCode>
                <c:ptCount val="57"/>
                <c:pt idx="0">
                  <c:v>11.651934360564248</c:v>
                </c:pt>
                <c:pt idx="1">
                  <c:v>11.297566653534735</c:v>
                </c:pt>
                <c:pt idx="2">
                  <c:v>18.488604071019989</c:v>
                </c:pt>
                <c:pt idx="3">
                  <c:v>18.268661338691835</c:v>
                </c:pt>
                <c:pt idx="4">
                  <c:v>17.687643623978168</c:v>
                </c:pt>
                <c:pt idx="5">
                  <c:v>12.955102035832486</c:v>
                </c:pt>
                <c:pt idx="6">
                  <c:v>2.9654540449206732</c:v>
                </c:pt>
                <c:pt idx="7">
                  <c:v>1.4389899987678516</c:v>
                </c:pt>
                <c:pt idx="8">
                  <c:v>2.9145905414259561</c:v>
                </c:pt>
                <c:pt idx="9">
                  <c:v>7.5686011161118065</c:v>
                </c:pt>
                <c:pt idx="10">
                  <c:v>7.7443876204769362</c:v>
                </c:pt>
                <c:pt idx="11">
                  <c:v>0</c:v>
                </c:pt>
                <c:pt idx="12">
                  <c:v>1.9286210879856736</c:v>
                </c:pt>
                <c:pt idx="13">
                  <c:v>11.305391807648254</c:v>
                </c:pt>
                <c:pt idx="14">
                  <c:v>2.9106779636664517</c:v>
                </c:pt>
                <c:pt idx="15">
                  <c:v>1.286120018418637</c:v>
                </c:pt>
                <c:pt idx="16">
                  <c:v>0</c:v>
                </c:pt>
                <c:pt idx="17">
                  <c:v>0</c:v>
                </c:pt>
                <c:pt idx="18">
                  <c:v>0.95969929244910901</c:v>
                </c:pt>
                <c:pt idx="19">
                  <c:v>0</c:v>
                </c:pt>
                <c:pt idx="20">
                  <c:v>10.762661457596392</c:v>
                </c:pt>
                <c:pt idx="21">
                  <c:v>6.3034413331807064</c:v>
                </c:pt>
                <c:pt idx="22">
                  <c:v>9.7398019909278517</c:v>
                </c:pt>
                <c:pt idx="23">
                  <c:v>9.7973727687244612</c:v>
                </c:pt>
                <c:pt idx="24">
                  <c:v>8.7105147180656193</c:v>
                </c:pt>
                <c:pt idx="25">
                  <c:v>10.189748367915417</c:v>
                </c:pt>
                <c:pt idx="26">
                  <c:v>14.424833713783883</c:v>
                </c:pt>
                <c:pt idx="27">
                  <c:v>18.503974909909012</c:v>
                </c:pt>
                <c:pt idx="28">
                  <c:v>12.301142705487294</c:v>
                </c:pt>
                <c:pt idx="29">
                  <c:v>7.4067881023645148</c:v>
                </c:pt>
                <c:pt idx="30">
                  <c:v>7.4067881023645148</c:v>
                </c:pt>
                <c:pt idx="31">
                  <c:v>7.4067881023645148</c:v>
                </c:pt>
                <c:pt idx="32">
                  <c:v>7.4067881023645148</c:v>
                </c:pt>
                <c:pt idx="33">
                  <c:v>7.4067881023645148</c:v>
                </c:pt>
                <c:pt idx="34">
                  <c:v>7.4067881023645148</c:v>
                </c:pt>
                <c:pt idx="35">
                  <c:v>7.4067881023645148</c:v>
                </c:pt>
                <c:pt idx="36">
                  <c:v>7.4067881023645148</c:v>
                </c:pt>
                <c:pt idx="37">
                  <c:v>7.4067881023645148</c:v>
                </c:pt>
                <c:pt idx="38">
                  <c:v>7.4067881023645148</c:v>
                </c:pt>
                <c:pt idx="39">
                  <c:v>7.4067881023645148</c:v>
                </c:pt>
                <c:pt idx="40">
                  <c:v>7.4067881023645148</c:v>
                </c:pt>
                <c:pt idx="41">
                  <c:v>7.4067881023645148</c:v>
                </c:pt>
                <c:pt idx="42">
                  <c:v>7.4067881023645148</c:v>
                </c:pt>
                <c:pt idx="43">
                  <c:v>7.4067881023645148</c:v>
                </c:pt>
                <c:pt idx="44">
                  <c:v>7.4067881023645148</c:v>
                </c:pt>
                <c:pt idx="45">
                  <c:v>7.4067881023645148</c:v>
                </c:pt>
                <c:pt idx="46">
                  <c:v>7.4067881023645148</c:v>
                </c:pt>
                <c:pt idx="47">
                  <c:v>7.4067881023645148</c:v>
                </c:pt>
                <c:pt idx="48">
                  <c:v>7.4067881023645148</c:v>
                </c:pt>
                <c:pt idx="49">
                  <c:v>7.4067881023645148</c:v>
                </c:pt>
                <c:pt idx="50">
                  <c:v>7.4067881023645148</c:v>
                </c:pt>
                <c:pt idx="51">
                  <c:v>7.4067881023645148</c:v>
                </c:pt>
                <c:pt idx="52">
                  <c:v>7.4067881023645148</c:v>
                </c:pt>
                <c:pt idx="53">
                  <c:v>7.4067881023645148</c:v>
                </c:pt>
                <c:pt idx="54">
                  <c:v>7.4067881023645148</c:v>
                </c:pt>
                <c:pt idx="55">
                  <c:v>7.4067881023645148</c:v>
                </c:pt>
                <c:pt idx="56">
                  <c:v>7.4067881023645148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B-4A69-AD7B-13E82CEFAFCF}"/>
            </c:ext>
          </c:extLst>
        </c:ser>
        <c:ser>
          <c:idx val="3"/>
          <c:order val="7"/>
          <c:tx>
            <c:strRef>
              <c:f>'Report Out Chart'!$I$1</c:f>
              <c:strCache>
                <c:ptCount val="1"/>
                <c:pt idx="0">
                  <c:v>BBBB Project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Chart'!$I$2:$I$58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1.8732860677040732</c:v>
                </c:pt>
                <c:pt idx="25">
                  <c:v>8.3564264817796055</c:v>
                </c:pt>
                <c:pt idx="26">
                  <c:v>8.7982682354913386</c:v>
                </c:pt>
                <c:pt idx="27">
                  <c:v>2.9693666221531174</c:v>
                </c:pt>
                <c:pt idx="28">
                  <c:v>8.6456777239530691</c:v>
                </c:pt>
                <c:pt idx="29">
                  <c:v>3.0632684748533494</c:v>
                </c:pt>
                <c:pt idx="30">
                  <c:v>3.0632684748533494</c:v>
                </c:pt>
                <c:pt idx="31">
                  <c:v>3.0632684748533494</c:v>
                </c:pt>
                <c:pt idx="32">
                  <c:v>3.0632684748533494</c:v>
                </c:pt>
                <c:pt idx="33">
                  <c:v>3.0632684748533494</c:v>
                </c:pt>
                <c:pt idx="34">
                  <c:v>3.0632684748533494</c:v>
                </c:pt>
                <c:pt idx="35">
                  <c:v>3.0632684748533494</c:v>
                </c:pt>
                <c:pt idx="36">
                  <c:v>3.0632684748533494</c:v>
                </c:pt>
                <c:pt idx="37">
                  <c:v>3.0632684748533494</c:v>
                </c:pt>
                <c:pt idx="38">
                  <c:v>3.0632684748533494</c:v>
                </c:pt>
                <c:pt idx="39">
                  <c:v>3.0632684748533494</c:v>
                </c:pt>
                <c:pt idx="40">
                  <c:v>3.0632684748533494</c:v>
                </c:pt>
                <c:pt idx="41">
                  <c:v>3.0632684748533494</c:v>
                </c:pt>
                <c:pt idx="42">
                  <c:v>3.0632684748533494</c:v>
                </c:pt>
                <c:pt idx="43">
                  <c:v>3.0632684748533494</c:v>
                </c:pt>
                <c:pt idx="44">
                  <c:v>3.0632684748533494</c:v>
                </c:pt>
                <c:pt idx="45">
                  <c:v>3.0632684748533494</c:v>
                </c:pt>
                <c:pt idx="46">
                  <c:v>3.0632684748533494</c:v>
                </c:pt>
                <c:pt idx="47">
                  <c:v>3.0632684748533494</c:v>
                </c:pt>
                <c:pt idx="48">
                  <c:v>3.0632684748533494</c:v>
                </c:pt>
                <c:pt idx="49">
                  <c:v>3.0632684748533494</c:v>
                </c:pt>
                <c:pt idx="50">
                  <c:v>3.0632684748533494</c:v>
                </c:pt>
                <c:pt idx="51">
                  <c:v>3.0632684748533494</c:v>
                </c:pt>
                <c:pt idx="52">
                  <c:v>3.0632684748533494</c:v>
                </c:pt>
                <c:pt idx="53">
                  <c:v>3.0632684748533494</c:v>
                </c:pt>
                <c:pt idx="54">
                  <c:v>3.0632684748533494</c:v>
                </c:pt>
                <c:pt idx="55">
                  <c:v>3.0632684748533494</c:v>
                </c:pt>
                <c:pt idx="56">
                  <c:v>3.0632684748533494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2B-4A69-AD7B-13E82CEFAFCF}"/>
            </c:ext>
          </c:extLst>
        </c:ser>
        <c:ser>
          <c:idx val="4"/>
          <c:order val="8"/>
          <c:tx>
            <c:strRef>
              <c:f>'Report Out Chart'!$J$1</c:f>
              <c:strCache>
                <c:ptCount val="1"/>
                <c:pt idx="0">
                  <c:v>CCCC Project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Chart'!$J$2:$J$58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2.6929709900831185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2B-4A69-AD7B-13E82CEFAFCF}"/>
            </c:ext>
          </c:extLst>
        </c:ser>
        <c:ser>
          <c:idx val="7"/>
          <c:order val="9"/>
          <c:tx>
            <c:strRef>
              <c:f>'Report Out Chart'!$K$1</c:f>
              <c:strCache>
                <c:ptCount val="1"/>
                <c:pt idx="0">
                  <c:v>DDDD Project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Chart'!$K$2:$K$58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2.1088791087863119</c:v>
                </c:pt>
                <c:pt idx="30">
                  <c:v>2.1088791087863119</c:v>
                </c:pt>
                <c:pt idx="31">
                  <c:v>2.1088791087863119</c:v>
                </c:pt>
                <c:pt idx="32">
                  <c:v>2.1088791087863119</c:v>
                </c:pt>
                <c:pt idx="33">
                  <c:v>2.1088791087863119</c:v>
                </c:pt>
                <c:pt idx="34">
                  <c:v>2.1088791087863119</c:v>
                </c:pt>
                <c:pt idx="35">
                  <c:v>2.1088791087863119</c:v>
                </c:pt>
                <c:pt idx="36">
                  <c:v>2.1088791087863119</c:v>
                </c:pt>
                <c:pt idx="37">
                  <c:v>2.1088791087863119</c:v>
                </c:pt>
                <c:pt idx="38">
                  <c:v>2.1088791087863119</c:v>
                </c:pt>
                <c:pt idx="39">
                  <c:v>2.1088791087863119</c:v>
                </c:pt>
                <c:pt idx="40">
                  <c:v>2.1088791087863119</c:v>
                </c:pt>
                <c:pt idx="41">
                  <c:v>2.1088791087863119</c:v>
                </c:pt>
                <c:pt idx="42">
                  <c:v>2.1088791087863119</c:v>
                </c:pt>
                <c:pt idx="43">
                  <c:v>2.1088791087863119</c:v>
                </c:pt>
                <c:pt idx="44">
                  <c:v>2.1088791087863119</c:v>
                </c:pt>
                <c:pt idx="45">
                  <c:v>2.1088791087863119</c:v>
                </c:pt>
                <c:pt idx="46">
                  <c:v>2.1088791087863119</c:v>
                </c:pt>
                <c:pt idx="47">
                  <c:v>2.1088791087863119</c:v>
                </c:pt>
                <c:pt idx="48">
                  <c:v>2.1088791087863119</c:v>
                </c:pt>
                <c:pt idx="49">
                  <c:v>2.1088791087863119</c:v>
                </c:pt>
                <c:pt idx="50">
                  <c:v>2.1088791087863119</c:v>
                </c:pt>
                <c:pt idx="51">
                  <c:v>2.1088791087863119</c:v>
                </c:pt>
                <c:pt idx="52">
                  <c:v>2.1088791087863119</c:v>
                </c:pt>
                <c:pt idx="53">
                  <c:v>2.1088791087863119</c:v>
                </c:pt>
                <c:pt idx="54">
                  <c:v>2.1088791087863119</c:v>
                </c:pt>
                <c:pt idx="55">
                  <c:v>2.1088791087863119</c:v>
                </c:pt>
                <c:pt idx="56">
                  <c:v>2.1088791087863119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4-45F4-BA70-1D20024595F6}"/>
            </c:ext>
          </c:extLst>
        </c:ser>
        <c:ser>
          <c:idx val="10"/>
          <c:order val="10"/>
          <c:tx>
            <c:strRef>
              <c:f>'Report Out Chart'!$L$1</c:f>
              <c:strCache>
                <c:ptCount val="1"/>
                <c:pt idx="0">
                  <c:v>EEEE Project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cat>
          <c:val>
            <c:numRef>
              <c:f>'Report Out Chart'!$L$2:$L$58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1.5546904960237469</c:v>
                </c:pt>
                <c:pt idx="14">
                  <c:v>3.510699624285158</c:v>
                </c:pt>
                <c:pt idx="15">
                  <c:v>15.905464711904877</c:v>
                </c:pt>
                <c:pt idx="16">
                  <c:v>11.070637176863949</c:v>
                </c:pt>
                <c:pt idx="17">
                  <c:v>11.883055885210977</c:v>
                </c:pt>
                <c:pt idx="18">
                  <c:v>0.18137590008520257</c:v>
                </c:pt>
                <c:pt idx="19">
                  <c:v>9.1288810083826899</c:v>
                </c:pt>
                <c:pt idx="20">
                  <c:v>9.0713102298833324</c:v>
                </c:pt>
                <c:pt idx="21">
                  <c:v>10.183041092910782</c:v>
                </c:pt>
                <c:pt idx="22">
                  <c:v>13.280684353436628</c:v>
                </c:pt>
                <c:pt idx="23">
                  <c:v>7.9878058160240641</c:v>
                </c:pt>
                <c:pt idx="24">
                  <c:v>0.75792209713355629</c:v>
                </c:pt>
                <c:pt idx="25">
                  <c:v>5.5488728737251556</c:v>
                </c:pt>
                <c:pt idx="26">
                  <c:v>3.4215487580611854</c:v>
                </c:pt>
                <c:pt idx="27">
                  <c:v>3.2457622542231159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D0-4885-AE82-E09C17A8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159472"/>
        <c:axId val="730153896"/>
      </c:areaChart>
      <c:dateAx>
        <c:axId val="730159472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53896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73015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15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Summary!$G$17</c:f>
              <c:strCache>
                <c:ptCount val="1"/>
                <c:pt idx="0">
                  <c:v>Holiday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Summary!$G$18:$G$24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486-93E5-08B2D66ACF96}"/>
            </c:ext>
          </c:extLst>
        </c:ser>
        <c:ser>
          <c:idx val="1"/>
          <c:order val="1"/>
          <c:tx>
            <c:strRef>
              <c:f>Summary!$H$17</c:f>
              <c:strCache>
                <c:ptCount val="1"/>
                <c:pt idx="0">
                  <c:v>PTO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Summary!$H$18:$H$24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50-4486-93E5-08B2D66ACF96}"/>
            </c:ext>
          </c:extLst>
        </c:ser>
        <c:ser>
          <c:idx val="2"/>
          <c:order val="2"/>
          <c:tx>
            <c:strRef>
              <c:f>Summary!$I$17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Summary!$I$18:$I$24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0.68302419051404728</c:v>
                </c:pt>
                <c:pt idx="3">
                  <c:v>0.98904362125322531</c:v>
                </c:pt>
                <c:pt idx="4">
                  <c:v>0.82946636572368626</c:v>
                </c:pt>
                <c:pt idx="5">
                  <c:v>0.84036568800151812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50-4486-93E5-08B2D66ACF96}"/>
            </c:ext>
          </c:extLst>
        </c:ser>
        <c:ser>
          <c:idx val="8"/>
          <c:order val="3"/>
          <c:tx>
            <c:strRef>
              <c:f>Summary!$J$17</c:f>
              <c:strCache>
                <c:ptCount val="1"/>
                <c:pt idx="0">
                  <c:v>Non-project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Summary!$J$18:$J$24</c:f>
              <c:numCache>
                <c:formatCode>0.00</c:formatCode>
                <c:ptCount val="7"/>
                <c:pt idx="0">
                  <c:v>1.0536011449736544</c:v>
                </c:pt>
                <c:pt idx="1">
                  <c:v>0.99686877571811416</c:v>
                </c:pt>
                <c:pt idx="2">
                  <c:v>2.2737662906979224</c:v>
                </c:pt>
                <c:pt idx="3">
                  <c:v>1.2914299446250217</c:v>
                </c:pt>
                <c:pt idx="4">
                  <c:v>1.9850739873761514</c:v>
                </c:pt>
                <c:pt idx="5">
                  <c:v>4.9239784014405883</c:v>
                </c:pt>
                <c:pt idx="6">
                  <c:v>3.638976262130829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50-4486-93E5-08B2D66ACF96}"/>
            </c:ext>
          </c:extLst>
        </c:ser>
        <c:ser>
          <c:idx val="6"/>
          <c:order val="4"/>
          <c:tx>
            <c:strRef>
              <c:f>Summary!$K$17</c:f>
              <c:strCache>
                <c:ptCount val="1"/>
                <c:pt idx="0">
                  <c:v>NPRM</c:v>
                </c:pt>
              </c:strCache>
            </c:strRef>
          </c:tx>
          <c:spPr>
            <a:solidFill>
              <a:srgbClr val="5F7530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Summary!$K$18:$K$24</c:f>
              <c:numCache>
                <c:formatCode>0.00</c:formatCode>
                <c:ptCount val="7"/>
                <c:pt idx="0">
                  <c:v>0</c:v>
                </c:pt>
                <c:pt idx="1">
                  <c:v>3.2407317975304215</c:v>
                </c:pt>
                <c:pt idx="2">
                  <c:v>1.0985957827075485</c:v>
                </c:pt>
                <c:pt idx="3">
                  <c:v>1.7517167046873539</c:v>
                </c:pt>
                <c:pt idx="4">
                  <c:v>2.4702335599827769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50-4486-93E5-08B2D66ACF96}"/>
            </c:ext>
          </c:extLst>
        </c:ser>
        <c:ser>
          <c:idx val="3"/>
          <c:order val="5"/>
          <c:tx>
            <c:strRef>
              <c:f>Summary!$L$17</c:f>
              <c:strCache>
                <c:ptCount val="1"/>
                <c:pt idx="0">
                  <c:v>Archive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Summary!$L$18:$L$24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1.4322827235875266</c:v>
                </c:pt>
                <c:pt idx="4">
                  <c:v>1.1391189038302461</c:v>
                </c:pt>
                <c:pt idx="5">
                  <c:v>0.26689365876610732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50-4486-93E5-08B2D66ACF96}"/>
            </c:ext>
          </c:extLst>
        </c:ser>
        <c:ser>
          <c:idx val="4"/>
          <c:order val="6"/>
          <c:tx>
            <c:strRef>
              <c:f>Summary!$M$17</c:f>
              <c:strCache>
                <c:ptCount val="1"/>
                <c:pt idx="0">
                  <c:v>AAAA Project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Summary!$M$18:$M$24</c:f>
              <c:numCache>
                <c:formatCode>0.00</c:formatCode>
                <c:ptCount val="7"/>
                <c:pt idx="0">
                  <c:v>0</c:v>
                </c:pt>
                <c:pt idx="1">
                  <c:v>4.589453051316795</c:v>
                </c:pt>
                <c:pt idx="2">
                  <c:v>2.1591836727265905</c:v>
                </c:pt>
                <c:pt idx="3">
                  <c:v>4.341842808496474</c:v>
                </c:pt>
                <c:pt idx="4">
                  <c:v>3.7342754639806874</c:v>
                </c:pt>
                <c:pt idx="5">
                  <c:v>3.6792199133884638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50-4486-93E5-08B2D66ACF96}"/>
            </c:ext>
          </c:extLst>
        </c:ser>
        <c:ser>
          <c:idx val="5"/>
          <c:order val="7"/>
          <c:tx>
            <c:strRef>
              <c:f>Summary!$N$17</c:f>
              <c:strCache>
                <c:ptCount val="1"/>
                <c:pt idx="0">
                  <c:v>BBBB Project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Summary!$N$18:$N$24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1.7765895168802741</c:v>
                </c:pt>
                <c:pt idx="3">
                  <c:v>0</c:v>
                </c:pt>
                <c:pt idx="4">
                  <c:v>0.48851320993325809</c:v>
                </c:pt>
                <c:pt idx="5">
                  <c:v>0.70426389533958544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50-4486-93E5-08B2D66ACF96}"/>
            </c:ext>
          </c:extLst>
        </c:ser>
        <c:ser>
          <c:idx val="7"/>
          <c:order val="8"/>
          <c:tx>
            <c:strRef>
              <c:f>Summary!$O$17</c:f>
              <c:strCache>
                <c:ptCount val="1"/>
                <c:pt idx="0">
                  <c:v>CCCC Project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Summary!$O$18:$O$24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486-93E5-08B2D66ACF96}"/>
            </c:ext>
          </c:extLst>
        </c:ser>
        <c:ser>
          <c:idx val="9"/>
          <c:order val="9"/>
          <c:tx>
            <c:strRef>
              <c:f>Summary!$P$17</c:f>
              <c:strCache>
                <c:ptCount val="1"/>
                <c:pt idx="0">
                  <c:v>DDDD Project</c:v>
                </c:pt>
              </c:strCache>
            </c:strRef>
          </c:tx>
          <c:spPr>
            <a:solidFill>
              <a:srgbClr val="772C2A"/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Summary!$P$18:$P$24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01-4116-A5AA-A2DB1128A22C}"/>
            </c:ext>
          </c:extLst>
        </c:ser>
        <c:ser>
          <c:idx val="10"/>
          <c:order val="10"/>
          <c:tx>
            <c:strRef>
              <c:f>Summary!$Q$17</c:f>
              <c:strCache>
                <c:ptCount val="1"/>
                <c:pt idx="0">
                  <c:v>EEEE Project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Summary!$Q$18:$Q$24</c:f>
              <c:numCache>
                <c:formatCode>0.00</c:formatCode>
                <c:ptCount val="7"/>
                <c:pt idx="0">
                  <c:v>0</c:v>
                </c:pt>
                <c:pt idx="1">
                  <c:v>0.52149064645612941</c:v>
                </c:pt>
                <c:pt idx="2">
                  <c:v>2.7242716077669868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1-4530-8E29-947D673DB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0326400"/>
        <c:axId val="650329680"/>
      </c:barChart>
      <c:catAx>
        <c:axId val="65032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29680"/>
        <c:crosses val="autoZero"/>
        <c:auto val="1"/>
        <c:lblAlgn val="ctr"/>
        <c:lblOffset val="100"/>
        <c:noMultiLvlLbl val="0"/>
      </c:catAx>
      <c:valAx>
        <c:axId val="65032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2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90997950123002"/>
          <c:y val="5.3855569155446759E-2"/>
          <c:w val="0.82264629489365826"/>
          <c:h val="0.70037567825441638"/>
        </c:manualLayout>
      </c:layout>
      <c:scatterChart>
        <c:scatterStyle val="lineMarker"/>
        <c:varyColors val="0"/>
        <c:ser>
          <c:idx val="0"/>
          <c:order val="0"/>
          <c:tx>
            <c:strRef>
              <c:f>'Report Out Chart'!$N$1</c:f>
              <c:strCache>
                <c:ptCount val="1"/>
                <c:pt idx="0">
                  <c:v>Absorption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xVal>
          <c:yVal>
            <c:numRef>
              <c:f>'Report Out Chart'!$N$2:$N$58</c:f>
              <c:numCache>
                <c:formatCode>0%</c:formatCode>
                <c:ptCount val="57"/>
                <c:pt idx="0">
                  <c:v>0.52014220451971194</c:v>
                </c:pt>
                <c:pt idx="1">
                  <c:v>0.61247902634892737</c:v>
                </c:pt>
                <c:pt idx="2">
                  <c:v>0.65570018622113546</c:v>
                </c:pt>
                <c:pt idx="3">
                  <c:v>0.7555968290245304</c:v>
                </c:pt>
                <c:pt idx="4">
                  <c:v>0.60530363922807395</c:v>
                </c:pt>
                <c:pt idx="5">
                  <c:v>0.6481184125415389</c:v>
                </c:pt>
                <c:pt idx="6">
                  <c:v>0.74072771744526844</c:v>
                </c:pt>
                <c:pt idx="7">
                  <c:v>0.88627930696150325</c:v>
                </c:pt>
                <c:pt idx="8">
                  <c:v>0.86413459427136219</c:v>
                </c:pt>
                <c:pt idx="9">
                  <c:v>0.84130191163222234</c:v>
                </c:pt>
                <c:pt idx="10">
                  <c:v>0.91708713457699065</c:v>
                </c:pt>
                <c:pt idx="11">
                  <c:v>0</c:v>
                </c:pt>
                <c:pt idx="12">
                  <c:v>0.59040753925609202</c:v>
                </c:pt>
                <c:pt idx="13">
                  <c:v>0.73307723166361272</c:v>
                </c:pt>
                <c:pt idx="14">
                  <c:v>0.76989737780772116</c:v>
                </c:pt>
                <c:pt idx="15">
                  <c:v>0.76796204942259438</c:v>
                </c:pt>
                <c:pt idx="16">
                  <c:v>0.67698065614465808</c:v>
                </c:pt>
                <c:pt idx="17">
                  <c:v>0.72525207730413599</c:v>
                </c:pt>
                <c:pt idx="18">
                  <c:v>0.73006594459666196</c:v>
                </c:pt>
                <c:pt idx="19">
                  <c:v>0.41661261721246712</c:v>
                </c:pt>
                <c:pt idx="20">
                  <c:v>0.74464728139359448</c:v>
                </c:pt>
                <c:pt idx="21">
                  <c:v>0.70933627218701978</c:v>
                </c:pt>
                <c:pt idx="22">
                  <c:v>0.7863232152880274</c:v>
                </c:pt>
                <c:pt idx="23">
                  <c:v>0.79935349467205907</c:v>
                </c:pt>
                <c:pt idx="24">
                  <c:v>0.66265889224314234</c:v>
                </c:pt>
                <c:pt idx="25">
                  <c:v>0.75061396159401306</c:v>
                </c:pt>
                <c:pt idx="26">
                  <c:v>0.79352654937781864</c:v>
                </c:pt>
                <c:pt idx="27">
                  <c:v>0.68893497681172811</c:v>
                </c:pt>
                <c:pt idx="28">
                  <c:v>0.85172182243247285</c:v>
                </c:pt>
                <c:pt idx="29">
                  <c:v>0.31447339215010439</c:v>
                </c:pt>
                <c:pt idx="30">
                  <c:v>0.31447339215010439</c:v>
                </c:pt>
                <c:pt idx="31">
                  <c:v>0.31447339215010439</c:v>
                </c:pt>
                <c:pt idx="32">
                  <c:v>0.31447339215010439</c:v>
                </c:pt>
                <c:pt idx="33">
                  <c:v>0.31447339215010439</c:v>
                </c:pt>
                <c:pt idx="34">
                  <c:v>0.31447339215010439</c:v>
                </c:pt>
                <c:pt idx="35">
                  <c:v>0.31447339215010439</c:v>
                </c:pt>
                <c:pt idx="36">
                  <c:v>0.31447339215010439</c:v>
                </c:pt>
                <c:pt idx="37">
                  <c:v>0.31447339215010439</c:v>
                </c:pt>
                <c:pt idx="38">
                  <c:v>0.31447339215010439</c:v>
                </c:pt>
                <c:pt idx="39">
                  <c:v>0.31447339215010439</c:v>
                </c:pt>
                <c:pt idx="40">
                  <c:v>0.31447339215010439</c:v>
                </c:pt>
                <c:pt idx="41">
                  <c:v>0.31447339215010439</c:v>
                </c:pt>
                <c:pt idx="42">
                  <c:v>0.31447339215010439</c:v>
                </c:pt>
                <c:pt idx="43">
                  <c:v>0.31447339215010439</c:v>
                </c:pt>
                <c:pt idx="44">
                  <c:v>0.31447339215010439</c:v>
                </c:pt>
                <c:pt idx="45">
                  <c:v>0.31447339215010439</c:v>
                </c:pt>
                <c:pt idx="46">
                  <c:v>0.31447339215010439</c:v>
                </c:pt>
                <c:pt idx="47">
                  <c:v>0.31447339215010439</c:v>
                </c:pt>
                <c:pt idx="48">
                  <c:v>0.31447339215010439</c:v>
                </c:pt>
                <c:pt idx="49">
                  <c:v>0.31447339215010439</c:v>
                </c:pt>
                <c:pt idx="50">
                  <c:v>0.31447339215010439</c:v>
                </c:pt>
                <c:pt idx="51">
                  <c:v>0.31447339215010439</c:v>
                </c:pt>
                <c:pt idx="52">
                  <c:v>0.31447339215010439</c:v>
                </c:pt>
                <c:pt idx="53">
                  <c:v>0.31447339215010439</c:v>
                </c:pt>
                <c:pt idx="54">
                  <c:v>0.31447339215010439</c:v>
                </c:pt>
                <c:pt idx="55">
                  <c:v>0.31447339215010439</c:v>
                </c:pt>
                <c:pt idx="56">
                  <c:v>0.31447339215010439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4-4C40-9738-021673922979}"/>
            </c:ext>
          </c:extLst>
        </c:ser>
        <c:ser>
          <c:idx val="1"/>
          <c:order val="1"/>
          <c:tx>
            <c:strRef>
              <c:f>'Report Out Chart'!$O$1</c:f>
              <c:strCache>
                <c:ptCount val="1"/>
                <c:pt idx="0">
                  <c:v>Utilization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xVal>
          <c:yVal>
            <c:numRef>
              <c:f>'Report Out Chart'!$O$2:$O$58</c:f>
              <c:numCache>
                <c:formatCode>0%</c:formatCode>
                <c:ptCount val="57"/>
                <c:pt idx="0">
                  <c:v>1.121498332848091</c:v>
                </c:pt>
                <c:pt idx="1">
                  <c:v>1.1060576263742088</c:v>
                </c:pt>
                <c:pt idx="2">
                  <c:v>1.0088021360969908</c:v>
                </c:pt>
                <c:pt idx="3">
                  <c:v>1.0803184578806933</c:v>
                </c:pt>
                <c:pt idx="4">
                  <c:v>0.98661922074039587</c:v>
                </c:pt>
                <c:pt idx="5">
                  <c:v>1.3547228674388267</c:v>
                </c:pt>
                <c:pt idx="6">
                  <c:v>1.2290103647749873</c:v>
                </c:pt>
                <c:pt idx="7">
                  <c:v>1.2471339813297839</c:v>
                </c:pt>
                <c:pt idx="8">
                  <c:v>1.2124238321749761</c:v>
                </c:pt>
                <c:pt idx="9">
                  <c:v>1.1314474577296516</c:v>
                </c:pt>
                <c:pt idx="10">
                  <c:v>1.2653973327292687</c:v>
                </c:pt>
                <c:pt idx="11">
                  <c:v>1.066750199081083</c:v>
                </c:pt>
                <c:pt idx="12">
                  <c:v>1.016033417164504</c:v>
                </c:pt>
                <c:pt idx="13">
                  <c:v>1.3428663611937837</c:v>
                </c:pt>
                <c:pt idx="14">
                  <c:v>1.4553180218964052</c:v>
                </c:pt>
                <c:pt idx="15">
                  <c:v>1.1852733411264238</c:v>
                </c:pt>
                <c:pt idx="16">
                  <c:v>1.2342643970610654</c:v>
                </c:pt>
                <c:pt idx="17">
                  <c:v>1.2192638555499899</c:v>
                </c:pt>
                <c:pt idx="18">
                  <c:v>0.99379460783928875</c:v>
                </c:pt>
                <c:pt idx="19">
                  <c:v>0.9760063551006064</c:v>
                </c:pt>
                <c:pt idx="20">
                  <c:v>1.1618048647067767</c:v>
                </c:pt>
                <c:pt idx="21">
                  <c:v>1.3192930835835226</c:v>
                </c:pt>
                <c:pt idx="22">
                  <c:v>1.3238694015698038</c:v>
                </c:pt>
                <c:pt idx="23">
                  <c:v>1.3524312150855493</c:v>
                </c:pt>
                <c:pt idx="24">
                  <c:v>1.2256497404777278</c:v>
                </c:pt>
                <c:pt idx="25">
                  <c:v>1.1850078448117123</c:v>
                </c:pt>
                <c:pt idx="26">
                  <c:v>1.3338604469267312</c:v>
                </c:pt>
                <c:pt idx="27">
                  <c:v>1.3070592931084877</c:v>
                </c:pt>
                <c:pt idx="28">
                  <c:v>1.1413895958338398</c:v>
                </c:pt>
                <c:pt idx="29">
                  <c:v>0.40566438780048486</c:v>
                </c:pt>
                <c:pt idx="30">
                  <c:v>0.40566438780048486</c:v>
                </c:pt>
                <c:pt idx="31">
                  <c:v>0.40566438780048486</c:v>
                </c:pt>
                <c:pt idx="32">
                  <c:v>0.40566438780048486</c:v>
                </c:pt>
                <c:pt idx="33">
                  <c:v>0.40566438780048486</c:v>
                </c:pt>
                <c:pt idx="34">
                  <c:v>0.40566438780048486</c:v>
                </c:pt>
                <c:pt idx="35">
                  <c:v>0.40566438780048486</c:v>
                </c:pt>
                <c:pt idx="36">
                  <c:v>0.40566438780048486</c:v>
                </c:pt>
                <c:pt idx="37">
                  <c:v>0.40566438780048486</c:v>
                </c:pt>
                <c:pt idx="38">
                  <c:v>0.40566438780048486</c:v>
                </c:pt>
                <c:pt idx="39">
                  <c:v>0.40566438780048486</c:v>
                </c:pt>
                <c:pt idx="40">
                  <c:v>0.40566438780048486</c:v>
                </c:pt>
                <c:pt idx="41">
                  <c:v>0.40566438780048486</c:v>
                </c:pt>
                <c:pt idx="42">
                  <c:v>0.40566438780048486</c:v>
                </c:pt>
                <c:pt idx="43">
                  <c:v>0.40566438780048486</c:v>
                </c:pt>
                <c:pt idx="44">
                  <c:v>0.40566438780048486</c:v>
                </c:pt>
                <c:pt idx="45">
                  <c:v>0.40566438780048486</c:v>
                </c:pt>
                <c:pt idx="46">
                  <c:v>0.40566438780048486</c:v>
                </c:pt>
                <c:pt idx="47">
                  <c:v>0.40566438780048486</c:v>
                </c:pt>
                <c:pt idx="48">
                  <c:v>0.40566438780048486</c:v>
                </c:pt>
                <c:pt idx="49">
                  <c:v>0.40566438780048486</c:v>
                </c:pt>
                <c:pt idx="50">
                  <c:v>0.40566438780048486</c:v>
                </c:pt>
                <c:pt idx="51">
                  <c:v>0.40566438780048486</c:v>
                </c:pt>
                <c:pt idx="52">
                  <c:v>0.40566438780048486</c:v>
                </c:pt>
                <c:pt idx="53">
                  <c:v>0.40566438780048486</c:v>
                </c:pt>
                <c:pt idx="54">
                  <c:v>0.40566438780048486</c:v>
                </c:pt>
                <c:pt idx="55">
                  <c:v>0.40566438780048486</c:v>
                </c:pt>
                <c:pt idx="56">
                  <c:v>0.40566438780048486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4-4C40-9738-021673922979}"/>
            </c:ext>
          </c:extLst>
        </c:ser>
        <c:ser>
          <c:idx val="2"/>
          <c:order val="2"/>
          <c:tx>
            <c:strRef>
              <c:f>'Report Out Chart'!$P$1</c:f>
              <c:strCache>
                <c:ptCount val="1"/>
                <c:pt idx="0">
                  <c:v>Office Hrs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'Report Out Chart'!$A$2:$A$58</c:f>
              <c:numCache>
                <c:formatCode>[$-409]d\-mmm\-yy;@</c:formatCode>
                <c:ptCount val="57"/>
                <c:pt idx="0">
                  <c:v>44108</c:v>
                </c:pt>
                <c:pt idx="1">
                  <c:v>44115</c:v>
                </c:pt>
                <c:pt idx="2">
                  <c:v>44122</c:v>
                </c:pt>
                <c:pt idx="3">
                  <c:v>44129</c:v>
                </c:pt>
                <c:pt idx="4">
                  <c:v>44136</c:v>
                </c:pt>
                <c:pt idx="5">
                  <c:v>44143</c:v>
                </c:pt>
                <c:pt idx="6">
                  <c:v>44150</c:v>
                </c:pt>
                <c:pt idx="7">
                  <c:v>44157</c:v>
                </c:pt>
                <c:pt idx="8">
                  <c:v>44164</c:v>
                </c:pt>
                <c:pt idx="9">
                  <c:v>44171</c:v>
                </c:pt>
                <c:pt idx="10">
                  <c:v>44178</c:v>
                </c:pt>
                <c:pt idx="11">
                  <c:v>44185</c:v>
                </c:pt>
                <c:pt idx="12">
                  <c:v>44192</c:v>
                </c:pt>
                <c:pt idx="13">
                  <c:v>44199</c:v>
                </c:pt>
                <c:pt idx="14">
                  <c:v>44206</c:v>
                </c:pt>
                <c:pt idx="15">
                  <c:v>44213</c:v>
                </c:pt>
                <c:pt idx="16">
                  <c:v>44220</c:v>
                </c:pt>
                <c:pt idx="17">
                  <c:v>44227</c:v>
                </c:pt>
                <c:pt idx="18">
                  <c:v>44234</c:v>
                </c:pt>
                <c:pt idx="19">
                  <c:v>44241</c:v>
                </c:pt>
                <c:pt idx="20">
                  <c:v>44248</c:v>
                </c:pt>
                <c:pt idx="21">
                  <c:v>44255</c:v>
                </c:pt>
                <c:pt idx="22">
                  <c:v>44262</c:v>
                </c:pt>
                <c:pt idx="23">
                  <c:v>44269</c:v>
                </c:pt>
                <c:pt idx="24">
                  <c:v>44276</c:v>
                </c:pt>
                <c:pt idx="25">
                  <c:v>44283</c:v>
                </c:pt>
                <c:pt idx="26">
                  <c:v>44290</c:v>
                </c:pt>
                <c:pt idx="27">
                  <c:v>44297</c:v>
                </c:pt>
                <c:pt idx="28">
                  <c:v>44304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</c:numCache>
            </c:numRef>
          </c:xVal>
          <c:yVal>
            <c:numRef>
              <c:f>'Report Out Chart'!$P$2:$P$58</c:f>
              <c:numCache>
                <c:formatCode>0%</c:formatCode>
                <c:ptCount val="57"/>
                <c:pt idx="0">
                  <c:v>1.1326538356828137</c:v>
                </c:pt>
                <c:pt idx="1">
                  <c:v>1.1375787145625025</c:v>
                </c:pt>
                <c:pt idx="2">
                  <c:v>1.0312932445473808</c:v>
                </c:pt>
                <c:pt idx="3">
                  <c:v>1.0691334554417824</c:v>
                </c:pt>
                <c:pt idx="4">
                  <c:v>1.0311628252965388</c:v>
                </c:pt>
                <c:pt idx="5">
                  <c:v>1.3131726949695195</c:v>
                </c:pt>
                <c:pt idx="6">
                  <c:v>1.2360887137653302</c:v>
                </c:pt>
                <c:pt idx="7">
                  <c:v>1.1475961543189994</c:v>
                </c:pt>
                <c:pt idx="8">
                  <c:v>1.1927025799754936</c:v>
                </c:pt>
                <c:pt idx="9">
                  <c:v>1.1623832119424637</c:v>
                </c:pt>
                <c:pt idx="10">
                  <c:v>1.2734569312269728</c:v>
                </c:pt>
                <c:pt idx="11">
                  <c:v>0.94822239918318496</c:v>
                </c:pt>
                <c:pt idx="12">
                  <c:v>0.94441539945531983</c:v>
                </c:pt>
                <c:pt idx="13">
                  <c:v>1.3990692905278665</c:v>
                </c:pt>
                <c:pt idx="14">
                  <c:v>1.4050623651566478</c:v>
                </c:pt>
                <c:pt idx="15">
                  <c:v>1.1945160284599341</c:v>
                </c:pt>
                <c:pt idx="16">
                  <c:v>1.2676066967670621</c:v>
                </c:pt>
                <c:pt idx="17">
                  <c:v>1.194422871873384</c:v>
                </c:pt>
                <c:pt idx="18">
                  <c:v>1.0372180042812167</c:v>
                </c:pt>
                <c:pt idx="19">
                  <c:v>0.92773415763594791</c:v>
                </c:pt>
                <c:pt idx="20">
                  <c:v>1.196037586262791</c:v>
                </c:pt>
                <c:pt idx="21">
                  <c:v>1.2814497674820624</c:v>
                </c:pt>
                <c:pt idx="22">
                  <c:v>1.2855238161374403</c:v>
                </c:pt>
                <c:pt idx="23">
                  <c:v>1.3154270846833946</c:v>
                </c:pt>
                <c:pt idx="24">
                  <c:v>1.1913983876037202</c:v>
                </c:pt>
                <c:pt idx="25">
                  <c:v>1.1845296409340913</c:v>
                </c:pt>
                <c:pt idx="26">
                  <c:v>1.3472059061672892</c:v>
                </c:pt>
                <c:pt idx="27">
                  <c:v>1.2360949242184884</c:v>
                </c:pt>
                <c:pt idx="28">
                  <c:v>1.0641961556206405</c:v>
                </c:pt>
                <c:pt idx="29">
                  <c:v>0.39943686910033449</c:v>
                </c:pt>
                <c:pt idx="30">
                  <c:v>0.39943686910033449</c:v>
                </c:pt>
                <c:pt idx="31">
                  <c:v>0.39943686910033449</c:v>
                </c:pt>
                <c:pt idx="32">
                  <c:v>0.39943686910033449</c:v>
                </c:pt>
                <c:pt idx="33">
                  <c:v>0.39943686910033449</c:v>
                </c:pt>
                <c:pt idx="34">
                  <c:v>0.39943686910033449</c:v>
                </c:pt>
                <c:pt idx="35">
                  <c:v>0.39943686910033449</c:v>
                </c:pt>
                <c:pt idx="36">
                  <c:v>0.39943686910033449</c:v>
                </c:pt>
                <c:pt idx="37">
                  <c:v>0.39943686910033449</c:v>
                </c:pt>
                <c:pt idx="38">
                  <c:v>0.39943686910033449</c:v>
                </c:pt>
                <c:pt idx="39">
                  <c:v>0.39943686910033449</c:v>
                </c:pt>
                <c:pt idx="40">
                  <c:v>0.39943686910033449</c:v>
                </c:pt>
                <c:pt idx="41">
                  <c:v>0.39943686910033449</c:v>
                </c:pt>
                <c:pt idx="42">
                  <c:v>0.39943686910033449</c:v>
                </c:pt>
                <c:pt idx="43">
                  <c:v>0.39943686910033449</c:v>
                </c:pt>
                <c:pt idx="44">
                  <c:v>0.39943686910033449</c:v>
                </c:pt>
                <c:pt idx="45">
                  <c:v>0.39943686910033449</c:v>
                </c:pt>
                <c:pt idx="46">
                  <c:v>0.39943686910033449</c:v>
                </c:pt>
                <c:pt idx="47">
                  <c:v>0.39943686910033449</c:v>
                </c:pt>
                <c:pt idx="48">
                  <c:v>0.39943686910033449</c:v>
                </c:pt>
                <c:pt idx="49">
                  <c:v>0.39943686910033449</c:v>
                </c:pt>
                <c:pt idx="50">
                  <c:v>0.39943686910033449</c:v>
                </c:pt>
                <c:pt idx="51">
                  <c:v>0.39943686910033449</c:v>
                </c:pt>
                <c:pt idx="52">
                  <c:v>0.39943686910033449</c:v>
                </c:pt>
                <c:pt idx="53">
                  <c:v>0.39943686910033449</c:v>
                </c:pt>
                <c:pt idx="54">
                  <c:v>0.39943686910033449</c:v>
                </c:pt>
                <c:pt idx="55">
                  <c:v>0.39943686910033449</c:v>
                </c:pt>
                <c:pt idx="56">
                  <c:v>0.39943686910033449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4-4C40-9738-021673922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9848"/>
        <c:axId val="338860176"/>
      </c:scatterChart>
      <c:valAx>
        <c:axId val="338859848"/>
        <c:scaling>
          <c:orientation val="minMax"/>
          <c:min val="4410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60176"/>
        <c:crosses val="autoZero"/>
        <c:crossBetween val="midCat"/>
        <c:majorUnit val="7"/>
        <c:minorUnit val="1"/>
      </c:valAx>
      <c:valAx>
        <c:axId val="33886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Summary!$T$17</c:f>
              <c:strCache>
                <c:ptCount val="1"/>
                <c:pt idx="0">
                  <c:v>Absorption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xVal>
          <c:yVal>
            <c:numRef>
              <c:f>Summary!$T$18:$T$24</c:f>
              <c:numCache>
                <c:formatCode>0%</c:formatCode>
                <c:ptCount val="7"/>
                <c:pt idx="0">
                  <c:v>0</c:v>
                </c:pt>
                <c:pt idx="1">
                  <c:v>0.63886796222161557</c:v>
                </c:pt>
                <c:pt idx="2">
                  <c:v>0.83250559967173143</c:v>
                </c:pt>
                <c:pt idx="3">
                  <c:v>0.72176569151050007</c:v>
                </c:pt>
                <c:pt idx="4">
                  <c:v>0.67023844721802384</c:v>
                </c:pt>
                <c:pt idx="5">
                  <c:v>0.58129718343676962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4-4FB1-87A3-C2690F7C7B81}"/>
            </c:ext>
          </c:extLst>
        </c:ser>
        <c:ser>
          <c:idx val="1"/>
          <c:order val="1"/>
          <c:tx>
            <c:strRef>
              <c:f>Summary!$U$17</c:f>
              <c:strCache>
                <c:ptCount val="1"/>
                <c:pt idx="0">
                  <c:v>Utilization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xVal>
          <c:yVal>
            <c:numRef>
              <c:f>Summary!$U$18:$U$24</c:f>
              <c:numCache>
                <c:formatCode>0%</c:formatCode>
                <c:ptCount val="7"/>
                <c:pt idx="0">
                  <c:v>0.1317001431217068</c:v>
                </c:pt>
                <c:pt idx="1">
                  <c:v>1.1685680338776825</c:v>
                </c:pt>
                <c:pt idx="2">
                  <c:v>1.2540508588474153</c:v>
                </c:pt>
                <c:pt idx="3">
                  <c:v>1.102159022674547</c:v>
                </c:pt>
                <c:pt idx="4">
                  <c:v>1.22715189063789</c:v>
                </c:pt>
                <c:pt idx="5">
                  <c:v>1.1967944836168429</c:v>
                </c:pt>
                <c:pt idx="6">
                  <c:v>0.45487203276635363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64-4FB1-87A3-C2690F7C7B81}"/>
            </c:ext>
          </c:extLst>
        </c:ser>
        <c:ser>
          <c:idx val="2"/>
          <c:order val="2"/>
          <c:tx>
            <c:strRef>
              <c:f>Summary!$V$17</c:f>
              <c:strCache>
                <c:ptCount val="1"/>
                <c:pt idx="0">
                  <c:v>Office Hrs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Summary!$E$18:$E$24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xVal>
          <c:yVal>
            <c:numRef>
              <c:f>Summary!$V$18:$V$24</c:f>
              <c:numCache>
                <c:formatCode>0%</c:formatCode>
                <c:ptCount val="7"/>
                <c:pt idx="0">
                  <c:v>0.1170667938859616</c:v>
                </c:pt>
                <c:pt idx="1">
                  <c:v>1.0387271412246066</c:v>
                </c:pt>
                <c:pt idx="2">
                  <c:v>1.1906034512548187</c:v>
                </c:pt>
                <c:pt idx="3">
                  <c:v>1.0895906447388446</c:v>
                </c:pt>
                <c:pt idx="4">
                  <c:v>1.1829646100918674</c:v>
                </c:pt>
                <c:pt idx="5">
                  <c:v>1.1571912841040293</c:v>
                </c:pt>
                <c:pt idx="6">
                  <c:v>0.40433069579231434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64-4FB1-87A3-C2690F7C7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354280"/>
        <c:axId val="650358544"/>
      </c:scatterChart>
      <c:valAx>
        <c:axId val="65035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58544"/>
        <c:crosses val="autoZero"/>
        <c:crossBetween val="midCat"/>
        <c:majorUnit val="1"/>
      </c:valAx>
      <c:valAx>
        <c:axId val="6503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354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0</xdr:row>
          <xdr:rowOff>158750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0</xdr:row>
          <xdr:rowOff>171450</xdr:rowOff>
        </xdr:from>
        <xdr:to>
          <xdr:col>2</xdr:col>
          <xdr:colOff>1238250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37043</xdr:colOff>
      <xdr:row>1</xdr:row>
      <xdr:rowOff>42333</xdr:rowOff>
    </xdr:from>
    <xdr:to>
      <xdr:col>8</xdr:col>
      <xdr:colOff>560918</xdr:colOff>
      <xdr:row>15</xdr:row>
      <xdr:rowOff>74084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8</xdr:row>
          <xdr:rowOff>12700</xdr:rowOff>
        </xdr:from>
        <xdr:to>
          <xdr:col>1</xdr:col>
          <xdr:colOff>1206500</xdr:colOff>
          <xdr:row>10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25400</xdr:rowOff>
        </xdr:from>
        <xdr:to>
          <xdr:col>3</xdr:col>
          <xdr:colOff>12700</xdr:colOff>
          <xdr:row>10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PTO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380996</xdr:colOff>
      <xdr:row>1</xdr:row>
      <xdr:rowOff>31749</xdr:rowOff>
    </xdr:from>
    <xdr:to>
      <xdr:col>15</xdr:col>
      <xdr:colOff>660396</xdr:colOff>
      <xdr:row>15</xdr:row>
      <xdr:rowOff>74083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645583</xdr:colOff>
      <xdr:row>1</xdr:row>
      <xdr:rowOff>31750</xdr:rowOff>
    </xdr:from>
    <xdr:to>
      <xdr:col>12</xdr:col>
      <xdr:colOff>354541</xdr:colOff>
      <xdr:row>15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762000</xdr:colOff>
      <xdr:row>1</xdr:row>
      <xdr:rowOff>0</xdr:rowOff>
    </xdr:from>
    <xdr:to>
      <xdr:col>21</xdr:col>
      <xdr:colOff>42333</xdr:colOff>
      <xdr:row>15</xdr:row>
      <xdr:rowOff>75142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39C477B-2CC5-4625-953C-761FF480A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116412</xdr:colOff>
      <xdr:row>1</xdr:row>
      <xdr:rowOff>0</xdr:rowOff>
    </xdr:from>
    <xdr:to>
      <xdr:col>25</xdr:col>
      <xdr:colOff>878416</xdr:colOff>
      <xdr:row>15</xdr:row>
      <xdr:rowOff>74083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6E642C9-7E61-4E7B-9335-DE8BE48425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116416</xdr:colOff>
      <xdr:row>1612</xdr:row>
      <xdr:rowOff>137583</xdr:rowOff>
    </xdr:from>
    <xdr:to>
      <xdr:col>17</xdr:col>
      <xdr:colOff>270607</xdr:colOff>
      <xdr:row>1627</xdr:row>
      <xdr:rowOff>162642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499" y="290163250"/>
          <a:ext cx="2609524" cy="27238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6A9395-9786-4C7E-BDDB-49169C542877}" name="ProjectTable" displayName="ProjectTable" ref="A1:A11" totalsRowShown="0">
  <autoFilter ref="A1:A11" xr:uid="{D882547C-C539-48B3-93C4-812E5FCACA0A}"/>
  <sortState xmlns:xlrd2="http://schemas.microsoft.com/office/spreadsheetml/2017/richdata2" ref="A2:A11">
    <sortCondition ref="A1:A11"/>
  </sortState>
  <tableColumns count="1">
    <tableColumn id="1" xr3:uid="{C6EB333C-0D77-44F6-8E55-78558C922025}" name="Project Li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80E10-B93A-4A0E-A629-B5C132E8BC89}" name="Table2" displayName="Table2" ref="A1:B33" totalsRowShown="0">
  <autoFilter ref="A1:B33" xr:uid="{151EE18C-4786-4755-B671-264E273BE410}"/>
  <sortState xmlns:xlrd2="http://schemas.microsoft.com/office/spreadsheetml/2017/richdata2" ref="A2:B33">
    <sortCondition ref="A1:A33"/>
  </sortState>
  <tableColumns count="2">
    <tableColumn id="1" xr3:uid="{BC24A940-D471-4FB3-816B-5AB2CD5874C0}" name="Charge Code List"/>
    <tableColumn id="2" xr3:uid="{DAAFA5DF-9135-4542-A174-5900E1D12ECB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DF09-FE22-4886-82A6-8D093585C6D8}">
  <sheetPr codeName="Sheet3">
    <pageSetUpPr autoPageBreaks="0"/>
  </sheetPr>
  <dimension ref="A1:V62"/>
  <sheetViews>
    <sheetView tabSelected="1" zoomScale="60" zoomScaleNormal="60" workbookViewId="0">
      <selection activeCell="B28" sqref="B28"/>
    </sheetView>
  </sheetViews>
  <sheetFormatPr defaultRowHeight="14.5" x14ac:dyDescent="0.35"/>
  <cols>
    <col min="1" max="1" width="2.54296875" style="8" customWidth="1"/>
    <col min="2" max="2" width="17.36328125" style="8" customWidth="1"/>
    <col min="3" max="3" width="17.90625" style="8" customWidth="1"/>
    <col min="4" max="4" width="2.26953125" style="8" customWidth="1"/>
    <col min="5" max="5" width="14.453125" style="8" customWidth="1"/>
    <col min="6" max="8" width="9.81640625" style="8" bestFit="1" customWidth="1"/>
    <col min="9" max="9" width="11" style="8" customWidth="1"/>
    <col min="10" max="10" width="9.81640625" style="8" bestFit="1" customWidth="1"/>
    <col min="11" max="11" width="13.54296875" style="8" bestFit="1" customWidth="1"/>
    <col min="12" max="13" width="13" style="8" bestFit="1" customWidth="1"/>
    <col min="14" max="16" width="14.90625" style="8" bestFit="1" customWidth="1"/>
    <col min="17" max="17" width="12.6328125" style="8" customWidth="1"/>
    <col min="18" max="18" width="9.90625" style="8" customWidth="1"/>
    <col min="19" max="19" width="2.54296875" style="8" customWidth="1"/>
    <col min="20" max="25" width="8.7265625" style="8"/>
    <col min="26" max="26" width="14.36328125" style="8" bestFit="1" customWidth="1"/>
    <col min="27" max="16384" width="8.7265625" style="8"/>
  </cols>
  <sheetData>
    <row r="1" spans="1:22" x14ac:dyDescent="0.35">
      <c r="E1" s="9" t="s">
        <v>127</v>
      </c>
      <c r="I1" s="8" t="s">
        <v>129</v>
      </c>
      <c r="M1" s="8" t="s">
        <v>128</v>
      </c>
      <c r="P1" s="8" t="s">
        <v>130</v>
      </c>
      <c r="V1" s="8" t="s">
        <v>131</v>
      </c>
    </row>
    <row r="2" spans="1:22" x14ac:dyDescent="0.35">
      <c r="B2" s="9"/>
      <c r="P2" s="10"/>
      <c r="Q2" s="10"/>
    </row>
    <row r="4" spans="1:22" ht="14.5" customHeight="1" x14ac:dyDescent="0.35"/>
    <row r="5" spans="1:22" x14ac:dyDescent="0.35">
      <c r="B5" s="8" t="s">
        <v>13</v>
      </c>
      <c r="C5" s="11">
        <f>'Week Selection'!A3</f>
        <v>44108</v>
      </c>
    </row>
    <row r="6" spans="1:22" x14ac:dyDescent="0.35">
      <c r="B6" s="8" t="s">
        <v>91</v>
      </c>
      <c r="C6" s="11">
        <f ca="1">INDEX('Week Selection'!$A$3:$A$59,MATCH("x",'Week Selection'!$B$3:$B$59,0))</f>
        <v>44311</v>
      </c>
    </row>
    <row r="7" spans="1:22" x14ac:dyDescent="0.35">
      <c r="B7" s="8" t="s">
        <v>15</v>
      </c>
      <c r="C7" s="6">
        <v>44297</v>
      </c>
    </row>
    <row r="12" spans="1:22" x14ac:dyDescent="0.35">
      <c r="B12" s="21" t="str">
        <f>IF(MAX(Tracker!A2:A5000)&gt;4750,"Extend 5000 row limit","")</f>
        <v/>
      </c>
      <c r="C12" s="21"/>
    </row>
    <row r="14" spans="1:22" x14ac:dyDescent="0.35">
      <c r="B14" s="10" t="s">
        <v>31</v>
      </c>
    </row>
    <row r="15" spans="1:22" x14ac:dyDescent="0.35">
      <c r="A15" s="38"/>
      <c r="B15" s="32" t="s">
        <v>74</v>
      </c>
      <c r="C15" s="8" t="s">
        <v>32</v>
      </c>
    </row>
    <row r="16" spans="1:22" x14ac:dyDescent="0.35">
      <c r="A16" s="39"/>
      <c r="B16" s="8" t="s">
        <v>33</v>
      </c>
      <c r="C16" s="8" t="s">
        <v>32</v>
      </c>
    </row>
    <row r="17" spans="1:22" x14ac:dyDescent="0.35">
      <c r="A17" s="40"/>
      <c r="B17" s="8" t="s">
        <v>16</v>
      </c>
      <c r="C17" s="8" t="s">
        <v>32</v>
      </c>
      <c r="E17" s="10" t="s">
        <v>18</v>
      </c>
      <c r="F17" s="10" t="s">
        <v>17</v>
      </c>
      <c r="G17" s="10" t="s">
        <v>74</v>
      </c>
      <c r="H17" s="10" t="s">
        <v>33</v>
      </c>
      <c r="I17" s="10" t="s">
        <v>16</v>
      </c>
      <c r="J17" s="10" t="s">
        <v>11</v>
      </c>
      <c r="K17" s="10" t="s">
        <v>72</v>
      </c>
      <c r="L17" s="10" t="s">
        <v>96</v>
      </c>
      <c r="M17" s="10" t="s">
        <v>132</v>
      </c>
      <c r="N17" s="10" t="s">
        <v>133</v>
      </c>
      <c r="O17" s="10" t="s">
        <v>134</v>
      </c>
      <c r="P17" s="10" t="s">
        <v>135</v>
      </c>
      <c r="Q17" s="10" t="s">
        <v>136</v>
      </c>
      <c r="R17" s="10" t="s">
        <v>6</v>
      </c>
      <c r="T17" s="10" t="s">
        <v>28</v>
      </c>
      <c r="U17" s="10" t="s">
        <v>29</v>
      </c>
      <c r="V17" s="10" t="s">
        <v>30</v>
      </c>
    </row>
    <row r="18" spans="1:22" x14ac:dyDescent="0.35">
      <c r="A18" s="41"/>
      <c r="B18" s="8" t="s">
        <v>11</v>
      </c>
      <c r="C18" s="8" t="s">
        <v>32</v>
      </c>
      <c r="E18" s="8" t="s">
        <v>19</v>
      </c>
      <c r="F18" s="11">
        <f>C7</f>
        <v>44297</v>
      </c>
      <c r="G18" s="12" cm="1">
        <f t="array" ref="G18">IF(INDEX($C$15:$C$25,MATCH(G$17,$B$15:$B$25,0))="x",SUMPRODUCT(((YEAR(Tracker!$E$2:$E$5000)=YEAR(Summary!$F18))*(MONTH(Tracker!$E$2:$E$5000)=MONTH(Summary!$F18))*(DAY(Tracker!$E$2:$E$5000)=DAY(Summary!$F18)))*(Tracker!$J$2:$J$5000)*((Tracker!$C$2:$C$5000)=Summary!G$17)),0)</f>
        <v>0</v>
      </c>
      <c r="H18" s="12" cm="1">
        <f t="array" ref="H18">IF(INDEX($C$15:$C$25,MATCH(H$17,$B$15:$B$25,0))="x",SUMPRODUCT(((YEAR(Tracker!$E$2:$E$5000)=YEAR(Summary!$F18))*(MONTH(Tracker!$E$2:$E$5000)=MONTH(Summary!$F18))*(DAY(Tracker!$E$2:$E$5000)=DAY(Summary!$F18)))*(Tracker!$J$2:$J$5000)*((Tracker!$C$2:$C$5000)=Summary!H$17)),0)</f>
        <v>0</v>
      </c>
      <c r="I18" s="12" cm="1">
        <f t="array" ref="I18">IF(INDEX($C$15:$C$25,MATCH(I$17,$B$15:$B$25,0))="x",SUMPRODUCT(((YEAR(Tracker!$E$2:$E$5000)=YEAR(Summary!$F18))*(MONTH(Tracker!$E$2:$E$5000)=MONTH(Summary!$F18))*(DAY(Tracker!$E$2:$E$5000)=DAY(Summary!$F18)))*(Tracker!$J$2:$J$5000)*((Tracker!$C$2:$C$5000)=Summary!I$17)),0)</f>
        <v>0</v>
      </c>
      <c r="J18" s="12" cm="1">
        <f t="array" ref="J18">IF(INDEX($C$15:$C$25,MATCH(J$17,$B$15:$B$25,0))="x",SUMPRODUCT(((YEAR(Tracker!$E$2:$E$5000)=YEAR(Summary!$F18))*(MONTH(Tracker!$E$2:$E$5000)=MONTH(Summary!$F18))*(DAY(Tracker!$E$2:$E$5000)=DAY(Summary!$F18)))*(Tracker!$J$2:$J$5000)*((Tracker!$C$2:$C$5000)=Summary!J$17)),0)</f>
        <v>1.0536011449736544</v>
      </c>
      <c r="K18" s="12" cm="1">
        <f t="array" ref="K18">IF(INDEX($C$15:$C$25,MATCH(K$17,$B$15:$B$25,0))="x",SUMPRODUCT(((YEAR(Tracker!$E$2:$E$5000)=YEAR(Summary!$F18))*(MONTH(Tracker!$E$2:$E$5000)=MONTH(Summary!$F18))*(DAY(Tracker!$E$2:$E$5000)=DAY(Summary!$F18)))*(Tracker!$J$2:$J$5000)*((Tracker!$C$2:$C$5000)=Summary!K$17)),0)</f>
        <v>0</v>
      </c>
      <c r="L18" s="12" cm="1">
        <f t="array" ref="L18">IF(INDEX($C$15:$C$25,MATCH(L$17,$B$15:$B$25,0))="x",SUMPRODUCT(((YEAR(Tracker!$E$2:$E$5000)=YEAR(Summary!$F18))*(MONTH(Tracker!$E$2:$E$5000)=MONTH(Summary!$F18))*(DAY(Tracker!$E$2:$E$5000)=DAY(Summary!$F18)))*(Tracker!$J$2:$J$5000)*((Tracker!$C$2:$C$5000)=Summary!L$17)),0)</f>
        <v>0</v>
      </c>
      <c r="M18" s="12" cm="1">
        <f t="array" ref="M18">IF(INDEX($C$15:$C$25,MATCH(M$17,$B$15:$B$25,0))="x",SUMPRODUCT(((YEAR(Tracker!$E$2:$E$5000)=YEAR(Summary!$F18))*(MONTH(Tracker!$E$2:$E$5000)=MONTH(Summary!$F18))*(DAY(Tracker!$E$2:$E$5000)=DAY(Summary!$F18)))*(Tracker!$J$2:$J$5000)*((Tracker!$C$2:$C$5000)=Summary!M$17)),0)</f>
        <v>0</v>
      </c>
      <c r="N18" s="12" cm="1">
        <f t="array" ref="N18">IF(INDEX($C$15:$C$25,MATCH(N$17,$B$15:$B$25,0))="x",SUMPRODUCT(((YEAR(Tracker!$E$2:$E$5000)=YEAR(Summary!$F18))*(MONTH(Tracker!$E$2:$E$5000)=MONTH(Summary!$F18))*(DAY(Tracker!$E$2:$E$5000)=DAY(Summary!$F18)))*(Tracker!$J$2:$J$5000)*((Tracker!$C$2:$C$5000)=Summary!N$17)),0)</f>
        <v>0</v>
      </c>
      <c r="O18" s="12" cm="1">
        <f t="array" ref="O18">IF(INDEX($C$15:$C$25,MATCH(O$17,$B$15:$B$25,0))="x",SUMPRODUCT(((YEAR(Tracker!$E$2:$E$5000)=YEAR(Summary!$F18))*(MONTH(Tracker!$E$2:$E$5000)=MONTH(Summary!$F18))*(DAY(Tracker!$E$2:$E$5000)=DAY(Summary!$F18)))*(Tracker!$J$2:$J$5000)*((Tracker!$C$2:$C$5000)=Summary!O$17)),0)</f>
        <v>0</v>
      </c>
      <c r="P18" s="12" cm="1">
        <f t="array" ref="P18">IF(INDEX($C$15:$C$25,MATCH(P$17,$B$15:$B$25,0))="x",SUMPRODUCT(((YEAR(Tracker!$E$2:$E$5000)=YEAR(Summary!$F18))*(MONTH(Tracker!$E$2:$E$5000)=MONTH(Summary!$F18))*(DAY(Tracker!$E$2:$E$5000)=DAY(Summary!$F18)))*(Tracker!$J$2:$J$5000)*((Tracker!$C$2:$C$5000)=Summary!P$17)),0)</f>
        <v>0</v>
      </c>
      <c r="Q18" s="12" cm="1">
        <f t="array" ref="Q18">IF(INDEX($C$15:$C$25,MATCH(Q$17,$B$15:$B$25,0))="x",SUMPRODUCT(((YEAR(Tracker!$E$2:$E$5000)=YEAR(Summary!$F18))*(MONTH(Tracker!$E$2:$E$5000)=MONTH(Summary!$F18))*(DAY(Tracker!$E$2:$E$5000)=DAY(Summary!$F18)))*(Tracker!$J$2:$J$5000)*((Tracker!$C$2:$C$5000)=Summary!Q$17)),0)</f>
        <v>0</v>
      </c>
      <c r="R18" s="12">
        <f t="shared" ref="R18:R24" si="0">SUM(G18:Q18)</f>
        <v>1.0536011449736544</v>
      </c>
      <c r="T18" s="13">
        <f t="shared" ref="T18:T24" si="1">SUM(L18:Q18)/8</f>
        <v>0</v>
      </c>
      <c r="U18" s="13">
        <f t="shared" ref="U18:U24" si="2">SUM(J18:Q18,G18:H18)/8</f>
        <v>0.1317001431217068</v>
      </c>
      <c r="V18" s="13">
        <f t="shared" ref="V18:V24" si="3">SUM(G18:Q18)/9</f>
        <v>0.1170667938859616</v>
      </c>
    </row>
    <row r="19" spans="1:22" x14ac:dyDescent="0.35">
      <c r="A19" s="42"/>
      <c r="B19" s="8" t="s">
        <v>72</v>
      </c>
      <c r="C19" s="8" t="s">
        <v>32</v>
      </c>
      <c r="E19" s="8" t="s">
        <v>20</v>
      </c>
      <c r="F19" s="11">
        <f t="shared" ref="F19:F24" si="4">F18+1</f>
        <v>44298</v>
      </c>
      <c r="G19" s="12" cm="1">
        <f t="array" ref="G19">IF(INDEX($C$15:$C$25,MATCH(G$17,$B$15:$B$25,0))="x",SUMPRODUCT(((YEAR(Tracker!$E$2:$E$5000)=YEAR(Summary!$F19))*(MONTH(Tracker!$E$2:$E$5000)=MONTH(Summary!$F19))*(DAY(Tracker!$E$2:$E$5000)=DAY(Summary!$F19)))*(Tracker!$J$2:$J$5000)*((Tracker!$C$2:$C$5000)=Summary!G$17)),0)</f>
        <v>0</v>
      </c>
      <c r="H19" s="12" cm="1">
        <f t="array" ref="H19">IF(INDEX($C$15:$C$25,MATCH(H$17,$B$15:$B$25,0))="x",SUMPRODUCT(((YEAR(Tracker!$E$2:$E$5000)=YEAR(Summary!$F19))*(MONTH(Tracker!$E$2:$E$5000)=MONTH(Summary!$F19))*(DAY(Tracker!$E$2:$E$5000)=DAY(Summary!$F19)))*(Tracker!$J$2:$J$5000)*((Tracker!$C$2:$C$5000)=Summary!H$17)),0)</f>
        <v>0</v>
      </c>
      <c r="I19" s="12" cm="1">
        <f t="array" ref="I19">IF(INDEX($C$15:$C$25,MATCH(I$17,$B$15:$B$25,0))="x",SUMPRODUCT(((YEAR(Tracker!$E$2:$E$5000)=YEAR(Summary!$F19))*(MONTH(Tracker!$E$2:$E$5000)=MONTH(Summary!$F19))*(DAY(Tracker!$E$2:$E$5000)=DAY(Summary!$F19)))*(Tracker!$J$2:$J$5000)*((Tracker!$C$2:$C$5000)=Summary!I$17)),0)</f>
        <v>0</v>
      </c>
      <c r="J19" s="12" cm="1">
        <f t="array" ref="J19">IF(INDEX($C$15:$C$25,MATCH(J$17,$B$15:$B$25,0))="x",SUMPRODUCT(((YEAR(Tracker!$E$2:$E$5000)=YEAR(Summary!$F19))*(MONTH(Tracker!$E$2:$E$5000)=MONTH(Summary!$F19))*(DAY(Tracker!$E$2:$E$5000)=DAY(Summary!$F19)))*(Tracker!$J$2:$J$5000)*((Tracker!$C$2:$C$5000)=Summary!J$17)),0)</f>
        <v>0.99686877571811416</v>
      </c>
      <c r="K19" s="12" cm="1">
        <f t="array" ref="K19">IF(INDEX($C$15:$C$25,MATCH(K$17,$B$15:$B$25,0))="x",SUMPRODUCT(((YEAR(Tracker!$E$2:$E$5000)=YEAR(Summary!$F19))*(MONTH(Tracker!$E$2:$E$5000)=MONTH(Summary!$F19))*(DAY(Tracker!$E$2:$E$5000)=DAY(Summary!$F19)))*(Tracker!$J$2:$J$5000)*((Tracker!$C$2:$C$5000)=Summary!K$17)),0)</f>
        <v>3.2407317975304215</v>
      </c>
      <c r="L19" s="12" cm="1">
        <f t="array" ref="L19">IF(INDEX($C$15:$C$25,MATCH(L$17,$B$15:$B$25,0))="x",SUMPRODUCT(((YEAR(Tracker!$E$2:$E$5000)=YEAR(Summary!$F19))*(MONTH(Tracker!$E$2:$E$5000)=MONTH(Summary!$F19))*(DAY(Tracker!$E$2:$E$5000)=DAY(Summary!$F19)))*(Tracker!$J$2:$J$5000)*((Tracker!$C$2:$C$5000)=Summary!L$17)),0)</f>
        <v>0</v>
      </c>
      <c r="M19" s="12" cm="1">
        <f t="array" ref="M19">IF(INDEX($C$15:$C$25,MATCH(M$17,$B$15:$B$25,0))="x",SUMPRODUCT(((YEAR(Tracker!$E$2:$E$5000)=YEAR(Summary!$F19))*(MONTH(Tracker!$E$2:$E$5000)=MONTH(Summary!$F19))*(DAY(Tracker!$E$2:$E$5000)=DAY(Summary!$F19)))*(Tracker!$J$2:$J$5000)*((Tracker!$C$2:$C$5000)=Summary!M$17)),0)</f>
        <v>4.589453051316795</v>
      </c>
      <c r="N19" s="12" cm="1">
        <f t="array" ref="N19">IF(INDEX($C$15:$C$25,MATCH(N$17,$B$15:$B$25,0))="x",SUMPRODUCT(((YEAR(Tracker!$E$2:$E$5000)=YEAR(Summary!$F19))*(MONTH(Tracker!$E$2:$E$5000)=MONTH(Summary!$F19))*(DAY(Tracker!$E$2:$E$5000)=DAY(Summary!$F19)))*(Tracker!$J$2:$J$5000)*((Tracker!$C$2:$C$5000)=Summary!N$17)),0)</f>
        <v>0</v>
      </c>
      <c r="O19" s="12" cm="1">
        <f t="array" ref="O19">IF(INDEX($C$15:$C$25,MATCH(O$17,$B$15:$B$25,0))="x",SUMPRODUCT(((YEAR(Tracker!$E$2:$E$5000)=YEAR(Summary!$F19))*(MONTH(Tracker!$E$2:$E$5000)=MONTH(Summary!$F19))*(DAY(Tracker!$E$2:$E$5000)=DAY(Summary!$F19)))*(Tracker!$J$2:$J$5000)*((Tracker!$C$2:$C$5000)=Summary!O$17)),0)</f>
        <v>0</v>
      </c>
      <c r="P19" s="12" cm="1">
        <f t="array" ref="P19">IF(INDEX($C$15:$C$25,MATCH(P$17,$B$15:$B$25,0))="x",SUMPRODUCT(((YEAR(Tracker!$E$2:$E$5000)=YEAR(Summary!$F19))*(MONTH(Tracker!$E$2:$E$5000)=MONTH(Summary!$F19))*(DAY(Tracker!$E$2:$E$5000)=DAY(Summary!$F19)))*(Tracker!$J$2:$J$5000)*((Tracker!$C$2:$C$5000)=Summary!P$17)),0)</f>
        <v>0</v>
      </c>
      <c r="Q19" s="12" cm="1">
        <f t="array" ref="Q19">IF(INDEX($C$15:$C$25,MATCH(Q$17,$B$15:$B$25,0))="x",SUMPRODUCT(((YEAR(Tracker!$E$2:$E$5000)=YEAR(Summary!$F19))*(MONTH(Tracker!$E$2:$E$5000)=MONTH(Summary!$F19))*(DAY(Tracker!$E$2:$E$5000)=DAY(Summary!$F19)))*(Tracker!$J$2:$J$5000)*((Tracker!$C$2:$C$5000)=Summary!Q$17)),0)</f>
        <v>0.52149064645612941</v>
      </c>
      <c r="R19" s="12">
        <f>SUM(G19:Q19)</f>
        <v>9.3485442710214599</v>
      </c>
      <c r="T19" s="13">
        <f>SUM(L19:Q19)/8</f>
        <v>0.63886796222161557</v>
      </c>
      <c r="U19" s="13">
        <f t="shared" si="2"/>
        <v>1.1685680338776825</v>
      </c>
      <c r="V19" s="13">
        <f t="shared" si="3"/>
        <v>1.0387271412246066</v>
      </c>
    </row>
    <row r="20" spans="1:22" x14ac:dyDescent="0.35">
      <c r="A20" s="43"/>
      <c r="B20" s="8" t="s">
        <v>96</v>
      </c>
      <c r="C20" s="8" t="s">
        <v>32</v>
      </c>
      <c r="E20" s="8" t="s">
        <v>21</v>
      </c>
      <c r="F20" s="11">
        <f t="shared" si="4"/>
        <v>44299</v>
      </c>
      <c r="G20" s="12" cm="1">
        <f t="array" ref="G20">IF(INDEX($C$15:$C$25,MATCH(G$17,$B$15:$B$25,0))="x",SUMPRODUCT(((YEAR(Tracker!$E$2:$E$5000)=YEAR(Summary!$F20))*(MONTH(Tracker!$E$2:$E$5000)=MONTH(Summary!$F20))*(DAY(Tracker!$E$2:$E$5000)=DAY(Summary!$F20)))*(Tracker!$J$2:$J$5000)*((Tracker!$C$2:$C$5000)=Summary!G$17)),0)</f>
        <v>0</v>
      </c>
      <c r="H20" s="12" cm="1">
        <f t="array" ref="H20">IF(INDEX($C$15:$C$25,MATCH(H$17,$B$15:$B$25,0))="x",SUMPRODUCT(((YEAR(Tracker!$E$2:$E$5000)=YEAR(Summary!$F20))*(MONTH(Tracker!$E$2:$E$5000)=MONTH(Summary!$F20))*(DAY(Tracker!$E$2:$E$5000)=DAY(Summary!$F20)))*(Tracker!$J$2:$J$5000)*((Tracker!$C$2:$C$5000)=Summary!H$17)),0)</f>
        <v>0</v>
      </c>
      <c r="I20" s="12" cm="1">
        <f t="array" ref="I20">IF(INDEX($C$15:$C$25,MATCH(I$17,$B$15:$B$25,0))="x",SUMPRODUCT(((YEAR(Tracker!$E$2:$E$5000)=YEAR(Summary!$F20))*(MONTH(Tracker!$E$2:$E$5000)=MONTH(Summary!$F20))*(DAY(Tracker!$E$2:$E$5000)=DAY(Summary!$F20)))*(Tracker!$J$2:$J$5000)*((Tracker!$C$2:$C$5000)=Summary!I$17)),0)</f>
        <v>0.68302419051404728</v>
      </c>
      <c r="J20" s="12" cm="1">
        <f t="array" ref="J20">IF(INDEX($C$15:$C$25,MATCH(J$17,$B$15:$B$25,0))="x",SUMPRODUCT(((YEAR(Tracker!$E$2:$E$5000)=YEAR(Summary!$F20))*(MONTH(Tracker!$E$2:$E$5000)=MONTH(Summary!$F20))*(DAY(Tracker!$E$2:$E$5000)=DAY(Summary!$F20)))*(Tracker!$J$2:$J$5000)*((Tracker!$C$2:$C$5000)=Summary!J$17)),0)</f>
        <v>2.2737662906979224</v>
      </c>
      <c r="K20" s="12" cm="1">
        <f t="array" ref="K20">IF(INDEX($C$15:$C$25,MATCH(K$17,$B$15:$B$25,0))="x",SUMPRODUCT(((YEAR(Tracker!$E$2:$E$5000)=YEAR(Summary!$F20))*(MONTH(Tracker!$E$2:$E$5000)=MONTH(Summary!$F20))*(DAY(Tracker!$E$2:$E$5000)=DAY(Summary!$F20)))*(Tracker!$J$2:$J$5000)*((Tracker!$C$2:$C$5000)=Summary!K$17)),0)</f>
        <v>1.0985957827075485</v>
      </c>
      <c r="L20" s="12" cm="1">
        <f t="array" ref="L20">IF(INDEX($C$15:$C$25,MATCH(L$17,$B$15:$B$25,0))="x",SUMPRODUCT(((YEAR(Tracker!$E$2:$E$5000)=YEAR(Summary!$F20))*(MONTH(Tracker!$E$2:$E$5000)=MONTH(Summary!$F20))*(DAY(Tracker!$E$2:$E$5000)=DAY(Summary!$F20)))*(Tracker!$J$2:$J$5000)*((Tracker!$C$2:$C$5000)=Summary!L$17)),0)</f>
        <v>0</v>
      </c>
      <c r="M20" s="12" cm="1">
        <f t="array" ref="M20">IF(INDEX($C$15:$C$25,MATCH(M$17,$B$15:$B$25,0))="x",SUMPRODUCT(((YEAR(Tracker!$E$2:$E$5000)=YEAR(Summary!$F20))*(MONTH(Tracker!$E$2:$E$5000)=MONTH(Summary!$F20))*(DAY(Tracker!$E$2:$E$5000)=DAY(Summary!$F20)))*(Tracker!$J$2:$J$5000)*((Tracker!$C$2:$C$5000)=Summary!M$17)),0)</f>
        <v>2.1591836727265905</v>
      </c>
      <c r="N20" s="12" cm="1">
        <f t="array" ref="N20">IF(INDEX($C$15:$C$25,MATCH(N$17,$B$15:$B$25,0))="x",SUMPRODUCT(((YEAR(Tracker!$E$2:$E$5000)=YEAR(Summary!$F20))*(MONTH(Tracker!$E$2:$E$5000)=MONTH(Summary!$F20))*(DAY(Tracker!$E$2:$E$5000)=DAY(Summary!$F20)))*(Tracker!$J$2:$J$5000)*((Tracker!$C$2:$C$5000)=Summary!N$17)),0)</f>
        <v>1.7765895168802741</v>
      </c>
      <c r="O20" s="12" cm="1">
        <f t="array" ref="O20">IF(INDEX($C$15:$C$25,MATCH(O$17,$B$15:$B$25,0))="x",SUMPRODUCT(((YEAR(Tracker!$E$2:$E$5000)=YEAR(Summary!$F20))*(MONTH(Tracker!$E$2:$E$5000)=MONTH(Summary!$F20))*(DAY(Tracker!$E$2:$E$5000)=DAY(Summary!$F20)))*(Tracker!$J$2:$J$5000)*((Tracker!$C$2:$C$5000)=Summary!O$17)),0)</f>
        <v>0</v>
      </c>
      <c r="P20" s="12" cm="1">
        <f t="array" ref="P20">IF(INDEX($C$15:$C$25,MATCH(P$17,$B$15:$B$25,0))="x",SUMPRODUCT(((YEAR(Tracker!$E$2:$E$5000)=YEAR(Summary!$F20))*(MONTH(Tracker!$E$2:$E$5000)=MONTH(Summary!$F20))*(DAY(Tracker!$E$2:$E$5000)=DAY(Summary!$F20)))*(Tracker!$J$2:$J$5000)*((Tracker!$C$2:$C$5000)=Summary!P$17)),0)</f>
        <v>0</v>
      </c>
      <c r="Q20" s="12" cm="1">
        <f t="array" ref="Q20">IF(INDEX($C$15:$C$25,MATCH(Q$17,$B$15:$B$25,0))="x",SUMPRODUCT(((YEAR(Tracker!$E$2:$E$5000)=YEAR(Summary!$F20))*(MONTH(Tracker!$E$2:$E$5000)=MONTH(Summary!$F20))*(DAY(Tracker!$E$2:$E$5000)=DAY(Summary!$F20)))*(Tracker!$J$2:$J$5000)*((Tracker!$C$2:$C$5000)=Summary!Q$17)),0)</f>
        <v>2.7242716077669868</v>
      </c>
      <c r="R20" s="12">
        <f t="shared" si="0"/>
        <v>10.715431061293369</v>
      </c>
      <c r="T20" s="13">
        <f t="shared" si="1"/>
        <v>0.83250559967173143</v>
      </c>
      <c r="U20" s="13">
        <f t="shared" si="2"/>
        <v>1.2540508588474153</v>
      </c>
      <c r="V20" s="13">
        <f t="shared" si="3"/>
        <v>1.1906034512548187</v>
      </c>
    </row>
    <row r="21" spans="1:22" x14ac:dyDescent="0.35">
      <c r="A21" s="44"/>
      <c r="B21" s="8" t="str">
        <f>M17</f>
        <v>AAAA Project</v>
      </c>
      <c r="C21" s="8" t="s">
        <v>32</v>
      </c>
      <c r="E21" s="8" t="s">
        <v>22</v>
      </c>
      <c r="F21" s="11">
        <f t="shared" si="4"/>
        <v>44300</v>
      </c>
      <c r="G21" s="12" cm="1">
        <f t="array" ref="G21">IF(INDEX($C$15:$C$25,MATCH(G$17,$B$15:$B$25,0))="x",SUMPRODUCT(((YEAR(Tracker!$E$2:$E$5000)=YEAR(Summary!$F21))*(MONTH(Tracker!$E$2:$E$5000)=MONTH(Summary!$F21))*(DAY(Tracker!$E$2:$E$5000)=DAY(Summary!$F21)))*(Tracker!$J$2:$J$5000)*((Tracker!$C$2:$C$5000)=Summary!G$17)),0)</f>
        <v>0</v>
      </c>
      <c r="H21" s="12" cm="1">
        <f t="array" ref="H21">IF(INDEX($C$15:$C$25,MATCH(H$17,$B$15:$B$25,0))="x",SUMPRODUCT(((YEAR(Tracker!$E$2:$E$5000)=YEAR(Summary!$F21))*(MONTH(Tracker!$E$2:$E$5000)=MONTH(Summary!$F21))*(DAY(Tracker!$E$2:$E$5000)=DAY(Summary!$F21)))*(Tracker!$J$2:$J$5000)*((Tracker!$C$2:$C$5000)=Summary!H$17)),0)</f>
        <v>0</v>
      </c>
      <c r="I21" s="12" cm="1">
        <f t="array" ref="I21">IF(INDEX($C$15:$C$25,MATCH(I$17,$B$15:$B$25,0))="x",SUMPRODUCT(((YEAR(Tracker!$E$2:$E$5000)=YEAR(Summary!$F21))*(MONTH(Tracker!$E$2:$E$5000)=MONTH(Summary!$F21))*(DAY(Tracker!$E$2:$E$5000)=DAY(Summary!$F21)))*(Tracker!$J$2:$J$5000)*((Tracker!$C$2:$C$5000)=Summary!I$17)),0)</f>
        <v>0.98904362125322531</v>
      </c>
      <c r="J21" s="12" cm="1">
        <f t="array" ref="J21">IF(INDEX($C$15:$C$25,MATCH(J$17,$B$15:$B$25,0))="x",SUMPRODUCT(((YEAR(Tracker!$E$2:$E$5000)=YEAR(Summary!$F21))*(MONTH(Tracker!$E$2:$E$5000)=MONTH(Summary!$F21))*(DAY(Tracker!$E$2:$E$5000)=DAY(Summary!$F21)))*(Tracker!$J$2:$J$5000)*((Tracker!$C$2:$C$5000)=Summary!J$17)),0)</f>
        <v>1.2914299446250217</v>
      </c>
      <c r="K21" s="12" cm="1">
        <f t="array" ref="K21">IF(INDEX($C$15:$C$25,MATCH(K$17,$B$15:$B$25,0))="x",SUMPRODUCT(((YEAR(Tracker!$E$2:$E$5000)=YEAR(Summary!$F21))*(MONTH(Tracker!$E$2:$E$5000)=MONTH(Summary!$F21))*(DAY(Tracker!$E$2:$E$5000)=DAY(Summary!$F21)))*(Tracker!$J$2:$J$5000)*((Tracker!$C$2:$C$5000)=Summary!K$17)),0)</f>
        <v>1.7517167046873539</v>
      </c>
      <c r="L21" s="12" cm="1">
        <f t="array" ref="L21">IF(INDEX($C$15:$C$25,MATCH(L$17,$B$15:$B$25,0))="x",SUMPRODUCT(((YEAR(Tracker!$E$2:$E$5000)=YEAR(Summary!$F21))*(MONTH(Tracker!$E$2:$E$5000)=MONTH(Summary!$F21))*(DAY(Tracker!$E$2:$E$5000)=DAY(Summary!$F21)))*(Tracker!$J$2:$J$5000)*((Tracker!$C$2:$C$5000)=Summary!L$17)),0)</f>
        <v>1.4322827235875266</v>
      </c>
      <c r="M21" s="12" cm="1">
        <f t="array" ref="M21">IF(INDEX($C$15:$C$25,MATCH(M$17,$B$15:$B$25,0))="x",SUMPRODUCT(((YEAR(Tracker!$E$2:$E$5000)=YEAR(Summary!$F21))*(MONTH(Tracker!$E$2:$E$5000)=MONTH(Summary!$F21))*(DAY(Tracker!$E$2:$E$5000)=DAY(Summary!$F21)))*(Tracker!$J$2:$J$5000)*((Tracker!$C$2:$C$5000)=Summary!M$17)),0)</f>
        <v>4.341842808496474</v>
      </c>
      <c r="N21" s="12" cm="1">
        <f t="array" ref="N21">IF(INDEX($C$15:$C$25,MATCH(N$17,$B$15:$B$25,0))="x",SUMPRODUCT(((YEAR(Tracker!$E$2:$E$5000)=YEAR(Summary!$F21))*(MONTH(Tracker!$E$2:$E$5000)=MONTH(Summary!$F21))*(DAY(Tracker!$E$2:$E$5000)=DAY(Summary!$F21)))*(Tracker!$J$2:$J$5000)*((Tracker!$C$2:$C$5000)=Summary!N$17)),0)</f>
        <v>0</v>
      </c>
      <c r="O21" s="12" cm="1">
        <f t="array" ref="O21">IF(INDEX($C$15:$C$25,MATCH(O$17,$B$15:$B$25,0))="x",SUMPRODUCT(((YEAR(Tracker!$E$2:$E$5000)=YEAR(Summary!$F21))*(MONTH(Tracker!$E$2:$E$5000)=MONTH(Summary!$F21))*(DAY(Tracker!$E$2:$E$5000)=DAY(Summary!$F21)))*(Tracker!$J$2:$J$5000)*((Tracker!$C$2:$C$5000)=Summary!O$17)),0)</f>
        <v>0</v>
      </c>
      <c r="P21" s="12" cm="1">
        <f t="array" ref="P21">IF(INDEX($C$15:$C$25,MATCH(P$17,$B$15:$B$25,0))="x",SUMPRODUCT(((YEAR(Tracker!$E$2:$E$5000)=YEAR(Summary!$F21))*(MONTH(Tracker!$E$2:$E$5000)=MONTH(Summary!$F21))*(DAY(Tracker!$E$2:$E$5000)=DAY(Summary!$F21)))*(Tracker!$J$2:$J$5000)*((Tracker!$C$2:$C$5000)=Summary!P$17)),0)</f>
        <v>0</v>
      </c>
      <c r="Q21" s="12" cm="1">
        <f t="array" ref="Q21">IF(INDEX($C$15:$C$25,MATCH(Q$17,$B$15:$B$25,0))="x",SUMPRODUCT(((YEAR(Tracker!$E$2:$E$5000)=YEAR(Summary!$F21))*(MONTH(Tracker!$E$2:$E$5000)=MONTH(Summary!$F21))*(DAY(Tracker!$E$2:$E$5000)=DAY(Summary!$F21)))*(Tracker!$J$2:$J$5000)*((Tracker!$C$2:$C$5000)=Summary!Q$17)),0)</f>
        <v>0</v>
      </c>
      <c r="R21" s="12">
        <f t="shared" si="0"/>
        <v>9.8063158026496016</v>
      </c>
      <c r="T21" s="13">
        <f t="shared" si="1"/>
        <v>0.72176569151050007</v>
      </c>
      <c r="U21" s="13">
        <f t="shared" si="2"/>
        <v>1.102159022674547</v>
      </c>
      <c r="V21" s="13">
        <f t="shared" si="3"/>
        <v>1.0895906447388446</v>
      </c>
    </row>
    <row r="22" spans="1:22" x14ac:dyDescent="0.35">
      <c r="A22" s="45"/>
      <c r="B22" s="8" t="str">
        <f>N17</f>
        <v>BBBB Project</v>
      </c>
      <c r="C22" s="8" t="s">
        <v>32</v>
      </c>
      <c r="E22" s="8" t="s">
        <v>23</v>
      </c>
      <c r="F22" s="11">
        <f t="shared" si="4"/>
        <v>44301</v>
      </c>
      <c r="G22" s="12" cm="1">
        <f t="array" ref="G22">IF(INDEX($C$15:$C$25,MATCH(G$17,$B$15:$B$25,0))="x",SUMPRODUCT(((YEAR(Tracker!$E$2:$E$5000)=YEAR(Summary!$F22))*(MONTH(Tracker!$E$2:$E$5000)=MONTH(Summary!$F22))*(DAY(Tracker!$E$2:$E$5000)=DAY(Summary!$F22)))*(Tracker!$J$2:$J$5000)*((Tracker!$C$2:$C$5000)=Summary!G$17)),0)</f>
        <v>0</v>
      </c>
      <c r="H22" s="12" cm="1">
        <f t="array" ref="H22">IF(INDEX($C$15:$C$25,MATCH(H$17,$B$15:$B$25,0))="x",SUMPRODUCT(((YEAR(Tracker!$E$2:$E$5000)=YEAR(Summary!$F22))*(MONTH(Tracker!$E$2:$E$5000)=MONTH(Summary!$F22))*(DAY(Tracker!$E$2:$E$5000)=DAY(Summary!$F22)))*(Tracker!$J$2:$J$5000)*((Tracker!$C$2:$C$5000)=Summary!H$17)),0)</f>
        <v>0</v>
      </c>
      <c r="I22" s="12" cm="1">
        <f t="array" ref="I22">IF(INDEX($C$15:$C$25,MATCH(I$17,$B$15:$B$25,0))="x",SUMPRODUCT(((YEAR(Tracker!$E$2:$E$5000)=YEAR(Summary!$F22))*(MONTH(Tracker!$E$2:$E$5000)=MONTH(Summary!$F22))*(DAY(Tracker!$E$2:$E$5000)=DAY(Summary!$F22)))*(Tracker!$J$2:$J$5000)*((Tracker!$C$2:$C$5000)=Summary!I$17)),0)</f>
        <v>0.82946636572368626</v>
      </c>
      <c r="J22" s="12" cm="1">
        <f t="array" ref="J22">IF(INDEX($C$15:$C$25,MATCH(J$17,$B$15:$B$25,0))="x",SUMPRODUCT(((YEAR(Tracker!$E$2:$E$5000)=YEAR(Summary!$F22))*(MONTH(Tracker!$E$2:$E$5000)=MONTH(Summary!$F22))*(DAY(Tracker!$E$2:$E$5000)=DAY(Summary!$F22)))*(Tracker!$J$2:$J$5000)*((Tracker!$C$2:$C$5000)=Summary!J$17)),0)</f>
        <v>1.9850739873761514</v>
      </c>
      <c r="K22" s="12" cm="1">
        <f t="array" ref="K22">IF(INDEX($C$15:$C$25,MATCH(K$17,$B$15:$B$25,0))="x",SUMPRODUCT(((YEAR(Tracker!$E$2:$E$5000)=YEAR(Summary!$F22))*(MONTH(Tracker!$E$2:$E$5000)=MONTH(Summary!$F22))*(DAY(Tracker!$E$2:$E$5000)=DAY(Summary!$F22)))*(Tracker!$J$2:$J$5000)*((Tracker!$C$2:$C$5000)=Summary!K$17)),0)</f>
        <v>2.4702335599827769</v>
      </c>
      <c r="L22" s="12" cm="1">
        <f t="array" ref="L22">IF(INDEX($C$15:$C$25,MATCH(L$17,$B$15:$B$25,0))="x",SUMPRODUCT(((YEAR(Tracker!$E$2:$E$5000)=YEAR(Summary!$F22))*(MONTH(Tracker!$E$2:$E$5000)=MONTH(Summary!$F22))*(DAY(Tracker!$E$2:$E$5000)=DAY(Summary!$F22)))*(Tracker!$J$2:$J$5000)*((Tracker!$C$2:$C$5000)=Summary!L$17)),0)</f>
        <v>1.1391189038302461</v>
      </c>
      <c r="M22" s="12" cm="1">
        <f t="array" ref="M22">IF(INDEX($C$15:$C$25,MATCH(M$17,$B$15:$B$25,0))="x",SUMPRODUCT(((YEAR(Tracker!$E$2:$E$5000)=YEAR(Summary!$F22))*(MONTH(Tracker!$E$2:$E$5000)=MONTH(Summary!$F22))*(DAY(Tracker!$E$2:$E$5000)=DAY(Summary!$F22)))*(Tracker!$J$2:$J$5000)*((Tracker!$C$2:$C$5000)=Summary!M$17)),0)</f>
        <v>3.7342754639806874</v>
      </c>
      <c r="N22" s="12" cm="1">
        <f t="array" ref="N22">IF(INDEX($C$15:$C$25,MATCH(N$17,$B$15:$B$25,0))="x",SUMPRODUCT(((YEAR(Tracker!$E$2:$E$5000)=YEAR(Summary!$F22))*(MONTH(Tracker!$E$2:$E$5000)=MONTH(Summary!$F22))*(DAY(Tracker!$E$2:$E$5000)=DAY(Summary!$F22)))*(Tracker!$J$2:$J$5000)*((Tracker!$C$2:$C$5000)=Summary!N$17)),0)</f>
        <v>0.48851320993325809</v>
      </c>
      <c r="O22" s="12" cm="1">
        <f t="array" ref="O22">IF(INDEX($C$15:$C$25,MATCH(O$17,$B$15:$B$25,0))="x",SUMPRODUCT(((YEAR(Tracker!$E$2:$E$5000)=YEAR(Summary!$F22))*(MONTH(Tracker!$E$2:$E$5000)=MONTH(Summary!$F22))*(DAY(Tracker!$E$2:$E$5000)=DAY(Summary!$F22)))*(Tracker!$J$2:$J$5000)*((Tracker!$C$2:$C$5000)=Summary!O$17)),0)</f>
        <v>0</v>
      </c>
      <c r="P22" s="12" cm="1">
        <f t="array" ref="P22">IF(INDEX($C$15:$C$25,MATCH(P$17,$B$15:$B$25,0))="x",SUMPRODUCT(((YEAR(Tracker!$E$2:$E$5000)=YEAR(Summary!$F22))*(MONTH(Tracker!$E$2:$E$5000)=MONTH(Summary!$F22))*(DAY(Tracker!$E$2:$E$5000)=DAY(Summary!$F22)))*(Tracker!$J$2:$J$5000)*((Tracker!$C$2:$C$5000)=Summary!P$17)),0)</f>
        <v>0</v>
      </c>
      <c r="Q22" s="12" cm="1">
        <f t="array" ref="Q22">IF(INDEX($C$15:$C$25,MATCH(Q$17,$B$15:$B$25,0))="x",SUMPRODUCT(((YEAR(Tracker!$E$2:$E$5000)=YEAR(Summary!$F22))*(MONTH(Tracker!$E$2:$E$5000)=MONTH(Summary!$F22))*(DAY(Tracker!$E$2:$E$5000)=DAY(Summary!$F22)))*(Tracker!$J$2:$J$5000)*((Tracker!$C$2:$C$5000)=Summary!Q$17)),0)</f>
        <v>0</v>
      </c>
      <c r="R22" s="12">
        <f t="shared" si="0"/>
        <v>10.646681490826806</v>
      </c>
      <c r="T22" s="13">
        <f>SUM(L22:Q22)/8</f>
        <v>0.67023844721802384</v>
      </c>
      <c r="U22" s="13">
        <f t="shared" si="2"/>
        <v>1.22715189063789</v>
      </c>
      <c r="V22" s="13">
        <f t="shared" si="3"/>
        <v>1.1829646100918674</v>
      </c>
    </row>
    <row r="23" spans="1:22" x14ac:dyDescent="0.35">
      <c r="A23" s="46"/>
      <c r="B23" s="8" t="str">
        <f>O17</f>
        <v>CCCC Project</v>
      </c>
      <c r="C23" s="8" t="s">
        <v>32</v>
      </c>
      <c r="E23" s="8" t="s">
        <v>24</v>
      </c>
      <c r="F23" s="11">
        <f t="shared" si="4"/>
        <v>44302</v>
      </c>
      <c r="G23" s="12" cm="1">
        <f t="array" ref="G23">IF(INDEX($C$15:$C$25,MATCH(G$17,$B$15:$B$25,0))="x",SUMPRODUCT(((YEAR(Tracker!$E$2:$E$5000)=YEAR(Summary!$F23))*(MONTH(Tracker!$E$2:$E$5000)=MONTH(Summary!$F23))*(DAY(Tracker!$E$2:$E$5000)=DAY(Summary!$F23)))*(Tracker!$J$2:$J$5000)*((Tracker!$C$2:$C$5000)=Summary!G$17)),0)</f>
        <v>0</v>
      </c>
      <c r="H23" s="12" cm="1">
        <f t="array" ref="H23">IF(INDEX($C$15:$C$25,MATCH(H$17,$B$15:$B$25,0))="x",SUMPRODUCT(((YEAR(Tracker!$E$2:$E$5000)=YEAR(Summary!$F23))*(MONTH(Tracker!$E$2:$E$5000)=MONTH(Summary!$F23))*(DAY(Tracker!$E$2:$E$5000)=DAY(Summary!$F23)))*(Tracker!$J$2:$J$5000)*((Tracker!$C$2:$C$5000)=Summary!H$17)),0)</f>
        <v>0</v>
      </c>
      <c r="I23" s="12" cm="1">
        <f t="array" ref="I23">IF(INDEX($C$15:$C$25,MATCH(I$17,$B$15:$B$25,0))="x",SUMPRODUCT(((YEAR(Tracker!$E$2:$E$5000)=YEAR(Summary!$F23))*(MONTH(Tracker!$E$2:$E$5000)=MONTH(Summary!$F23))*(DAY(Tracker!$E$2:$E$5000)=DAY(Summary!$F23)))*(Tracker!$J$2:$J$5000)*((Tracker!$C$2:$C$5000)=Summary!I$17)),0)</f>
        <v>0.84036568800151812</v>
      </c>
      <c r="J23" s="12" cm="1">
        <f t="array" ref="J23">IF(INDEX($C$15:$C$25,MATCH(J$17,$B$15:$B$25,0))="x",SUMPRODUCT(((YEAR(Tracker!$E$2:$E$5000)=YEAR(Summary!$F23))*(MONTH(Tracker!$E$2:$E$5000)=MONTH(Summary!$F23))*(DAY(Tracker!$E$2:$E$5000)=DAY(Summary!$F23)))*(Tracker!$J$2:$J$5000)*((Tracker!$C$2:$C$5000)=Summary!J$17)),0)</f>
        <v>4.9239784014405883</v>
      </c>
      <c r="K23" s="12" cm="1">
        <f t="array" ref="K23">IF(INDEX($C$15:$C$25,MATCH(K$17,$B$15:$B$25,0))="x",SUMPRODUCT(((YEAR(Tracker!$E$2:$E$5000)=YEAR(Summary!$F23))*(MONTH(Tracker!$E$2:$E$5000)=MONTH(Summary!$F23))*(DAY(Tracker!$E$2:$E$5000)=DAY(Summary!$F23)))*(Tracker!$J$2:$J$5000)*((Tracker!$C$2:$C$5000)=Summary!K$17)),0)</f>
        <v>0</v>
      </c>
      <c r="L23" s="12" cm="1">
        <f t="array" ref="L23">IF(INDEX($C$15:$C$25,MATCH(L$17,$B$15:$B$25,0))="x",SUMPRODUCT(((YEAR(Tracker!$E$2:$E$5000)=YEAR(Summary!$F23))*(MONTH(Tracker!$E$2:$E$5000)=MONTH(Summary!$F23))*(DAY(Tracker!$E$2:$E$5000)=DAY(Summary!$F23)))*(Tracker!$J$2:$J$5000)*((Tracker!$C$2:$C$5000)=Summary!L$17)),0)</f>
        <v>0.26689365876610732</v>
      </c>
      <c r="M23" s="12" cm="1">
        <f t="array" ref="M23">IF(INDEX($C$15:$C$25,MATCH(M$17,$B$15:$B$25,0))="x",SUMPRODUCT(((YEAR(Tracker!$E$2:$E$5000)=YEAR(Summary!$F23))*(MONTH(Tracker!$E$2:$E$5000)=MONTH(Summary!$F23))*(DAY(Tracker!$E$2:$E$5000)=DAY(Summary!$F23)))*(Tracker!$J$2:$J$5000)*((Tracker!$C$2:$C$5000)=Summary!M$17)),0)</f>
        <v>3.6792199133884638</v>
      </c>
      <c r="N23" s="12" cm="1">
        <f t="array" ref="N23">IF(INDEX($C$15:$C$25,MATCH(N$17,$B$15:$B$25,0))="x",SUMPRODUCT(((YEAR(Tracker!$E$2:$E$5000)=YEAR(Summary!$F23))*(MONTH(Tracker!$E$2:$E$5000)=MONTH(Summary!$F23))*(DAY(Tracker!$E$2:$E$5000)=DAY(Summary!$F23)))*(Tracker!$J$2:$J$5000)*((Tracker!$C$2:$C$5000)=Summary!N$17)),0)</f>
        <v>0.70426389533958544</v>
      </c>
      <c r="O23" s="12" cm="1">
        <f t="array" ref="O23">IF(INDEX($C$15:$C$25,MATCH(O$17,$B$15:$B$25,0))="x",SUMPRODUCT(((YEAR(Tracker!$E$2:$E$5000)=YEAR(Summary!$F23))*(MONTH(Tracker!$E$2:$E$5000)=MONTH(Summary!$F23))*(DAY(Tracker!$E$2:$E$5000)=DAY(Summary!$F23)))*(Tracker!$J$2:$J$5000)*((Tracker!$C$2:$C$5000)=Summary!O$17)),0)</f>
        <v>0</v>
      </c>
      <c r="P23" s="12" cm="1">
        <f t="array" ref="P23">IF(INDEX($C$15:$C$25,MATCH(P$17,$B$15:$B$25,0))="x",SUMPRODUCT(((YEAR(Tracker!$E$2:$E$5000)=YEAR(Summary!$F23))*(MONTH(Tracker!$E$2:$E$5000)=MONTH(Summary!$F23))*(DAY(Tracker!$E$2:$E$5000)=DAY(Summary!$F23)))*(Tracker!$J$2:$J$5000)*((Tracker!$C$2:$C$5000)=Summary!P$17)),0)</f>
        <v>0</v>
      </c>
      <c r="Q23" s="12" cm="1">
        <f t="array" ref="Q23">IF(INDEX($C$15:$C$25,MATCH(Q$17,$B$15:$B$25,0))="x",SUMPRODUCT(((YEAR(Tracker!$E$2:$E$5000)=YEAR(Summary!$F23))*(MONTH(Tracker!$E$2:$E$5000)=MONTH(Summary!$F23))*(DAY(Tracker!$E$2:$E$5000)=DAY(Summary!$F23)))*(Tracker!$J$2:$J$5000)*((Tracker!$C$2:$C$5000)=Summary!Q$17)),0)</f>
        <v>0</v>
      </c>
      <c r="R23" s="12">
        <f t="shared" si="0"/>
        <v>10.414721556936263</v>
      </c>
      <c r="T23" s="13">
        <f t="shared" si="1"/>
        <v>0.58129718343676962</v>
      </c>
      <c r="U23" s="13">
        <f t="shared" si="2"/>
        <v>1.1967944836168429</v>
      </c>
      <c r="V23" s="13">
        <f t="shared" si="3"/>
        <v>1.1571912841040293</v>
      </c>
    </row>
    <row r="24" spans="1:22" ht="15" thickBot="1" x14ac:dyDescent="0.4">
      <c r="A24" s="47"/>
      <c r="B24" s="8" t="str">
        <f>P17</f>
        <v>DDDD Project</v>
      </c>
      <c r="C24" s="8" t="s">
        <v>32</v>
      </c>
      <c r="E24" s="14" t="s">
        <v>25</v>
      </c>
      <c r="F24" s="15">
        <f t="shared" si="4"/>
        <v>44303</v>
      </c>
      <c r="G24" s="16" cm="1">
        <f t="array" ref="G24">IF(INDEX($C$15:$C$25,MATCH(G$17,$B$15:$B$25,0))="x",SUMPRODUCT(((YEAR(Tracker!$E$2:$E$5000)=YEAR(Summary!$F24))*(MONTH(Tracker!$E$2:$E$5000)=MONTH(Summary!$F24))*(DAY(Tracker!$E$2:$E$5000)=DAY(Summary!$F24)))*(Tracker!$J$2:$J$5000)*((Tracker!$C$2:$C$5000)=Summary!G$17)),0)</f>
        <v>0</v>
      </c>
      <c r="H24" s="16" cm="1">
        <f t="array" ref="H24">IF(INDEX($C$15:$C$25,MATCH(H$17,$B$15:$B$25,0))="x",SUMPRODUCT(((YEAR(Tracker!$E$2:$E$5000)=YEAR(Summary!$F24))*(MONTH(Tracker!$E$2:$E$5000)=MONTH(Summary!$F24))*(DAY(Tracker!$E$2:$E$5000)=DAY(Summary!$F24)))*(Tracker!$J$2:$J$5000)*((Tracker!$C$2:$C$5000)=Summary!H$17)),0)</f>
        <v>0</v>
      </c>
      <c r="I24" s="16" cm="1">
        <f t="array" ref="I24">IF(INDEX($C$15:$C$25,MATCH(I$17,$B$15:$B$25,0))="x",SUMPRODUCT(((YEAR(Tracker!$E$2:$E$5000)=YEAR(Summary!$F24))*(MONTH(Tracker!$E$2:$E$5000)=MONTH(Summary!$F24))*(DAY(Tracker!$E$2:$E$5000)=DAY(Summary!$F24)))*(Tracker!$J$2:$J$5000)*((Tracker!$C$2:$C$5000)=Summary!I$17)),0)</f>
        <v>0</v>
      </c>
      <c r="J24" s="16" cm="1">
        <f t="array" ref="J24">IF(INDEX($C$15:$C$25,MATCH(J$17,$B$15:$B$25,0))="x",SUMPRODUCT(((YEAR(Tracker!$E$2:$E$5000)=YEAR(Summary!$F24))*(MONTH(Tracker!$E$2:$E$5000)=MONTH(Summary!$F24))*(DAY(Tracker!$E$2:$E$5000)=DAY(Summary!$F24)))*(Tracker!$J$2:$J$5000)*((Tracker!$C$2:$C$5000)=Summary!J$17)),0)</f>
        <v>3.638976262130829</v>
      </c>
      <c r="K24" s="16" cm="1">
        <f t="array" ref="K24">IF(INDEX($C$15:$C$25,MATCH(K$17,$B$15:$B$25,0))="x",SUMPRODUCT(((YEAR(Tracker!$E$2:$E$5000)=YEAR(Summary!$F24))*(MONTH(Tracker!$E$2:$E$5000)=MONTH(Summary!$F24))*(DAY(Tracker!$E$2:$E$5000)=DAY(Summary!$F24)))*(Tracker!$J$2:$J$5000)*((Tracker!$C$2:$C$5000)=Summary!K$17)),0)</f>
        <v>0</v>
      </c>
      <c r="L24" s="16" cm="1">
        <f t="array" ref="L24">IF(INDEX($C$15:$C$25,MATCH(L$17,$B$15:$B$25,0))="x",SUMPRODUCT(((YEAR(Tracker!$E$2:$E$5000)=YEAR(Summary!$F24))*(MONTH(Tracker!$E$2:$E$5000)=MONTH(Summary!$F24))*(DAY(Tracker!$E$2:$E$5000)=DAY(Summary!$F24)))*(Tracker!$J$2:$J$5000)*((Tracker!$C$2:$C$5000)=Summary!L$17)),0)</f>
        <v>0</v>
      </c>
      <c r="M24" s="16" cm="1">
        <f t="array" ref="M24">IF(INDEX($C$15:$C$25,MATCH(M$17,$B$15:$B$25,0))="x",SUMPRODUCT(((YEAR(Tracker!$E$2:$E$5000)=YEAR(Summary!$F24))*(MONTH(Tracker!$E$2:$E$5000)=MONTH(Summary!$F24))*(DAY(Tracker!$E$2:$E$5000)=DAY(Summary!$F24)))*(Tracker!$J$2:$J$5000)*((Tracker!$C$2:$C$5000)=Summary!M$17)),0)</f>
        <v>0</v>
      </c>
      <c r="N24" s="16" cm="1">
        <f t="array" ref="N24">IF(INDEX($C$15:$C$25,MATCH(N$17,$B$15:$B$25,0))="x",SUMPRODUCT(((YEAR(Tracker!$E$2:$E$5000)=YEAR(Summary!$F24))*(MONTH(Tracker!$E$2:$E$5000)=MONTH(Summary!$F24))*(DAY(Tracker!$E$2:$E$5000)=DAY(Summary!$F24)))*(Tracker!$J$2:$J$5000)*((Tracker!$C$2:$C$5000)=Summary!N$17)),0)</f>
        <v>0</v>
      </c>
      <c r="O24" s="16" cm="1">
        <f t="array" ref="O24">IF(INDEX($C$15:$C$25,MATCH(O$17,$B$15:$B$25,0))="x",SUMPRODUCT(((YEAR(Tracker!$E$2:$E$5000)=YEAR(Summary!$F24))*(MONTH(Tracker!$E$2:$E$5000)=MONTH(Summary!$F24))*(DAY(Tracker!$E$2:$E$5000)=DAY(Summary!$F24)))*(Tracker!$J$2:$J$5000)*((Tracker!$C$2:$C$5000)=Summary!O$17)),0)</f>
        <v>0</v>
      </c>
      <c r="P24" s="16" cm="1">
        <f t="array" ref="P24">IF(INDEX($C$15:$C$25,MATCH(P$17,$B$15:$B$25,0))="x",SUMPRODUCT(((YEAR(Tracker!$E$2:$E$5000)=YEAR(Summary!$F24))*(MONTH(Tracker!$E$2:$E$5000)=MONTH(Summary!$F24))*(DAY(Tracker!$E$2:$E$5000)=DAY(Summary!$F24)))*(Tracker!$J$2:$J$5000)*((Tracker!$C$2:$C$5000)=Summary!P$17)),0)</f>
        <v>0</v>
      </c>
      <c r="Q24" s="16" cm="1">
        <f t="array" ref="Q24">IF(INDEX($C$15:$C$25,MATCH(Q$17,$B$15:$B$25,0))="x",SUMPRODUCT(((YEAR(Tracker!$E$2:$E$5000)=YEAR(Summary!$F24))*(MONTH(Tracker!$E$2:$E$5000)=MONTH(Summary!$F24))*(DAY(Tracker!$E$2:$E$5000)=DAY(Summary!$F24)))*(Tracker!$J$2:$J$5000)*((Tracker!$C$2:$C$5000)=Summary!Q$17)),0)</f>
        <v>0</v>
      </c>
      <c r="R24" s="16">
        <f t="shared" si="0"/>
        <v>3.638976262130829</v>
      </c>
      <c r="T24" s="17">
        <f t="shared" si="1"/>
        <v>0</v>
      </c>
      <c r="U24" s="17">
        <f t="shared" si="2"/>
        <v>0.45487203276635363</v>
      </c>
      <c r="V24" s="17">
        <f t="shared" si="3"/>
        <v>0.40433069579231434</v>
      </c>
    </row>
    <row r="25" spans="1:22" ht="15" thickTop="1" x14ac:dyDescent="0.35">
      <c r="A25" s="48"/>
      <c r="B25" s="8" t="str">
        <f>Q17</f>
        <v>EEEE Project</v>
      </c>
      <c r="C25" s="8" t="s">
        <v>32</v>
      </c>
      <c r="E25" s="18" t="s">
        <v>27</v>
      </c>
      <c r="G25" s="19">
        <f>SUM(G18:G24)</f>
        <v>0</v>
      </c>
      <c r="H25" s="19">
        <f t="shared" ref="H25:P25" si="5">SUM(H18:H24)</f>
        <v>0</v>
      </c>
      <c r="I25" s="19">
        <f t="shared" si="5"/>
        <v>3.3418998654924774</v>
      </c>
      <c r="J25" s="19">
        <f t="shared" si="5"/>
        <v>16.16369480696228</v>
      </c>
      <c r="K25" s="19">
        <f>SUM(K18:K24)</f>
        <v>8.5612778449081013</v>
      </c>
      <c r="L25" s="19">
        <f t="shared" si="5"/>
        <v>2.8382952861838802</v>
      </c>
      <c r="M25" s="19">
        <f t="shared" si="5"/>
        <v>18.503974909909012</v>
      </c>
      <c r="N25" s="19">
        <f t="shared" si="5"/>
        <v>2.9693666221531174</v>
      </c>
      <c r="O25" s="19">
        <f t="shared" si="5"/>
        <v>0</v>
      </c>
      <c r="P25" s="19">
        <f t="shared" si="5"/>
        <v>0</v>
      </c>
      <c r="Q25" s="19">
        <f>SUM(Q18:Q24)</f>
        <v>3.2457622542231164</v>
      </c>
      <c r="R25" s="19">
        <f>SUM(R18:R24)</f>
        <v>55.624271589831991</v>
      </c>
      <c r="T25" s="20">
        <f>MAX(SUM(L25:Q25)/(40-SUM(G25:H25)),0)</f>
        <v>0.68893497681172811</v>
      </c>
      <c r="U25" s="20">
        <f>SUM(J25:Q25,G25:H25)/(40)</f>
        <v>1.3070592931084877</v>
      </c>
      <c r="V25" s="20">
        <f>SUM(I25:Q25,G25:H25)/(45)</f>
        <v>1.2360949242184884</v>
      </c>
    </row>
    <row r="26" spans="1:22" ht="15" thickBot="1" x14ac:dyDescent="0.4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</row>
    <row r="27" spans="1:22" ht="15.5" thickTop="1" thickBot="1" x14ac:dyDescent="0.4">
      <c r="E27" s="23" t="s">
        <v>26</v>
      </c>
      <c r="F27" s="14"/>
      <c r="G27" s="16" cm="1">
        <f t="array" ref="G27">SUMPRODUCT((Tracker!$J$2:$J$5000)*((Tracker!$C$2:$C$5000)=Summary!G$17))</f>
        <v>40.243651161885559</v>
      </c>
      <c r="H27" s="16" cm="1">
        <f t="array" ref="H27">SUMPRODUCT((Tracker!$J$2:$J$5000)*((Tracker!$C$2:$C$5000)=Summary!H$17))</f>
        <v>100.60912790462605</v>
      </c>
      <c r="I27" s="16" cm="1">
        <f t="array" ref="I27">SUMPRODUCT((Tracker!$J$2:$J$5000)*((Tracker!$C$2:$C$5000)=Summary!I$17))</f>
        <v>155.04425549620115</v>
      </c>
      <c r="J27" s="16" cm="1">
        <f t="array" ref="J27">SUMPRODUCT((Tracker!$J$2:$J$5000)*((Tracker!$C$2:$C$5000)=Summary!J$17))</f>
        <v>415.39971827603148</v>
      </c>
      <c r="K27" s="16" cm="1">
        <f t="array" ref="K27">SUMPRODUCT((Tracker!$J$2:$J$5000)*((Tracker!$C$2:$C$5000)=Summary!K$17))</f>
        <v>93.580462440266899</v>
      </c>
      <c r="L27" s="16" cm="1">
        <f t="array" ref="L27">SUMPRODUCT((Tracker!$J$2:$J$5000)*((Tracker!$C$2:$C$5000)=Summary!L$17))</f>
        <v>364.97610019221054</v>
      </c>
      <c r="M27" s="16" cm="1">
        <f t="array" ref="M27">SUMPRODUCT((Tracker!$J$2:$J$5000)*((Tracker!$C$2:$C$5000)=Summary!M$17))</f>
        <v>239.51232564344821</v>
      </c>
      <c r="N27" s="16" cm="1">
        <f t="array" ref="N27">SUMPRODUCT((Tracker!$J$2:$J$5000)*((Tracker!$C$2:$C$5000)=Summary!N$17))</f>
        <v>33.706293605934547</v>
      </c>
      <c r="O27" s="16" cm="1">
        <f t="array" ref="O27">SUMPRODUCT((Tracker!$J$2:$J$5000)*((Tracker!$C$2:$C$5000)=Summary!O$17))</f>
        <v>2.6929709900831185</v>
      </c>
      <c r="P27" s="16" cm="1">
        <f t="array" ref="P27">SUMPRODUCT((Tracker!$J$2:$J$5000)*((Tracker!$C$2:$C$5000)=Summary!P$17))</f>
        <v>2.1088791087863119</v>
      </c>
      <c r="Q27" s="16" cm="1">
        <f t="array" ref="Q27">SUMPRODUCT((Tracker!$J$2:$J$5000)*((Tracker!$C$2:$C$5000)=Summary!Q$17))</f>
        <v>106.73175227815445</v>
      </c>
      <c r="R27" s="16">
        <f>SUM(G27:Q27)</f>
        <v>1554.6055370976285</v>
      </c>
    </row>
    <row r="28" spans="1:22" ht="15" thickTop="1" x14ac:dyDescent="0.35">
      <c r="G28" s="13"/>
      <c r="H28" s="13"/>
      <c r="I28" s="13"/>
      <c r="J28" s="13"/>
      <c r="K28" s="13"/>
      <c r="L28" s="13"/>
      <c r="M28" s="13"/>
      <c r="N28" s="13"/>
    </row>
    <row r="29" spans="1:22" hidden="1" x14ac:dyDescent="0.35">
      <c r="F29" s="24" t="str">
        <f>E18</f>
        <v>Sunday</v>
      </c>
      <c r="G29" s="24" t="str">
        <f>E19</f>
        <v>Monday</v>
      </c>
      <c r="H29" s="24" t="str">
        <f>E20</f>
        <v>Tuesday</v>
      </c>
      <c r="I29" s="24" t="str">
        <f>E21</f>
        <v>Wednesday</v>
      </c>
      <c r="J29" s="24" t="str">
        <f>E22</f>
        <v>Thursday</v>
      </c>
      <c r="K29" s="24" t="str">
        <f>E23</f>
        <v>Friday</v>
      </c>
      <c r="L29" s="24" t="str">
        <f>E24</f>
        <v>Saturday</v>
      </c>
      <c r="M29" s="10"/>
      <c r="N29" s="10" t="s">
        <v>2</v>
      </c>
    </row>
    <row r="30" spans="1:22" hidden="1" x14ac:dyDescent="0.35">
      <c r="E30" s="27"/>
      <c r="F30" s="28">
        <f>F18</f>
        <v>44297</v>
      </c>
      <c r="G30" s="28">
        <f>F19</f>
        <v>44298</v>
      </c>
      <c r="H30" s="28">
        <f>F20</f>
        <v>44299</v>
      </c>
      <c r="I30" s="28">
        <f>F21</f>
        <v>44300</v>
      </c>
      <c r="J30" s="28">
        <f>F22</f>
        <v>44301</v>
      </c>
      <c r="K30" s="28">
        <f>F23</f>
        <v>44302</v>
      </c>
      <c r="L30" s="28">
        <f>F24</f>
        <v>44303</v>
      </c>
      <c r="M30" s="12"/>
      <c r="N30" s="25" t="s">
        <v>132</v>
      </c>
    </row>
    <row r="31" spans="1:22" hidden="1" x14ac:dyDescent="0.35">
      <c r="E31" s="27" t="str">
        <f>'Charge Codes'!A2</f>
        <v>A35 Training</v>
      </c>
      <c r="F31" s="26" t="str" cm="1">
        <f t="array" ref="F31">IF(SUMPRODUCT((YEAR(Tracker!$E$2:$E$5000)=YEAR(Summary!F$30))*(MONTH(Tracker!$E$2:$E$5000)=MONTH(Summary!F$30))*(DAY(Tracker!$E$2:$E$5000)=DAY(Summary!F$30))*((Tracker!$K$2:$K$5000)=("HI" &amp; LEFT($N$30,4) &amp; "-" &amp; $E31))*(Tracker!$J$2:$J$5000))=0,"",SUMPRODUCT((YEAR(Tracker!$E$2:$E$5000)=YEAR(Summary!F$30))*(MONTH(Tracker!$E$2:$E$5000)=MONTH(Summary!F$30))*(DAY(Tracker!$E$2:$E$5000)=DAY(Summary!F$30))*((Tracker!$K$2:$K$5000)=("HI" &amp; LEFT($N$30,4) &amp; "-" &amp; $E31))*(Tracker!$J$2:$J$5000)))</f>
        <v/>
      </c>
      <c r="G31" s="26" t="str" cm="1">
        <f t="array" ref="G31">IF(SUMPRODUCT((YEAR(Tracker!$E$2:$E$5000)=YEAR(Summary!G$30))*(MONTH(Tracker!$E$2:$E$5000)=MONTH(Summary!G$30))*(DAY(Tracker!$E$2:$E$5000)=DAY(Summary!G$30))*((Tracker!$K$2:$K$5000)=("HI" &amp; LEFT($N$30,4) &amp; "-" &amp; $E31))*(Tracker!$J$2:$J$5000))=0,"",SUMPRODUCT((YEAR(Tracker!$E$2:$E$5000)=YEAR(Summary!G$30))*(MONTH(Tracker!$E$2:$E$5000)=MONTH(Summary!G$30))*(DAY(Tracker!$E$2:$E$5000)=DAY(Summary!G$30))*((Tracker!$K$2:$K$5000)=("HI" &amp; LEFT($N$30,4) &amp; "-" &amp; $E31))*(Tracker!$J$2:$J$5000)))</f>
        <v/>
      </c>
      <c r="H31" s="26" t="str" cm="1">
        <f t="array" ref="H31">IF(SUMPRODUCT((YEAR(Tracker!$E$2:$E$5000)=YEAR(Summary!H$30))*(MONTH(Tracker!$E$2:$E$5000)=MONTH(Summary!H$30))*(DAY(Tracker!$E$2:$E$5000)=DAY(Summary!H$30))*((Tracker!$K$2:$K$5000)=("HI" &amp; LEFT($N$30,4) &amp; "-" &amp; $E31))*(Tracker!$J$2:$J$5000))=0,"",SUMPRODUCT((YEAR(Tracker!$E$2:$E$5000)=YEAR(Summary!H$30))*(MONTH(Tracker!$E$2:$E$5000)=MONTH(Summary!H$30))*(DAY(Tracker!$E$2:$E$5000)=DAY(Summary!H$30))*((Tracker!$K$2:$K$5000)=("HI" &amp; LEFT($N$30,4) &amp; "-" &amp; $E31))*(Tracker!$J$2:$J$5000)))</f>
        <v/>
      </c>
      <c r="I31" s="26" t="str" cm="1">
        <f t="array" ref="I31">IF(SUMPRODUCT((YEAR(Tracker!$E$2:$E$5000)=YEAR(Summary!I$30))*(MONTH(Tracker!$E$2:$E$5000)=MONTH(Summary!I$30))*(DAY(Tracker!$E$2:$E$5000)=DAY(Summary!I$30))*((Tracker!$K$2:$K$5000)=("HI" &amp; LEFT($N$30,4) &amp; "-" &amp; $E31))*(Tracker!$J$2:$J$5000))=0,"",SUMPRODUCT((YEAR(Tracker!$E$2:$E$5000)=YEAR(Summary!I$30))*(MONTH(Tracker!$E$2:$E$5000)=MONTH(Summary!I$30))*(DAY(Tracker!$E$2:$E$5000)=DAY(Summary!I$30))*((Tracker!$K$2:$K$5000)=("HI" &amp; LEFT($N$30,4) &amp; "-" &amp; $E31))*(Tracker!$J$2:$J$5000)))</f>
        <v/>
      </c>
      <c r="J31" s="26" t="str" cm="1">
        <f t="array" ref="J31">IF(SUMPRODUCT((YEAR(Tracker!$E$2:$E$5000)=YEAR(Summary!J$30))*(MONTH(Tracker!$E$2:$E$5000)=MONTH(Summary!J$30))*(DAY(Tracker!$E$2:$E$5000)=DAY(Summary!J$30))*((Tracker!$K$2:$K$5000)=("HI" &amp; LEFT($N$30,4) &amp; "-" &amp; $E31))*(Tracker!$J$2:$J$5000))=0,"",SUMPRODUCT((YEAR(Tracker!$E$2:$E$5000)=YEAR(Summary!J$30))*(MONTH(Tracker!$E$2:$E$5000)=MONTH(Summary!J$30))*(DAY(Tracker!$E$2:$E$5000)=DAY(Summary!J$30))*((Tracker!$K$2:$K$5000)=("HI" &amp; LEFT($N$30,4) &amp; "-" &amp; $E31))*(Tracker!$J$2:$J$5000)))</f>
        <v/>
      </c>
      <c r="K31" s="26" t="str" cm="1">
        <f t="array" ref="K31">IF(SUMPRODUCT((YEAR(Tracker!$E$2:$E$5000)=YEAR(Summary!K$30))*(MONTH(Tracker!$E$2:$E$5000)=MONTH(Summary!K$30))*(DAY(Tracker!$E$2:$E$5000)=DAY(Summary!K$30))*((Tracker!$K$2:$K$5000)=("HI" &amp; LEFT($N$30,4) &amp; "-" &amp; $E31))*(Tracker!$J$2:$J$5000))=0,"",SUMPRODUCT((YEAR(Tracker!$E$2:$E$5000)=YEAR(Summary!K$30))*(MONTH(Tracker!$E$2:$E$5000)=MONTH(Summary!K$30))*(DAY(Tracker!$E$2:$E$5000)=DAY(Summary!K$30))*((Tracker!$K$2:$K$5000)=("HI" &amp; LEFT($N$30,4) &amp; "-" &amp; $E31))*(Tracker!$J$2:$J$5000)))</f>
        <v/>
      </c>
      <c r="L31" s="26" t="str" cm="1">
        <f t="array" ref="L31">IF(SUMPRODUCT((YEAR(Tracker!$E$2:$E$5000)=YEAR(Summary!L$30))*(MONTH(Tracker!$E$2:$E$5000)=MONTH(Summary!L$30))*(DAY(Tracker!$E$2:$E$5000)=DAY(Summary!L$30))*((Tracker!$K$2:$K$5000)=("HI" &amp; LEFT($N$30,4) &amp; "-" &amp; $E31))*(Tracker!$J$2:$J$5000))=0,"",SUMPRODUCT((YEAR(Tracker!$E$2:$E$5000)=YEAR(Summary!L$30))*(MONTH(Tracker!$E$2:$E$5000)=MONTH(Summary!L$30))*(DAY(Tracker!$E$2:$E$5000)=DAY(Summary!L$30))*((Tracker!$K$2:$K$5000)=("HI" &amp; LEFT($N$30,4) &amp; "-" &amp; $E31))*(Tracker!$J$2:$J$5000)))</f>
        <v/>
      </c>
      <c r="M31" s="12"/>
      <c r="N31" s="12" t="str">
        <f>IF(SUM(F31:L62)=INDEX(K25:Q25,MATCH(N30,K17:Q17,0)),"","Mismatch!")</f>
        <v>Mismatch!</v>
      </c>
    </row>
    <row r="32" spans="1:22" hidden="1" x14ac:dyDescent="0.35">
      <c r="E32" s="27" t="str">
        <f>'Charge Codes'!A3</f>
        <v>EN-C3-ME-AC</v>
      </c>
      <c r="F32" s="26" t="str" cm="1">
        <f t="array" ref="F32">IF(SUMPRODUCT((YEAR(Tracker!$E$2:$E$5000)=YEAR(Summary!F$30))*(MONTH(Tracker!$E$2:$E$5000)=MONTH(Summary!F$30))*(DAY(Tracker!$E$2:$E$5000)=DAY(Summary!F$30))*((Tracker!$K$2:$K$5000)=("HI" &amp; LEFT($N$30,4) &amp; "-" &amp; $E32))*(Tracker!$J$2:$J$5000))=0,"",SUMPRODUCT((YEAR(Tracker!$E$2:$E$5000)=YEAR(Summary!F$30))*(MONTH(Tracker!$E$2:$E$5000)=MONTH(Summary!F$30))*(DAY(Tracker!$E$2:$E$5000)=DAY(Summary!F$30))*((Tracker!$K$2:$K$5000)=("HI" &amp; LEFT($N$30,4) &amp; "-" &amp; $E32))*(Tracker!$J$2:$J$5000)))</f>
        <v/>
      </c>
      <c r="G32" s="26" t="str" cm="1">
        <f t="array" ref="G32">IF(SUMPRODUCT((YEAR(Tracker!$E$2:$E$5000)=YEAR(Summary!G$30))*(MONTH(Tracker!$E$2:$E$5000)=MONTH(Summary!G$30))*(DAY(Tracker!$E$2:$E$5000)=DAY(Summary!G$30))*((Tracker!$K$2:$K$5000)=("HI" &amp; LEFT($N$30,4) &amp; "-" &amp; $E32))*(Tracker!$J$2:$J$5000))=0,"",SUMPRODUCT((YEAR(Tracker!$E$2:$E$5000)=YEAR(Summary!G$30))*(MONTH(Tracker!$E$2:$E$5000)=MONTH(Summary!G$30))*(DAY(Tracker!$E$2:$E$5000)=DAY(Summary!G$30))*((Tracker!$K$2:$K$5000)=("HI" &amp; LEFT($N$30,4) &amp; "-" &amp; $E32))*(Tracker!$J$2:$J$5000)))</f>
        <v/>
      </c>
      <c r="H32" s="26" t="str" cm="1">
        <f t="array" ref="H32">IF(SUMPRODUCT((YEAR(Tracker!$E$2:$E$5000)=YEAR(Summary!H$30))*(MONTH(Tracker!$E$2:$E$5000)=MONTH(Summary!H$30))*(DAY(Tracker!$E$2:$E$5000)=DAY(Summary!H$30))*((Tracker!$K$2:$K$5000)=("HI" &amp; LEFT($N$30,4) &amp; "-" &amp; $E32))*(Tracker!$J$2:$J$5000))=0,"",SUMPRODUCT((YEAR(Tracker!$E$2:$E$5000)=YEAR(Summary!H$30))*(MONTH(Tracker!$E$2:$E$5000)=MONTH(Summary!H$30))*(DAY(Tracker!$E$2:$E$5000)=DAY(Summary!H$30))*((Tracker!$K$2:$K$5000)=("HI" &amp; LEFT($N$30,4) &amp; "-" &amp; $E32))*(Tracker!$J$2:$J$5000)))</f>
        <v/>
      </c>
      <c r="I32" s="26" t="str" cm="1">
        <f t="array" ref="I32">IF(SUMPRODUCT((YEAR(Tracker!$E$2:$E$5000)=YEAR(Summary!I$30))*(MONTH(Tracker!$E$2:$E$5000)=MONTH(Summary!I$30))*(DAY(Tracker!$E$2:$E$5000)=DAY(Summary!I$30))*((Tracker!$K$2:$K$5000)=("HI" &amp; LEFT($N$30,4) &amp; "-" &amp; $E32))*(Tracker!$J$2:$J$5000))=0,"",SUMPRODUCT((YEAR(Tracker!$E$2:$E$5000)=YEAR(Summary!I$30))*(MONTH(Tracker!$E$2:$E$5000)=MONTH(Summary!I$30))*(DAY(Tracker!$E$2:$E$5000)=DAY(Summary!I$30))*((Tracker!$K$2:$K$5000)=("HI" &amp; LEFT($N$30,4) &amp; "-" &amp; $E32))*(Tracker!$J$2:$J$5000)))</f>
        <v/>
      </c>
      <c r="J32" s="26" t="str" cm="1">
        <f t="array" ref="J32">IF(SUMPRODUCT((YEAR(Tracker!$E$2:$E$5000)=YEAR(Summary!J$30))*(MONTH(Tracker!$E$2:$E$5000)=MONTH(Summary!J$30))*(DAY(Tracker!$E$2:$E$5000)=DAY(Summary!J$30))*((Tracker!$K$2:$K$5000)=("HI" &amp; LEFT($N$30,4) &amp; "-" &amp; $E32))*(Tracker!$J$2:$J$5000))=0,"",SUMPRODUCT((YEAR(Tracker!$E$2:$E$5000)=YEAR(Summary!J$30))*(MONTH(Tracker!$E$2:$E$5000)=MONTH(Summary!J$30))*(DAY(Tracker!$E$2:$E$5000)=DAY(Summary!J$30))*((Tracker!$K$2:$K$5000)=("HI" &amp; LEFT($N$30,4) &amp; "-" &amp; $E32))*(Tracker!$J$2:$J$5000)))</f>
        <v/>
      </c>
      <c r="K32" s="26" t="str" cm="1">
        <f t="array" ref="K32">IF(SUMPRODUCT((YEAR(Tracker!$E$2:$E$5000)=YEAR(Summary!K$30))*(MONTH(Tracker!$E$2:$E$5000)=MONTH(Summary!K$30))*(DAY(Tracker!$E$2:$E$5000)=DAY(Summary!K$30))*((Tracker!$K$2:$K$5000)=("HI" &amp; LEFT($N$30,4) &amp; "-" &amp; $E32))*(Tracker!$J$2:$J$5000))=0,"",SUMPRODUCT((YEAR(Tracker!$E$2:$E$5000)=YEAR(Summary!K$30))*(MONTH(Tracker!$E$2:$E$5000)=MONTH(Summary!K$30))*(DAY(Tracker!$E$2:$E$5000)=DAY(Summary!K$30))*((Tracker!$K$2:$K$5000)=("HI" &amp; LEFT($N$30,4) &amp; "-" &amp; $E32))*(Tracker!$J$2:$J$5000)))</f>
        <v/>
      </c>
      <c r="L32" s="26" t="str" cm="1">
        <f t="array" ref="L32">IF(SUMPRODUCT((YEAR(Tracker!$E$2:$E$5000)=YEAR(Summary!L$30))*(MONTH(Tracker!$E$2:$E$5000)=MONTH(Summary!L$30))*(DAY(Tracker!$E$2:$E$5000)=DAY(Summary!L$30))*((Tracker!$K$2:$K$5000)=("HI" &amp; LEFT($N$30,4) &amp; "-" &amp; $E32))*(Tracker!$J$2:$J$5000))=0,"",SUMPRODUCT((YEAR(Tracker!$E$2:$E$5000)=YEAR(Summary!L$30))*(MONTH(Tracker!$E$2:$E$5000)=MONTH(Summary!L$30))*(DAY(Tracker!$E$2:$E$5000)=DAY(Summary!L$30))*((Tracker!$K$2:$K$5000)=("HI" &amp; LEFT($N$30,4) &amp; "-" &amp; $E32))*(Tracker!$J$2:$J$5000)))</f>
        <v/>
      </c>
      <c r="M32" s="12"/>
      <c r="N32" s="12">
        <f>IF(N31="Mismatch!",SUM(F31:L62),"")</f>
        <v>0</v>
      </c>
    </row>
    <row r="33" spans="5:15" hidden="1" x14ac:dyDescent="0.35">
      <c r="E33" s="27" t="str">
        <f>'Charge Codes'!A4</f>
        <v>EN-C3-ME-CD</v>
      </c>
      <c r="F33" s="26" t="str" cm="1">
        <f t="array" ref="F33">IF(SUMPRODUCT((YEAR(Tracker!$E$2:$E$5000)=YEAR(Summary!F$30))*(MONTH(Tracker!$E$2:$E$5000)=MONTH(Summary!F$30))*(DAY(Tracker!$E$2:$E$5000)=DAY(Summary!F$30))*((Tracker!$K$2:$K$5000)=("HI" &amp; LEFT($N$30,4) &amp; "-" &amp; $E33))*(Tracker!$J$2:$J$5000))=0,"",SUMPRODUCT((YEAR(Tracker!$E$2:$E$5000)=YEAR(Summary!F$30))*(MONTH(Tracker!$E$2:$E$5000)=MONTH(Summary!F$30))*(DAY(Tracker!$E$2:$E$5000)=DAY(Summary!F$30))*((Tracker!$K$2:$K$5000)=("HI" &amp; LEFT($N$30,4) &amp; "-" &amp; $E33))*(Tracker!$J$2:$J$5000)))</f>
        <v/>
      </c>
      <c r="G33" s="26" t="str" cm="1">
        <f t="array" ref="G33">IF(SUMPRODUCT((YEAR(Tracker!$E$2:$E$5000)=YEAR(Summary!G$30))*(MONTH(Tracker!$E$2:$E$5000)=MONTH(Summary!G$30))*(DAY(Tracker!$E$2:$E$5000)=DAY(Summary!G$30))*((Tracker!$K$2:$K$5000)=("HI" &amp; LEFT($N$30,4) &amp; "-" &amp; $E33))*(Tracker!$J$2:$J$5000))=0,"",SUMPRODUCT((YEAR(Tracker!$E$2:$E$5000)=YEAR(Summary!G$30))*(MONTH(Tracker!$E$2:$E$5000)=MONTH(Summary!G$30))*(DAY(Tracker!$E$2:$E$5000)=DAY(Summary!G$30))*((Tracker!$K$2:$K$5000)=("HI" &amp; LEFT($N$30,4) &amp; "-" &amp; $E33))*(Tracker!$J$2:$J$5000)))</f>
        <v/>
      </c>
      <c r="H33" s="26" t="str" cm="1">
        <f t="array" ref="H33">IF(SUMPRODUCT((YEAR(Tracker!$E$2:$E$5000)=YEAR(Summary!H$30))*(MONTH(Tracker!$E$2:$E$5000)=MONTH(Summary!H$30))*(DAY(Tracker!$E$2:$E$5000)=DAY(Summary!H$30))*((Tracker!$K$2:$K$5000)=("HI" &amp; LEFT($N$30,4) &amp; "-" &amp; $E33))*(Tracker!$J$2:$J$5000))=0,"",SUMPRODUCT((YEAR(Tracker!$E$2:$E$5000)=YEAR(Summary!H$30))*(MONTH(Tracker!$E$2:$E$5000)=MONTH(Summary!H$30))*(DAY(Tracker!$E$2:$E$5000)=DAY(Summary!H$30))*((Tracker!$K$2:$K$5000)=("HI" &amp; LEFT($N$30,4) &amp; "-" &amp; $E33))*(Tracker!$J$2:$J$5000)))</f>
        <v/>
      </c>
      <c r="I33" s="26" t="str" cm="1">
        <f t="array" ref="I33">IF(SUMPRODUCT((YEAR(Tracker!$E$2:$E$5000)=YEAR(Summary!I$30))*(MONTH(Tracker!$E$2:$E$5000)=MONTH(Summary!I$30))*(DAY(Tracker!$E$2:$E$5000)=DAY(Summary!I$30))*((Tracker!$K$2:$K$5000)=("HI" &amp; LEFT($N$30,4) &amp; "-" &amp; $E33))*(Tracker!$J$2:$J$5000))=0,"",SUMPRODUCT((YEAR(Tracker!$E$2:$E$5000)=YEAR(Summary!I$30))*(MONTH(Tracker!$E$2:$E$5000)=MONTH(Summary!I$30))*(DAY(Tracker!$E$2:$E$5000)=DAY(Summary!I$30))*((Tracker!$K$2:$K$5000)=("HI" &amp; LEFT($N$30,4) &amp; "-" &amp; $E33))*(Tracker!$J$2:$J$5000)))</f>
        <v/>
      </c>
      <c r="J33" s="26" t="str" cm="1">
        <f t="array" ref="J33">IF(SUMPRODUCT((YEAR(Tracker!$E$2:$E$5000)=YEAR(Summary!J$30))*(MONTH(Tracker!$E$2:$E$5000)=MONTH(Summary!J$30))*(DAY(Tracker!$E$2:$E$5000)=DAY(Summary!J$30))*((Tracker!$K$2:$K$5000)=("HI" &amp; LEFT($N$30,4) &amp; "-" &amp; $E33))*(Tracker!$J$2:$J$5000))=0,"",SUMPRODUCT((YEAR(Tracker!$E$2:$E$5000)=YEAR(Summary!J$30))*(MONTH(Tracker!$E$2:$E$5000)=MONTH(Summary!J$30))*(DAY(Tracker!$E$2:$E$5000)=DAY(Summary!J$30))*((Tracker!$K$2:$K$5000)=("HI" &amp; LEFT($N$30,4) &amp; "-" &amp; $E33))*(Tracker!$J$2:$J$5000)))</f>
        <v/>
      </c>
      <c r="K33" s="26" t="str" cm="1">
        <f t="array" ref="K33">IF(SUMPRODUCT((YEAR(Tracker!$E$2:$E$5000)=YEAR(Summary!K$30))*(MONTH(Tracker!$E$2:$E$5000)=MONTH(Summary!K$30))*(DAY(Tracker!$E$2:$E$5000)=DAY(Summary!K$30))*((Tracker!$K$2:$K$5000)=("HI" &amp; LEFT($N$30,4) &amp; "-" &amp; $E33))*(Tracker!$J$2:$J$5000))=0,"",SUMPRODUCT((YEAR(Tracker!$E$2:$E$5000)=YEAR(Summary!K$30))*(MONTH(Tracker!$E$2:$E$5000)=MONTH(Summary!K$30))*(DAY(Tracker!$E$2:$E$5000)=DAY(Summary!K$30))*((Tracker!$K$2:$K$5000)=("HI" &amp; LEFT($N$30,4) &amp; "-" &amp; $E33))*(Tracker!$J$2:$J$5000)))</f>
        <v/>
      </c>
      <c r="L33" s="26" t="str" cm="1">
        <f t="array" ref="L33">IF(SUMPRODUCT((YEAR(Tracker!$E$2:$E$5000)=YEAR(Summary!L$30))*(MONTH(Tracker!$E$2:$E$5000)=MONTH(Summary!L$30))*(DAY(Tracker!$E$2:$E$5000)=DAY(Summary!L$30))*((Tracker!$K$2:$K$5000)=("HI" &amp; LEFT($N$30,4) &amp; "-" &amp; $E33))*(Tracker!$J$2:$J$5000))=0,"",SUMPRODUCT((YEAR(Tracker!$E$2:$E$5000)=YEAR(Summary!L$30))*(MONTH(Tracker!$E$2:$E$5000)=MONTH(Summary!L$30))*(DAY(Tracker!$E$2:$E$5000)=DAY(Summary!L$30))*((Tracker!$K$2:$K$5000)=("HI" &amp; LEFT($N$30,4) &amp; "-" &amp; $E33))*(Tracker!$J$2:$J$5000)))</f>
        <v/>
      </c>
      <c r="M33" s="12"/>
      <c r="N33" s="12"/>
    </row>
    <row r="34" spans="5:15" hidden="1" x14ac:dyDescent="0.35">
      <c r="E34" s="27" t="str">
        <f>'Charge Codes'!A5</f>
        <v>EN-C3-ME-CG</v>
      </c>
      <c r="F34" s="26" t="str" cm="1">
        <f t="array" ref="F34">IF(SUMPRODUCT((YEAR(Tracker!$E$2:$E$5000)=YEAR(Summary!F$30))*(MONTH(Tracker!$E$2:$E$5000)=MONTH(Summary!F$30))*(DAY(Tracker!$E$2:$E$5000)=DAY(Summary!F$30))*((Tracker!$K$2:$K$5000)=("HI" &amp; LEFT($N$30,4) &amp; "-" &amp; $E34))*(Tracker!$J$2:$J$5000))=0,"",SUMPRODUCT((YEAR(Tracker!$E$2:$E$5000)=YEAR(Summary!F$30))*(MONTH(Tracker!$E$2:$E$5000)=MONTH(Summary!F$30))*(DAY(Tracker!$E$2:$E$5000)=DAY(Summary!F$30))*((Tracker!$K$2:$K$5000)=("HI" &amp; LEFT($N$30,4) &amp; "-" &amp; $E34))*(Tracker!$J$2:$J$5000)))</f>
        <v/>
      </c>
      <c r="G34" s="26" t="str" cm="1">
        <f t="array" ref="G34">IF(SUMPRODUCT((YEAR(Tracker!$E$2:$E$5000)=YEAR(Summary!G$30))*(MONTH(Tracker!$E$2:$E$5000)=MONTH(Summary!G$30))*(DAY(Tracker!$E$2:$E$5000)=DAY(Summary!G$30))*((Tracker!$K$2:$K$5000)=("HI" &amp; LEFT($N$30,4) &amp; "-" &amp; $E34))*(Tracker!$J$2:$J$5000))=0,"",SUMPRODUCT((YEAR(Tracker!$E$2:$E$5000)=YEAR(Summary!G$30))*(MONTH(Tracker!$E$2:$E$5000)=MONTH(Summary!G$30))*(DAY(Tracker!$E$2:$E$5000)=DAY(Summary!G$30))*((Tracker!$K$2:$K$5000)=("HI" &amp; LEFT($N$30,4) &amp; "-" &amp; $E34))*(Tracker!$J$2:$J$5000)))</f>
        <v/>
      </c>
      <c r="H34" s="26" t="str" cm="1">
        <f t="array" ref="H34">IF(SUMPRODUCT((YEAR(Tracker!$E$2:$E$5000)=YEAR(Summary!H$30))*(MONTH(Tracker!$E$2:$E$5000)=MONTH(Summary!H$30))*(DAY(Tracker!$E$2:$E$5000)=DAY(Summary!H$30))*((Tracker!$K$2:$K$5000)=("HI" &amp; LEFT($N$30,4) &amp; "-" &amp; $E34))*(Tracker!$J$2:$J$5000))=0,"",SUMPRODUCT((YEAR(Tracker!$E$2:$E$5000)=YEAR(Summary!H$30))*(MONTH(Tracker!$E$2:$E$5000)=MONTH(Summary!H$30))*(DAY(Tracker!$E$2:$E$5000)=DAY(Summary!H$30))*((Tracker!$K$2:$K$5000)=("HI" &amp; LEFT($N$30,4) &amp; "-" &amp; $E34))*(Tracker!$J$2:$J$5000)))</f>
        <v/>
      </c>
      <c r="I34" s="26" t="str" cm="1">
        <f t="array" ref="I34">IF(SUMPRODUCT((YEAR(Tracker!$E$2:$E$5000)=YEAR(Summary!I$30))*(MONTH(Tracker!$E$2:$E$5000)=MONTH(Summary!I$30))*(DAY(Tracker!$E$2:$E$5000)=DAY(Summary!I$30))*((Tracker!$K$2:$K$5000)=("HI" &amp; LEFT($N$30,4) &amp; "-" &amp; $E34))*(Tracker!$J$2:$J$5000))=0,"",SUMPRODUCT((YEAR(Tracker!$E$2:$E$5000)=YEAR(Summary!I$30))*(MONTH(Tracker!$E$2:$E$5000)=MONTH(Summary!I$30))*(DAY(Tracker!$E$2:$E$5000)=DAY(Summary!I$30))*((Tracker!$K$2:$K$5000)=("HI" &amp; LEFT($N$30,4) &amp; "-" &amp; $E34))*(Tracker!$J$2:$J$5000)))</f>
        <v/>
      </c>
      <c r="J34" s="26" t="str" cm="1">
        <f t="array" ref="J34">IF(SUMPRODUCT((YEAR(Tracker!$E$2:$E$5000)=YEAR(Summary!J$30))*(MONTH(Tracker!$E$2:$E$5000)=MONTH(Summary!J$30))*(DAY(Tracker!$E$2:$E$5000)=DAY(Summary!J$30))*((Tracker!$K$2:$K$5000)=("HI" &amp; LEFT($N$30,4) &amp; "-" &amp; $E34))*(Tracker!$J$2:$J$5000))=0,"",SUMPRODUCT((YEAR(Tracker!$E$2:$E$5000)=YEAR(Summary!J$30))*(MONTH(Tracker!$E$2:$E$5000)=MONTH(Summary!J$30))*(DAY(Tracker!$E$2:$E$5000)=DAY(Summary!J$30))*((Tracker!$K$2:$K$5000)=("HI" &amp; LEFT($N$30,4) &amp; "-" &amp; $E34))*(Tracker!$J$2:$J$5000)))</f>
        <v/>
      </c>
      <c r="K34" s="26" t="str" cm="1">
        <f t="array" ref="K34">IF(SUMPRODUCT((YEAR(Tracker!$E$2:$E$5000)=YEAR(Summary!K$30))*(MONTH(Tracker!$E$2:$E$5000)=MONTH(Summary!K$30))*(DAY(Tracker!$E$2:$E$5000)=DAY(Summary!K$30))*((Tracker!$K$2:$K$5000)=("HI" &amp; LEFT($N$30,4) &amp; "-" &amp; $E34))*(Tracker!$J$2:$J$5000))=0,"",SUMPRODUCT((YEAR(Tracker!$E$2:$E$5000)=YEAR(Summary!K$30))*(MONTH(Tracker!$E$2:$E$5000)=MONTH(Summary!K$30))*(DAY(Tracker!$E$2:$E$5000)=DAY(Summary!K$30))*((Tracker!$K$2:$K$5000)=("HI" &amp; LEFT($N$30,4) &amp; "-" &amp; $E34))*(Tracker!$J$2:$J$5000)))</f>
        <v/>
      </c>
      <c r="L34" s="26" t="str" cm="1">
        <f t="array" ref="L34">IF(SUMPRODUCT((YEAR(Tracker!$E$2:$E$5000)=YEAR(Summary!L$30))*(MONTH(Tracker!$E$2:$E$5000)=MONTH(Summary!L$30))*(DAY(Tracker!$E$2:$E$5000)=DAY(Summary!L$30))*((Tracker!$K$2:$K$5000)=("HI" &amp; LEFT($N$30,4) &amp; "-" &amp; $E34))*(Tracker!$J$2:$J$5000))=0,"",SUMPRODUCT((YEAR(Tracker!$E$2:$E$5000)=YEAR(Summary!L$30))*(MONTH(Tracker!$E$2:$E$5000)=MONTH(Summary!L$30))*(DAY(Tracker!$E$2:$E$5000)=DAY(Summary!L$30))*((Tracker!$K$2:$K$5000)=("HI" &amp; LEFT($N$30,4) &amp; "-" &amp; $E34))*(Tracker!$J$2:$J$5000)))</f>
        <v/>
      </c>
      <c r="M34" s="12"/>
      <c r="N34" s="12"/>
      <c r="O34" s="12"/>
    </row>
    <row r="35" spans="5:15" hidden="1" x14ac:dyDescent="0.35">
      <c r="E35" s="27" t="str">
        <f>'Charge Codes'!A6</f>
        <v>EN-C3-ME-CR</v>
      </c>
      <c r="F35" s="26" t="str" cm="1">
        <f t="array" ref="F35">IF(SUMPRODUCT((YEAR(Tracker!$E$2:$E$5000)=YEAR(Summary!F$30))*(MONTH(Tracker!$E$2:$E$5000)=MONTH(Summary!F$30))*(DAY(Tracker!$E$2:$E$5000)=DAY(Summary!F$30))*((Tracker!$K$2:$K$5000)=("HI" &amp; LEFT($N$30,4) &amp; "-" &amp; $E35))*(Tracker!$J$2:$J$5000))=0,"",SUMPRODUCT((YEAR(Tracker!$E$2:$E$5000)=YEAR(Summary!F$30))*(MONTH(Tracker!$E$2:$E$5000)=MONTH(Summary!F$30))*(DAY(Tracker!$E$2:$E$5000)=DAY(Summary!F$30))*((Tracker!$K$2:$K$5000)=("HI" &amp; LEFT($N$30,4) &amp; "-" &amp; $E35))*(Tracker!$J$2:$J$5000)))</f>
        <v/>
      </c>
      <c r="G35" s="26" t="str" cm="1">
        <f t="array" ref="G35">IF(SUMPRODUCT((YEAR(Tracker!$E$2:$E$5000)=YEAR(Summary!G$30))*(MONTH(Tracker!$E$2:$E$5000)=MONTH(Summary!G$30))*(DAY(Tracker!$E$2:$E$5000)=DAY(Summary!G$30))*((Tracker!$K$2:$K$5000)=("HI" &amp; LEFT($N$30,4) &amp; "-" &amp; $E35))*(Tracker!$J$2:$J$5000))=0,"",SUMPRODUCT((YEAR(Tracker!$E$2:$E$5000)=YEAR(Summary!G$30))*(MONTH(Tracker!$E$2:$E$5000)=MONTH(Summary!G$30))*(DAY(Tracker!$E$2:$E$5000)=DAY(Summary!G$30))*((Tracker!$K$2:$K$5000)=("HI" &amp; LEFT($N$30,4) &amp; "-" &amp; $E35))*(Tracker!$J$2:$J$5000)))</f>
        <v/>
      </c>
      <c r="H35" s="26" t="str" cm="1">
        <f t="array" ref="H35">IF(SUMPRODUCT((YEAR(Tracker!$E$2:$E$5000)=YEAR(Summary!H$30))*(MONTH(Tracker!$E$2:$E$5000)=MONTH(Summary!H$30))*(DAY(Tracker!$E$2:$E$5000)=DAY(Summary!H$30))*((Tracker!$K$2:$K$5000)=("HI" &amp; LEFT($N$30,4) &amp; "-" &amp; $E35))*(Tracker!$J$2:$J$5000))=0,"",SUMPRODUCT((YEAR(Tracker!$E$2:$E$5000)=YEAR(Summary!H$30))*(MONTH(Tracker!$E$2:$E$5000)=MONTH(Summary!H$30))*(DAY(Tracker!$E$2:$E$5000)=DAY(Summary!H$30))*((Tracker!$K$2:$K$5000)=("HI" &amp; LEFT($N$30,4) &amp; "-" &amp; $E35))*(Tracker!$J$2:$J$5000)))</f>
        <v/>
      </c>
      <c r="I35" s="26" t="str" cm="1">
        <f t="array" ref="I35">IF(SUMPRODUCT((YEAR(Tracker!$E$2:$E$5000)=YEAR(Summary!I$30))*(MONTH(Tracker!$E$2:$E$5000)=MONTH(Summary!I$30))*(DAY(Tracker!$E$2:$E$5000)=DAY(Summary!I$30))*((Tracker!$K$2:$K$5000)=("HI" &amp; LEFT($N$30,4) &amp; "-" &amp; $E35))*(Tracker!$J$2:$J$5000))=0,"",SUMPRODUCT((YEAR(Tracker!$E$2:$E$5000)=YEAR(Summary!I$30))*(MONTH(Tracker!$E$2:$E$5000)=MONTH(Summary!I$30))*(DAY(Tracker!$E$2:$E$5000)=DAY(Summary!I$30))*((Tracker!$K$2:$K$5000)=("HI" &amp; LEFT($N$30,4) &amp; "-" &amp; $E35))*(Tracker!$J$2:$J$5000)))</f>
        <v/>
      </c>
      <c r="J35" s="26" t="str" cm="1">
        <f t="array" ref="J35">IF(SUMPRODUCT((YEAR(Tracker!$E$2:$E$5000)=YEAR(Summary!J$30))*(MONTH(Tracker!$E$2:$E$5000)=MONTH(Summary!J$30))*(DAY(Tracker!$E$2:$E$5000)=DAY(Summary!J$30))*((Tracker!$K$2:$K$5000)=("HI" &amp; LEFT($N$30,4) &amp; "-" &amp; $E35))*(Tracker!$J$2:$J$5000))=0,"",SUMPRODUCT((YEAR(Tracker!$E$2:$E$5000)=YEAR(Summary!J$30))*(MONTH(Tracker!$E$2:$E$5000)=MONTH(Summary!J$30))*(DAY(Tracker!$E$2:$E$5000)=DAY(Summary!J$30))*((Tracker!$K$2:$K$5000)=("HI" &amp; LEFT($N$30,4) &amp; "-" &amp; $E35))*(Tracker!$J$2:$J$5000)))</f>
        <v/>
      </c>
      <c r="K35" s="26" t="str" cm="1">
        <f t="array" ref="K35">IF(SUMPRODUCT((YEAR(Tracker!$E$2:$E$5000)=YEAR(Summary!K$30))*(MONTH(Tracker!$E$2:$E$5000)=MONTH(Summary!K$30))*(DAY(Tracker!$E$2:$E$5000)=DAY(Summary!K$30))*((Tracker!$K$2:$K$5000)=("HI" &amp; LEFT($N$30,4) &amp; "-" &amp; $E35))*(Tracker!$J$2:$J$5000))=0,"",SUMPRODUCT((YEAR(Tracker!$E$2:$E$5000)=YEAR(Summary!K$30))*(MONTH(Tracker!$E$2:$E$5000)=MONTH(Summary!K$30))*(DAY(Tracker!$E$2:$E$5000)=DAY(Summary!K$30))*((Tracker!$K$2:$K$5000)=("HI" &amp; LEFT($N$30,4) &amp; "-" &amp; $E35))*(Tracker!$J$2:$J$5000)))</f>
        <v/>
      </c>
      <c r="L35" s="26" t="str" cm="1">
        <f t="array" ref="L35">IF(SUMPRODUCT((YEAR(Tracker!$E$2:$E$5000)=YEAR(Summary!L$30))*(MONTH(Tracker!$E$2:$E$5000)=MONTH(Summary!L$30))*(DAY(Tracker!$E$2:$E$5000)=DAY(Summary!L$30))*((Tracker!$K$2:$K$5000)=("HI" &amp; LEFT($N$30,4) &amp; "-" &amp; $E35))*(Tracker!$J$2:$J$5000))=0,"",SUMPRODUCT((YEAR(Tracker!$E$2:$E$5000)=YEAR(Summary!L$30))*(MONTH(Tracker!$E$2:$E$5000)=MONTH(Summary!L$30))*(DAY(Tracker!$E$2:$E$5000)=DAY(Summary!L$30))*((Tracker!$K$2:$K$5000)=("HI" &amp; LEFT($N$30,4) &amp; "-" &amp; $E35))*(Tracker!$J$2:$J$5000)))</f>
        <v/>
      </c>
      <c r="M35" s="12"/>
      <c r="N35" s="12"/>
      <c r="O35" s="12"/>
    </row>
    <row r="36" spans="5:15" hidden="1" x14ac:dyDescent="0.35">
      <c r="E36" s="27" t="str">
        <f>'Charge Codes'!A7</f>
        <v>EN-C3-ME-DR</v>
      </c>
      <c r="F36" s="26" t="str" cm="1">
        <f t="array" ref="F36">IF(SUMPRODUCT((YEAR(Tracker!$E$2:$E$5000)=YEAR(Summary!F$30))*(MONTH(Tracker!$E$2:$E$5000)=MONTH(Summary!F$30))*(DAY(Tracker!$E$2:$E$5000)=DAY(Summary!F$30))*((Tracker!$K$2:$K$5000)=("HI" &amp; LEFT($N$30,4) &amp; "-" &amp; $E36))*(Tracker!$J$2:$J$5000))=0,"",SUMPRODUCT((YEAR(Tracker!$E$2:$E$5000)=YEAR(Summary!F$30))*(MONTH(Tracker!$E$2:$E$5000)=MONTH(Summary!F$30))*(DAY(Tracker!$E$2:$E$5000)=DAY(Summary!F$30))*((Tracker!$K$2:$K$5000)=("HI" &amp; LEFT($N$30,4) &amp; "-" &amp; $E36))*(Tracker!$J$2:$J$5000)))</f>
        <v/>
      </c>
      <c r="G36" s="26" t="str" cm="1">
        <f t="array" ref="G36">IF(SUMPRODUCT((YEAR(Tracker!$E$2:$E$5000)=YEAR(Summary!G$30))*(MONTH(Tracker!$E$2:$E$5000)=MONTH(Summary!G$30))*(DAY(Tracker!$E$2:$E$5000)=DAY(Summary!G$30))*((Tracker!$K$2:$K$5000)=("HI" &amp; LEFT($N$30,4) &amp; "-" &amp; $E36))*(Tracker!$J$2:$J$5000))=0,"",SUMPRODUCT((YEAR(Tracker!$E$2:$E$5000)=YEAR(Summary!G$30))*(MONTH(Tracker!$E$2:$E$5000)=MONTH(Summary!G$30))*(DAY(Tracker!$E$2:$E$5000)=DAY(Summary!G$30))*((Tracker!$K$2:$K$5000)=("HI" &amp; LEFT($N$30,4) &amp; "-" &amp; $E36))*(Tracker!$J$2:$J$5000)))</f>
        <v/>
      </c>
      <c r="H36" s="26" t="str" cm="1">
        <f t="array" ref="H36">IF(SUMPRODUCT((YEAR(Tracker!$E$2:$E$5000)=YEAR(Summary!H$30))*(MONTH(Tracker!$E$2:$E$5000)=MONTH(Summary!H$30))*(DAY(Tracker!$E$2:$E$5000)=DAY(Summary!H$30))*((Tracker!$K$2:$K$5000)=("HI" &amp; LEFT($N$30,4) &amp; "-" &amp; $E36))*(Tracker!$J$2:$J$5000))=0,"",SUMPRODUCT((YEAR(Tracker!$E$2:$E$5000)=YEAR(Summary!H$30))*(MONTH(Tracker!$E$2:$E$5000)=MONTH(Summary!H$30))*(DAY(Tracker!$E$2:$E$5000)=DAY(Summary!H$30))*((Tracker!$K$2:$K$5000)=("HI" &amp; LEFT($N$30,4) &amp; "-" &amp; $E36))*(Tracker!$J$2:$J$5000)))</f>
        <v/>
      </c>
      <c r="I36" s="26" t="str" cm="1">
        <f t="array" ref="I36">IF(SUMPRODUCT((YEAR(Tracker!$E$2:$E$5000)=YEAR(Summary!I$30))*(MONTH(Tracker!$E$2:$E$5000)=MONTH(Summary!I$30))*(DAY(Tracker!$E$2:$E$5000)=DAY(Summary!I$30))*((Tracker!$K$2:$K$5000)=("HI" &amp; LEFT($N$30,4) &amp; "-" &amp; $E36))*(Tracker!$J$2:$J$5000))=0,"",SUMPRODUCT((YEAR(Tracker!$E$2:$E$5000)=YEAR(Summary!I$30))*(MONTH(Tracker!$E$2:$E$5000)=MONTH(Summary!I$30))*(DAY(Tracker!$E$2:$E$5000)=DAY(Summary!I$30))*((Tracker!$K$2:$K$5000)=("HI" &amp; LEFT($N$30,4) &amp; "-" &amp; $E36))*(Tracker!$J$2:$J$5000)))</f>
        <v/>
      </c>
      <c r="J36" s="26" t="str" cm="1">
        <f t="array" ref="J36">IF(SUMPRODUCT((YEAR(Tracker!$E$2:$E$5000)=YEAR(Summary!J$30))*(MONTH(Tracker!$E$2:$E$5000)=MONTH(Summary!J$30))*(DAY(Tracker!$E$2:$E$5000)=DAY(Summary!J$30))*((Tracker!$K$2:$K$5000)=("HI" &amp; LEFT($N$30,4) &amp; "-" &amp; $E36))*(Tracker!$J$2:$J$5000))=0,"",SUMPRODUCT((YEAR(Tracker!$E$2:$E$5000)=YEAR(Summary!J$30))*(MONTH(Tracker!$E$2:$E$5000)=MONTH(Summary!J$30))*(DAY(Tracker!$E$2:$E$5000)=DAY(Summary!J$30))*((Tracker!$K$2:$K$5000)=("HI" &amp; LEFT($N$30,4) &amp; "-" &amp; $E36))*(Tracker!$J$2:$J$5000)))</f>
        <v/>
      </c>
      <c r="K36" s="26" t="str" cm="1">
        <f t="array" ref="K36">IF(SUMPRODUCT((YEAR(Tracker!$E$2:$E$5000)=YEAR(Summary!K$30))*(MONTH(Tracker!$E$2:$E$5000)=MONTH(Summary!K$30))*(DAY(Tracker!$E$2:$E$5000)=DAY(Summary!K$30))*((Tracker!$K$2:$K$5000)=("HI" &amp; LEFT($N$30,4) &amp; "-" &amp; $E36))*(Tracker!$J$2:$J$5000))=0,"",SUMPRODUCT((YEAR(Tracker!$E$2:$E$5000)=YEAR(Summary!K$30))*(MONTH(Tracker!$E$2:$E$5000)=MONTH(Summary!K$30))*(DAY(Tracker!$E$2:$E$5000)=DAY(Summary!K$30))*((Tracker!$K$2:$K$5000)=("HI" &amp; LEFT($N$30,4) &amp; "-" &amp; $E36))*(Tracker!$J$2:$J$5000)))</f>
        <v/>
      </c>
      <c r="L36" s="26" t="str" cm="1">
        <f t="array" ref="L36">IF(SUMPRODUCT((YEAR(Tracker!$E$2:$E$5000)=YEAR(Summary!L$30))*(MONTH(Tracker!$E$2:$E$5000)=MONTH(Summary!L$30))*(DAY(Tracker!$E$2:$E$5000)=DAY(Summary!L$30))*((Tracker!$K$2:$K$5000)=("HI" &amp; LEFT($N$30,4) &amp; "-" &amp; $E36))*(Tracker!$J$2:$J$5000))=0,"",SUMPRODUCT((YEAR(Tracker!$E$2:$E$5000)=YEAR(Summary!L$30))*(MONTH(Tracker!$E$2:$E$5000)=MONTH(Summary!L$30))*(DAY(Tracker!$E$2:$E$5000)=DAY(Summary!L$30))*((Tracker!$K$2:$K$5000)=("HI" &amp; LEFT($N$30,4) &amp; "-" &amp; $E36))*(Tracker!$J$2:$J$5000)))</f>
        <v/>
      </c>
      <c r="M36" s="12"/>
      <c r="N36" s="12"/>
      <c r="O36" s="12"/>
    </row>
    <row r="37" spans="5:15" hidden="1" x14ac:dyDescent="0.35">
      <c r="E37" s="27" t="str">
        <f>'Charge Codes'!A8</f>
        <v>EN-C3-ME-FO</v>
      </c>
      <c r="F37" s="26" t="str" cm="1">
        <f t="array" ref="F37">IF(SUMPRODUCT((YEAR(Tracker!$E$2:$E$5000)=YEAR(Summary!F$30))*(MONTH(Tracker!$E$2:$E$5000)=MONTH(Summary!F$30))*(DAY(Tracker!$E$2:$E$5000)=DAY(Summary!F$30))*((Tracker!$K$2:$K$5000)=("HI" &amp; LEFT($N$30,4) &amp; "-" &amp; $E37))*(Tracker!$J$2:$J$5000))=0,"",SUMPRODUCT((YEAR(Tracker!$E$2:$E$5000)=YEAR(Summary!F$30))*(MONTH(Tracker!$E$2:$E$5000)=MONTH(Summary!F$30))*(DAY(Tracker!$E$2:$E$5000)=DAY(Summary!F$30))*((Tracker!$K$2:$K$5000)=("HI" &amp; LEFT($N$30,4) &amp; "-" &amp; $E37))*(Tracker!$J$2:$J$5000)))</f>
        <v/>
      </c>
      <c r="G37" s="26" t="str" cm="1">
        <f t="array" ref="G37">IF(SUMPRODUCT((YEAR(Tracker!$E$2:$E$5000)=YEAR(Summary!G$30))*(MONTH(Tracker!$E$2:$E$5000)=MONTH(Summary!G$30))*(DAY(Tracker!$E$2:$E$5000)=DAY(Summary!G$30))*((Tracker!$K$2:$K$5000)=("HI" &amp; LEFT($N$30,4) &amp; "-" &amp; $E37))*(Tracker!$J$2:$J$5000))=0,"",SUMPRODUCT((YEAR(Tracker!$E$2:$E$5000)=YEAR(Summary!G$30))*(MONTH(Tracker!$E$2:$E$5000)=MONTH(Summary!G$30))*(DAY(Tracker!$E$2:$E$5000)=DAY(Summary!G$30))*((Tracker!$K$2:$K$5000)=("HI" &amp; LEFT($N$30,4) &amp; "-" &amp; $E37))*(Tracker!$J$2:$J$5000)))</f>
        <v/>
      </c>
      <c r="H37" s="26" t="str" cm="1">
        <f t="array" ref="H37">IF(SUMPRODUCT((YEAR(Tracker!$E$2:$E$5000)=YEAR(Summary!H$30))*(MONTH(Tracker!$E$2:$E$5000)=MONTH(Summary!H$30))*(DAY(Tracker!$E$2:$E$5000)=DAY(Summary!H$30))*((Tracker!$K$2:$K$5000)=("HI" &amp; LEFT($N$30,4) &amp; "-" &amp; $E37))*(Tracker!$J$2:$J$5000))=0,"",SUMPRODUCT((YEAR(Tracker!$E$2:$E$5000)=YEAR(Summary!H$30))*(MONTH(Tracker!$E$2:$E$5000)=MONTH(Summary!H$30))*(DAY(Tracker!$E$2:$E$5000)=DAY(Summary!H$30))*((Tracker!$K$2:$K$5000)=("HI" &amp; LEFT($N$30,4) &amp; "-" &amp; $E37))*(Tracker!$J$2:$J$5000)))</f>
        <v/>
      </c>
      <c r="I37" s="26" t="str" cm="1">
        <f t="array" ref="I37">IF(SUMPRODUCT((YEAR(Tracker!$E$2:$E$5000)=YEAR(Summary!I$30))*(MONTH(Tracker!$E$2:$E$5000)=MONTH(Summary!I$30))*(DAY(Tracker!$E$2:$E$5000)=DAY(Summary!I$30))*((Tracker!$K$2:$K$5000)=("HI" &amp; LEFT($N$30,4) &amp; "-" &amp; $E37))*(Tracker!$J$2:$J$5000))=0,"",SUMPRODUCT((YEAR(Tracker!$E$2:$E$5000)=YEAR(Summary!I$30))*(MONTH(Tracker!$E$2:$E$5000)=MONTH(Summary!I$30))*(DAY(Tracker!$E$2:$E$5000)=DAY(Summary!I$30))*((Tracker!$K$2:$K$5000)=("HI" &amp; LEFT($N$30,4) &amp; "-" &amp; $E37))*(Tracker!$J$2:$J$5000)))</f>
        <v/>
      </c>
      <c r="J37" s="26" t="str" cm="1">
        <f t="array" ref="J37">IF(SUMPRODUCT((YEAR(Tracker!$E$2:$E$5000)=YEAR(Summary!J$30))*(MONTH(Tracker!$E$2:$E$5000)=MONTH(Summary!J$30))*(DAY(Tracker!$E$2:$E$5000)=DAY(Summary!J$30))*((Tracker!$K$2:$K$5000)=("HI" &amp; LEFT($N$30,4) &amp; "-" &amp; $E37))*(Tracker!$J$2:$J$5000))=0,"",SUMPRODUCT((YEAR(Tracker!$E$2:$E$5000)=YEAR(Summary!J$30))*(MONTH(Tracker!$E$2:$E$5000)=MONTH(Summary!J$30))*(DAY(Tracker!$E$2:$E$5000)=DAY(Summary!J$30))*((Tracker!$K$2:$K$5000)=("HI" &amp; LEFT($N$30,4) &amp; "-" &amp; $E37))*(Tracker!$J$2:$J$5000)))</f>
        <v/>
      </c>
      <c r="K37" s="26" t="str" cm="1">
        <f t="array" ref="K37">IF(SUMPRODUCT((YEAR(Tracker!$E$2:$E$5000)=YEAR(Summary!K$30))*(MONTH(Tracker!$E$2:$E$5000)=MONTH(Summary!K$30))*(DAY(Tracker!$E$2:$E$5000)=DAY(Summary!K$30))*((Tracker!$K$2:$K$5000)=("HI" &amp; LEFT($N$30,4) &amp; "-" &amp; $E37))*(Tracker!$J$2:$J$5000))=0,"",SUMPRODUCT((YEAR(Tracker!$E$2:$E$5000)=YEAR(Summary!K$30))*(MONTH(Tracker!$E$2:$E$5000)=MONTH(Summary!K$30))*(DAY(Tracker!$E$2:$E$5000)=DAY(Summary!K$30))*((Tracker!$K$2:$K$5000)=("HI" &amp; LEFT($N$30,4) &amp; "-" &amp; $E37))*(Tracker!$J$2:$J$5000)))</f>
        <v/>
      </c>
      <c r="L37" s="26" t="str" cm="1">
        <f t="array" ref="L37">IF(SUMPRODUCT((YEAR(Tracker!$E$2:$E$5000)=YEAR(Summary!L$30))*(MONTH(Tracker!$E$2:$E$5000)=MONTH(Summary!L$30))*(DAY(Tracker!$E$2:$E$5000)=DAY(Summary!L$30))*((Tracker!$K$2:$K$5000)=("HI" &amp; LEFT($N$30,4) &amp; "-" &amp; $E37))*(Tracker!$J$2:$J$5000))=0,"",SUMPRODUCT((YEAR(Tracker!$E$2:$E$5000)=YEAR(Summary!L$30))*(MONTH(Tracker!$E$2:$E$5000)=MONTH(Summary!L$30))*(DAY(Tracker!$E$2:$E$5000)=DAY(Summary!L$30))*((Tracker!$K$2:$K$5000)=("HI" &amp; LEFT($N$30,4) &amp; "-" &amp; $E37))*(Tracker!$J$2:$J$5000)))</f>
        <v/>
      </c>
      <c r="M37" s="12"/>
      <c r="N37" s="12"/>
    </row>
    <row r="38" spans="5:15" hidden="1" x14ac:dyDescent="0.35">
      <c r="E38" s="27" t="str">
        <f>'Charge Codes'!A9</f>
        <v>EN-C3-ME-GF</v>
      </c>
      <c r="F38" s="26" t="str" cm="1">
        <f t="array" ref="F38">IF(SUMPRODUCT((YEAR(Tracker!$E$2:$E$5000)=YEAR(Summary!F$30))*(MONTH(Tracker!$E$2:$E$5000)=MONTH(Summary!F$30))*(DAY(Tracker!$E$2:$E$5000)=DAY(Summary!F$30))*((Tracker!$K$2:$K$5000)=("HI" &amp; LEFT($N$30,4) &amp; "-" &amp; $E38))*(Tracker!$J$2:$J$5000))=0,"",SUMPRODUCT((YEAR(Tracker!$E$2:$E$5000)=YEAR(Summary!F$30))*(MONTH(Tracker!$E$2:$E$5000)=MONTH(Summary!F$30))*(DAY(Tracker!$E$2:$E$5000)=DAY(Summary!F$30))*((Tracker!$K$2:$K$5000)=("HI" &amp; LEFT($N$30,4) &amp; "-" &amp; $E38))*(Tracker!$J$2:$J$5000)))</f>
        <v/>
      </c>
      <c r="G38" s="26" t="str" cm="1">
        <f t="array" ref="G38">IF(SUMPRODUCT((YEAR(Tracker!$E$2:$E$5000)=YEAR(Summary!G$30))*(MONTH(Tracker!$E$2:$E$5000)=MONTH(Summary!G$30))*(DAY(Tracker!$E$2:$E$5000)=DAY(Summary!G$30))*((Tracker!$K$2:$K$5000)=("HI" &amp; LEFT($N$30,4) &amp; "-" &amp; $E38))*(Tracker!$J$2:$J$5000))=0,"",SUMPRODUCT((YEAR(Tracker!$E$2:$E$5000)=YEAR(Summary!G$30))*(MONTH(Tracker!$E$2:$E$5000)=MONTH(Summary!G$30))*(DAY(Tracker!$E$2:$E$5000)=DAY(Summary!G$30))*((Tracker!$K$2:$K$5000)=("HI" &amp; LEFT($N$30,4) &amp; "-" &amp; $E38))*(Tracker!$J$2:$J$5000)))</f>
        <v/>
      </c>
      <c r="H38" s="26" t="str" cm="1">
        <f t="array" ref="H38">IF(SUMPRODUCT((YEAR(Tracker!$E$2:$E$5000)=YEAR(Summary!H$30))*(MONTH(Tracker!$E$2:$E$5000)=MONTH(Summary!H$30))*(DAY(Tracker!$E$2:$E$5000)=DAY(Summary!H$30))*((Tracker!$K$2:$K$5000)=("HI" &amp; LEFT($N$30,4) &amp; "-" &amp; $E38))*(Tracker!$J$2:$J$5000))=0,"",SUMPRODUCT((YEAR(Tracker!$E$2:$E$5000)=YEAR(Summary!H$30))*(MONTH(Tracker!$E$2:$E$5000)=MONTH(Summary!H$30))*(DAY(Tracker!$E$2:$E$5000)=DAY(Summary!H$30))*((Tracker!$K$2:$K$5000)=("HI" &amp; LEFT($N$30,4) &amp; "-" &amp; $E38))*(Tracker!$J$2:$J$5000)))</f>
        <v/>
      </c>
      <c r="I38" s="26" t="str" cm="1">
        <f t="array" ref="I38">IF(SUMPRODUCT((YEAR(Tracker!$E$2:$E$5000)=YEAR(Summary!I$30))*(MONTH(Tracker!$E$2:$E$5000)=MONTH(Summary!I$30))*(DAY(Tracker!$E$2:$E$5000)=DAY(Summary!I$30))*((Tracker!$K$2:$K$5000)=("HI" &amp; LEFT($N$30,4) &amp; "-" &amp; $E38))*(Tracker!$J$2:$J$5000))=0,"",SUMPRODUCT((YEAR(Tracker!$E$2:$E$5000)=YEAR(Summary!I$30))*(MONTH(Tracker!$E$2:$E$5000)=MONTH(Summary!I$30))*(DAY(Tracker!$E$2:$E$5000)=DAY(Summary!I$30))*((Tracker!$K$2:$K$5000)=("HI" &amp; LEFT($N$30,4) &amp; "-" &amp; $E38))*(Tracker!$J$2:$J$5000)))</f>
        <v/>
      </c>
      <c r="J38" s="26" t="str" cm="1">
        <f t="array" ref="J38">IF(SUMPRODUCT((YEAR(Tracker!$E$2:$E$5000)=YEAR(Summary!J$30))*(MONTH(Tracker!$E$2:$E$5000)=MONTH(Summary!J$30))*(DAY(Tracker!$E$2:$E$5000)=DAY(Summary!J$30))*((Tracker!$K$2:$K$5000)=("HI" &amp; LEFT($N$30,4) &amp; "-" &amp; $E38))*(Tracker!$J$2:$J$5000))=0,"",SUMPRODUCT((YEAR(Tracker!$E$2:$E$5000)=YEAR(Summary!J$30))*(MONTH(Tracker!$E$2:$E$5000)=MONTH(Summary!J$30))*(DAY(Tracker!$E$2:$E$5000)=DAY(Summary!J$30))*((Tracker!$K$2:$K$5000)=("HI" &amp; LEFT($N$30,4) &amp; "-" &amp; $E38))*(Tracker!$J$2:$J$5000)))</f>
        <v/>
      </c>
      <c r="K38" s="26" t="str" cm="1">
        <f t="array" ref="K38">IF(SUMPRODUCT((YEAR(Tracker!$E$2:$E$5000)=YEAR(Summary!K$30))*(MONTH(Tracker!$E$2:$E$5000)=MONTH(Summary!K$30))*(DAY(Tracker!$E$2:$E$5000)=DAY(Summary!K$30))*((Tracker!$K$2:$K$5000)=("HI" &amp; LEFT($N$30,4) &amp; "-" &amp; $E38))*(Tracker!$J$2:$J$5000))=0,"",SUMPRODUCT((YEAR(Tracker!$E$2:$E$5000)=YEAR(Summary!K$30))*(MONTH(Tracker!$E$2:$E$5000)=MONTH(Summary!K$30))*(DAY(Tracker!$E$2:$E$5000)=DAY(Summary!K$30))*((Tracker!$K$2:$K$5000)=("HI" &amp; LEFT($N$30,4) &amp; "-" &amp; $E38))*(Tracker!$J$2:$J$5000)))</f>
        <v/>
      </c>
      <c r="L38" s="26" t="str" cm="1">
        <f t="array" ref="L38">IF(SUMPRODUCT((YEAR(Tracker!$E$2:$E$5000)=YEAR(Summary!L$30))*(MONTH(Tracker!$E$2:$E$5000)=MONTH(Summary!L$30))*(DAY(Tracker!$E$2:$E$5000)=DAY(Summary!L$30))*((Tracker!$K$2:$K$5000)=("HI" &amp; LEFT($N$30,4) &amp; "-" &amp; $E38))*(Tracker!$J$2:$J$5000))=0,"",SUMPRODUCT((YEAR(Tracker!$E$2:$E$5000)=YEAR(Summary!L$30))*(MONTH(Tracker!$E$2:$E$5000)=MONTH(Summary!L$30))*(DAY(Tracker!$E$2:$E$5000)=DAY(Summary!L$30))*((Tracker!$K$2:$K$5000)=("HI" &amp; LEFT($N$30,4) &amp; "-" &amp; $E38))*(Tracker!$J$2:$J$5000)))</f>
        <v/>
      </c>
      <c r="M38" s="12"/>
      <c r="N38" s="12"/>
    </row>
    <row r="39" spans="5:15" hidden="1" x14ac:dyDescent="0.35">
      <c r="E39" s="27" t="str">
        <f>'Charge Codes'!A10</f>
        <v>EN-C3-ME-LO</v>
      </c>
      <c r="F39" s="26" t="str" cm="1">
        <f t="array" ref="F39">IF(SUMPRODUCT((YEAR(Tracker!$E$2:$E$5000)=YEAR(Summary!F$30))*(MONTH(Tracker!$E$2:$E$5000)=MONTH(Summary!F$30))*(DAY(Tracker!$E$2:$E$5000)=DAY(Summary!F$30))*((Tracker!$K$2:$K$5000)=("HI" &amp; LEFT($N$30,4) &amp; "-" &amp; $E39))*(Tracker!$J$2:$J$5000))=0,"",SUMPRODUCT((YEAR(Tracker!$E$2:$E$5000)=YEAR(Summary!F$30))*(MONTH(Tracker!$E$2:$E$5000)=MONTH(Summary!F$30))*(DAY(Tracker!$E$2:$E$5000)=DAY(Summary!F$30))*((Tracker!$K$2:$K$5000)=("HI" &amp; LEFT($N$30,4) &amp; "-" &amp; $E39))*(Tracker!$J$2:$J$5000)))</f>
        <v/>
      </c>
      <c r="G39" s="26" t="str" cm="1">
        <f t="array" ref="G39">IF(SUMPRODUCT((YEAR(Tracker!$E$2:$E$5000)=YEAR(Summary!G$30))*(MONTH(Tracker!$E$2:$E$5000)=MONTH(Summary!G$30))*(DAY(Tracker!$E$2:$E$5000)=DAY(Summary!G$30))*((Tracker!$K$2:$K$5000)=("HI" &amp; LEFT($N$30,4) &amp; "-" &amp; $E39))*(Tracker!$J$2:$J$5000))=0,"",SUMPRODUCT((YEAR(Tracker!$E$2:$E$5000)=YEAR(Summary!G$30))*(MONTH(Tracker!$E$2:$E$5000)=MONTH(Summary!G$30))*(DAY(Tracker!$E$2:$E$5000)=DAY(Summary!G$30))*((Tracker!$K$2:$K$5000)=("HI" &amp; LEFT($N$30,4) &amp; "-" &amp; $E39))*(Tracker!$J$2:$J$5000)))</f>
        <v/>
      </c>
      <c r="H39" s="26" t="str" cm="1">
        <f t="array" ref="H39">IF(SUMPRODUCT((YEAR(Tracker!$E$2:$E$5000)=YEAR(Summary!H$30))*(MONTH(Tracker!$E$2:$E$5000)=MONTH(Summary!H$30))*(DAY(Tracker!$E$2:$E$5000)=DAY(Summary!H$30))*((Tracker!$K$2:$K$5000)=("HI" &amp; LEFT($N$30,4) &amp; "-" &amp; $E39))*(Tracker!$J$2:$J$5000))=0,"",SUMPRODUCT((YEAR(Tracker!$E$2:$E$5000)=YEAR(Summary!H$30))*(MONTH(Tracker!$E$2:$E$5000)=MONTH(Summary!H$30))*(DAY(Tracker!$E$2:$E$5000)=DAY(Summary!H$30))*((Tracker!$K$2:$K$5000)=("HI" &amp; LEFT($N$30,4) &amp; "-" &amp; $E39))*(Tracker!$J$2:$J$5000)))</f>
        <v/>
      </c>
      <c r="I39" s="26" t="str" cm="1">
        <f t="array" ref="I39">IF(SUMPRODUCT((YEAR(Tracker!$E$2:$E$5000)=YEAR(Summary!I$30))*(MONTH(Tracker!$E$2:$E$5000)=MONTH(Summary!I$30))*(DAY(Tracker!$E$2:$E$5000)=DAY(Summary!I$30))*((Tracker!$K$2:$K$5000)=("HI" &amp; LEFT($N$30,4) &amp; "-" &amp; $E39))*(Tracker!$J$2:$J$5000))=0,"",SUMPRODUCT((YEAR(Tracker!$E$2:$E$5000)=YEAR(Summary!I$30))*(MONTH(Tracker!$E$2:$E$5000)=MONTH(Summary!I$30))*(DAY(Tracker!$E$2:$E$5000)=DAY(Summary!I$30))*((Tracker!$K$2:$K$5000)=("HI" &amp; LEFT($N$30,4) &amp; "-" &amp; $E39))*(Tracker!$J$2:$J$5000)))</f>
        <v/>
      </c>
      <c r="J39" s="26" t="str" cm="1">
        <f t="array" ref="J39">IF(SUMPRODUCT((YEAR(Tracker!$E$2:$E$5000)=YEAR(Summary!J$30))*(MONTH(Tracker!$E$2:$E$5000)=MONTH(Summary!J$30))*(DAY(Tracker!$E$2:$E$5000)=DAY(Summary!J$30))*((Tracker!$K$2:$K$5000)=("HI" &amp; LEFT($N$30,4) &amp; "-" &amp; $E39))*(Tracker!$J$2:$J$5000))=0,"",SUMPRODUCT((YEAR(Tracker!$E$2:$E$5000)=YEAR(Summary!J$30))*(MONTH(Tracker!$E$2:$E$5000)=MONTH(Summary!J$30))*(DAY(Tracker!$E$2:$E$5000)=DAY(Summary!J$30))*((Tracker!$K$2:$K$5000)=("HI" &amp; LEFT($N$30,4) &amp; "-" &amp; $E39))*(Tracker!$J$2:$J$5000)))</f>
        <v/>
      </c>
      <c r="K39" s="26" t="str" cm="1">
        <f t="array" ref="K39">IF(SUMPRODUCT((YEAR(Tracker!$E$2:$E$5000)=YEAR(Summary!K$30))*(MONTH(Tracker!$E$2:$E$5000)=MONTH(Summary!K$30))*(DAY(Tracker!$E$2:$E$5000)=DAY(Summary!K$30))*((Tracker!$K$2:$K$5000)=("HI" &amp; LEFT($N$30,4) &amp; "-" &amp; $E39))*(Tracker!$J$2:$J$5000))=0,"",SUMPRODUCT((YEAR(Tracker!$E$2:$E$5000)=YEAR(Summary!K$30))*(MONTH(Tracker!$E$2:$E$5000)=MONTH(Summary!K$30))*(DAY(Tracker!$E$2:$E$5000)=DAY(Summary!K$30))*((Tracker!$K$2:$K$5000)=("HI" &amp; LEFT($N$30,4) &amp; "-" &amp; $E39))*(Tracker!$J$2:$J$5000)))</f>
        <v/>
      </c>
      <c r="L39" s="26" t="str" cm="1">
        <f t="array" ref="L39">IF(SUMPRODUCT((YEAR(Tracker!$E$2:$E$5000)=YEAR(Summary!L$30))*(MONTH(Tracker!$E$2:$E$5000)=MONTH(Summary!L$30))*(DAY(Tracker!$E$2:$E$5000)=DAY(Summary!L$30))*((Tracker!$K$2:$K$5000)=("HI" &amp; LEFT($N$30,4) &amp; "-" &amp; $E39))*(Tracker!$J$2:$J$5000))=0,"",SUMPRODUCT((YEAR(Tracker!$E$2:$E$5000)=YEAR(Summary!L$30))*(MONTH(Tracker!$E$2:$E$5000)=MONTH(Summary!L$30))*(DAY(Tracker!$E$2:$E$5000)=DAY(Summary!L$30))*((Tracker!$K$2:$K$5000)=("HI" &amp; LEFT($N$30,4) &amp; "-" &amp; $E39))*(Tracker!$J$2:$J$5000)))</f>
        <v/>
      </c>
      <c r="M39" s="12"/>
      <c r="N39" s="12"/>
    </row>
    <row r="40" spans="5:15" hidden="1" x14ac:dyDescent="0.35">
      <c r="E40" s="27" t="str">
        <f>'Charge Codes'!A11</f>
        <v>EN-C3-ME-MI</v>
      </c>
      <c r="F40" s="26" t="str" cm="1">
        <f t="array" ref="F40">IF(SUMPRODUCT((YEAR(Tracker!$E$2:$E$5000)=YEAR(Summary!F$30))*(MONTH(Tracker!$E$2:$E$5000)=MONTH(Summary!F$30))*(DAY(Tracker!$E$2:$E$5000)=DAY(Summary!F$30))*((Tracker!$K$2:$K$5000)=("HI" &amp; LEFT($N$30,4) &amp; "-" &amp; $E40))*(Tracker!$J$2:$J$5000))=0,"",SUMPRODUCT((YEAR(Tracker!$E$2:$E$5000)=YEAR(Summary!F$30))*(MONTH(Tracker!$E$2:$E$5000)=MONTH(Summary!F$30))*(DAY(Tracker!$E$2:$E$5000)=DAY(Summary!F$30))*((Tracker!$K$2:$K$5000)=("HI" &amp; LEFT($N$30,4) &amp; "-" &amp; $E40))*(Tracker!$J$2:$J$5000)))</f>
        <v/>
      </c>
      <c r="G40" s="26" t="str" cm="1">
        <f t="array" ref="G40">IF(SUMPRODUCT((YEAR(Tracker!$E$2:$E$5000)=YEAR(Summary!G$30))*(MONTH(Tracker!$E$2:$E$5000)=MONTH(Summary!G$30))*(DAY(Tracker!$E$2:$E$5000)=DAY(Summary!G$30))*((Tracker!$K$2:$K$5000)=("HI" &amp; LEFT($N$30,4) &amp; "-" &amp; $E40))*(Tracker!$J$2:$J$5000))=0,"",SUMPRODUCT((YEAR(Tracker!$E$2:$E$5000)=YEAR(Summary!G$30))*(MONTH(Tracker!$E$2:$E$5000)=MONTH(Summary!G$30))*(DAY(Tracker!$E$2:$E$5000)=DAY(Summary!G$30))*((Tracker!$K$2:$K$5000)=("HI" &amp; LEFT($N$30,4) &amp; "-" &amp; $E40))*(Tracker!$J$2:$J$5000)))</f>
        <v/>
      </c>
      <c r="H40" s="26" t="str" cm="1">
        <f t="array" ref="H40">IF(SUMPRODUCT((YEAR(Tracker!$E$2:$E$5000)=YEAR(Summary!H$30))*(MONTH(Tracker!$E$2:$E$5000)=MONTH(Summary!H$30))*(DAY(Tracker!$E$2:$E$5000)=DAY(Summary!H$30))*((Tracker!$K$2:$K$5000)=("HI" &amp; LEFT($N$30,4) &amp; "-" &amp; $E40))*(Tracker!$J$2:$J$5000))=0,"",SUMPRODUCT((YEAR(Tracker!$E$2:$E$5000)=YEAR(Summary!H$30))*(MONTH(Tracker!$E$2:$E$5000)=MONTH(Summary!H$30))*(DAY(Tracker!$E$2:$E$5000)=DAY(Summary!H$30))*((Tracker!$K$2:$K$5000)=("HI" &amp; LEFT($N$30,4) &amp; "-" &amp; $E40))*(Tracker!$J$2:$J$5000)))</f>
        <v/>
      </c>
      <c r="I40" s="26" t="str" cm="1">
        <f t="array" ref="I40">IF(SUMPRODUCT((YEAR(Tracker!$E$2:$E$5000)=YEAR(Summary!I$30))*(MONTH(Tracker!$E$2:$E$5000)=MONTH(Summary!I$30))*(DAY(Tracker!$E$2:$E$5000)=DAY(Summary!I$30))*((Tracker!$K$2:$K$5000)=("HI" &amp; LEFT($N$30,4) &amp; "-" &amp; $E40))*(Tracker!$J$2:$J$5000))=0,"",SUMPRODUCT((YEAR(Tracker!$E$2:$E$5000)=YEAR(Summary!I$30))*(MONTH(Tracker!$E$2:$E$5000)=MONTH(Summary!I$30))*(DAY(Tracker!$E$2:$E$5000)=DAY(Summary!I$30))*((Tracker!$K$2:$K$5000)=("HI" &amp; LEFT($N$30,4) &amp; "-" &amp; $E40))*(Tracker!$J$2:$J$5000)))</f>
        <v/>
      </c>
      <c r="J40" s="26" t="str" cm="1">
        <f t="array" ref="J40">IF(SUMPRODUCT((YEAR(Tracker!$E$2:$E$5000)=YEAR(Summary!J$30))*(MONTH(Tracker!$E$2:$E$5000)=MONTH(Summary!J$30))*(DAY(Tracker!$E$2:$E$5000)=DAY(Summary!J$30))*((Tracker!$K$2:$K$5000)=("HI" &amp; LEFT($N$30,4) &amp; "-" &amp; $E40))*(Tracker!$J$2:$J$5000))=0,"",SUMPRODUCT((YEAR(Tracker!$E$2:$E$5000)=YEAR(Summary!J$30))*(MONTH(Tracker!$E$2:$E$5000)=MONTH(Summary!J$30))*(DAY(Tracker!$E$2:$E$5000)=DAY(Summary!J$30))*((Tracker!$K$2:$K$5000)=("HI" &amp; LEFT($N$30,4) &amp; "-" &amp; $E40))*(Tracker!$J$2:$J$5000)))</f>
        <v/>
      </c>
      <c r="K40" s="26" t="str" cm="1">
        <f t="array" ref="K40">IF(SUMPRODUCT((YEAR(Tracker!$E$2:$E$5000)=YEAR(Summary!K$30))*(MONTH(Tracker!$E$2:$E$5000)=MONTH(Summary!K$30))*(DAY(Tracker!$E$2:$E$5000)=DAY(Summary!K$30))*((Tracker!$K$2:$K$5000)=("HI" &amp; LEFT($N$30,4) &amp; "-" &amp; $E40))*(Tracker!$J$2:$J$5000))=0,"",SUMPRODUCT((YEAR(Tracker!$E$2:$E$5000)=YEAR(Summary!K$30))*(MONTH(Tracker!$E$2:$E$5000)=MONTH(Summary!K$30))*(DAY(Tracker!$E$2:$E$5000)=DAY(Summary!K$30))*((Tracker!$K$2:$K$5000)=("HI" &amp; LEFT($N$30,4) &amp; "-" &amp; $E40))*(Tracker!$J$2:$J$5000)))</f>
        <v/>
      </c>
      <c r="L40" s="26" t="str" cm="1">
        <f t="array" ref="L40">IF(SUMPRODUCT((YEAR(Tracker!$E$2:$E$5000)=YEAR(Summary!L$30))*(MONTH(Tracker!$E$2:$E$5000)=MONTH(Summary!L$30))*(DAY(Tracker!$E$2:$E$5000)=DAY(Summary!L$30))*((Tracker!$K$2:$K$5000)=("HI" &amp; LEFT($N$30,4) &amp; "-" &amp; $E40))*(Tracker!$J$2:$J$5000))=0,"",SUMPRODUCT((YEAR(Tracker!$E$2:$E$5000)=YEAR(Summary!L$30))*(MONTH(Tracker!$E$2:$E$5000)=MONTH(Summary!L$30))*(DAY(Tracker!$E$2:$E$5000)=DAY(Summary!L$30))*((Tracker!$K$2:$K$5000)=("HI" &amp; LEFT($N$30,4) &amp; "-" &amp; $E40))*(Tracker!$J$2:$J$5000)))</f>
        <v/>
      </c>
      <c r="M40" s="12"/>
      <c r="N40" s="12"/>
    </row>
    <row r="41" spans="5:15" hidden="1" x14ac:dyDescent="0.35">
      <c r="E41" s="27" t="str">
        <f>'Charge Codes'!A12</f>
        <v>EN-C3-ME-UB</v>
      </c>
      <c r="F41" s="26" t="str" cm="1">
        <f t="array" ref="F41">IF(SUMPRODUCT((YEAR(Tracker!$E$2:$E$5000)=YEAR(Summary!F$30))*(MONTH(Tracker!$E$2:$E$5000)=MONTH(Summary!F$30))*(DAY(Tracker!$E$2:$E$5000)=DAY(Summary!F$30))*((Tracker!$K$2:$K$5000)=("HI" &amp; LEFT($N$30,4) &amp; "-" &amp; $E41))*(Tracker!$J$2:$J$5000))=0,"",SUMPRODUCT((YEAR(Tracker!$E$2:$E$5000)=YEAR(Summary!F$30))*(MONTH(Tracker!$E$2:$E$5000)=MONTH(Summary!F$30))*(DAY(Tracker!$E$2:$E$5000)=DAY(Summary!F$30))*((Tracker!$K$2:$K$5000)=("HI" &amp; LEFT($N$30,4) &amp; "-" &amp; $E41))*(Tracker!$J$2:$J$5000)))</f>
        <v/>
      </c>
      <c r="G41" s="26" t="str" cm="1">
        <f t="array" ref="G41">IF(SUMPRODUCT((YEAR(Tracker!$E$2:$E$5000)=YEAR(Summary!G$30))*(MONTH(Tracker!$E$2:$E$5000)=MONTH(Summary!G$30))*(DAY(Tracker!$E$2:$E$5000)=DAY(Summary!G$30))*((Tracker!$K$2:$K$5000)=("HI" &amp; LEFT($N$30,4) &amp; "-" &amp; $E41))*(Tracker!$J$2:$J$5000))=0,"",SUMPRODUCT((YEAR(Tracker!$E$2:$E$5000)=YEAR(Summary!G$30))*(MONTH(Tracker!$E$2:$E$5000)=MONTH(Summary!G$30))*(DAY(Tracker!$E$2:$E$5000)=DAY(Summary!G$30))*((Tracker!$K$2:$K$5000)=("HI" &amp; LEFT($N$30,4) &amp; "-" &amp; $E41))*(Tracker!$J$2:$J$5000)))</f>
        <v/>
      </c>
      <c r="H41" s="26" t="str" cm="1">
        <f t="array" ref="H41">IF(SUMPRODUCT((YEAR(Tracker!$E$2:$E$5000)=YEAR(Summary!H$30))*(MONTH(Tracker!$E$2:$E$5000)=MONTH(Summary!H$30))*(DAY(Tracker!$E$2:$E$5000)=DAY(Summary!H$30))*((Tracker!$K$2:$K$5000)=("HI" &amp; LEFT($N$30,4) &amp; "-" &amp; $E41))*(Tracker!$J$2:$J$5000))=0,"",SUMPRODUCT((YEAR(Tracker!$E$2:$E$5000)=YEAR(Summary!H$30))*(MONTH(Tracker!$E$2:$E$5000)=MONTH(Summary!H$30))*(DAY(Tracker!$E$2:$E$5000)=DAY(Summary!H$30))*((Tracker!$K$2:$K$5000)=("HI" &amp; LEFT($N$30,4) &amp; "-" &amp; $E41))*(Tracker!$J$2:$J$5000)))</f>
        <v/>
      </c>
      <c r="I41" s="26" t="str" cm="1">
        <f t="array" ref="I41">IF(SUMPRODUCT((YEAR(Tracker!$E$2:$E$5000)=YEAR(Summary!I$30))*(MONTH(Tracker!$E$2:$E$5000)=MONTH(Summary!I$30))*(DAY(Tracker!$E$2:$E$5000)=DAY(Summary!I$30))*((Tracker!$K$2:$K$5000)=("HI" &amp; LEFT($N$30,4) &amp; "-" &amp; $E41))*(Tracker!$J$2:$J$5000))=0,"",SUMPRODUCT((YEAR(Tracker!$E$2:$E$5000)=YEAR(Summary!I$30))*(MONTH(Tracker!$E$2:$E$5000)=MONTH(Summary!I$30))*(DAY(Tracker!$E$2:$E$5000)=DAY(Summary!I$30))*((Tracker!$K$2:$K$5000)=("HI" &amp; LEFT($N$30,4) &amp; "-" &amp; $E41))*(Tracker!$J$2:$J$5000)))</f>
        <v/>
      </c>
      <c r="J41" s="26" t="str" cm="1">
        <f t="array" ref="J41">IF(SUMPRODUCT((YEAR(Tracker!$E$2:$E$5000)=YEAR(Summary!J$30))*(MONTH(Tracker!$E$2:$E$5000)=MONTH(Summary!J$30))*(DAY(Tracker!$E$2:$E$5000)=DAY(Summary!J$30))*((Tracker!$K$2:$K$5000)=("HI" &amp; LEFT($N$30,4) &amp; "-" &amp; $E41))*(Tracker!$J$2:$J$5000))=0,"",SUMPRODUCT((YEAR(Tracker!$E$2:$E$5000)=YEAR(Summary!J$30))*(MONTH(Tracker!$E$2:$E$5000)=MONTH(Summary!J$30))*(DAY(Tracker!$E$2:$E$5000)=DAY(Summary!J$30))*((Tracker!$K$2:$K$5000)=("HI" &amp; LEFT($N$30,4) &amp; "-" &amp; $E41))*(Tracker!$J$2:$J$5000)))</f>
        <v/>
      </c>
      <c r="K41" s="26" t="str" cm="1">
        <f t="array" ref="K41">IF(SUMPRODUCT((YEAR(Tracker!$E$2:$E$5000)=YEAR(Summary!K$30))*(MONTH(Tracker!$E$2:$E$5000)=MONTH(Summary!K$30))*(DAY(Tracker!$E$2:$E$5000)=DAY(Summary!K$30))*((Tracker!$K$2:$K$5000)=("HI" &amp; LEFT($N$30,4) &amp; "-" &amp; $E41))*(Tracker!$J$2:$J$5000))=0,"",SUMPRODUCT((YEAR(Tracker!$E$2:$E$5000)=YEAR(Summary!K$30))*(MONTH(Tracker!$E$2:$E$5000)=MONTH(Summary!K$30))*(DAY(Tracker!$E$2:$E$5000)=DAY(Summary!K$30))*((Tracker!$K$2:$K$5000)=("HI" &amp; LEFT($N$30,4) &amp; "-" &amp; $E41))*(Tracker!$J$2:$J$5000)))</f>
        <v/>
      </c>
      <c r="L41" s="26" t="str" cm="1">
        <f t="array" ref="L41">IF(SUMPRODUCT((YEAR(Tracker!$E$2:$E$5000)=YEAR(Summary!L$30))*(MONTH(Tracker!$E$2:$E$5000)=MONTH(Summary!L$30))*(DAY(Tracker!$E$2:$E$5000)=DAY(Summary!L$30))*((Tracker!$K$2:$K$5000)=("HI" &amp; LEFT($N$30,4) &amp; "-" &amp; $E41))*(Tracker!$J$2:$J$5000))=0,"",SUMPRODUCT((YEAR(Tracker!$E$2:$E$5000)=YEAR(Summary!L$30))*(MONTH(Tracker!$E$2:$E$5000)=MONTH(Summary!L$30))*(DAY(Tracker!$E$2:$E$5000)=DAY(Summary!L$30))*((Tracker!$K$2:$K$5000)=("HI" &amp; LEFT($N$30,4) &amp; "-" &amp; $E41))*(Tracker!$J$2:$J$5000)))</f>
        <v/>
      </c>
      <c r="M41" s="12"/>
      <c r="N41" s="12"/>
    </row>
    <row r="42" spans="5:15" hidden="1" x14ac:dyDescent="0.35">
      <c r="E42" s="27" t="str">
        <f>'Charge Codes'!A13</f>
        <v>EN-C3-PE-PE</v>
      </c>
      <c r="F42" s="26" t="str" cm="1">
        <f t="array" ref="F42">IF(SUMPRODUCT((YEAR(Tracker!$E$2:$E$5000)=YEAR(Summary!F$30))*(MONTH(Tracker!$E$2:$E$5000)=MONTH(Summary!F$30))*(DAY(Tracker!$E$2:$E$5000)=DAY(Summary!F$30))*((Tracker!$K$2:$K$5000)=("HI" &amp; LEFT($N$30,4) &amp; "-" &amp; $E42))*(Tracker!$J$2:$J$5000))=0,"",SUMPRODUCT((YEAR(Tracker!$E$2:$E$5000)=YEAR(Summary!F$30))*(MONTH(Tracker!$E$2:$E$5000)=MONTH(Summary!F$30))*(DAY(Tracker!$E$2:$E$5000)=DAY(Summary!F$30))*((Tracker!$K$2:$K$5000)=("HI" &amp; LEFT($N$30,4) &amp; "-" &amp; $E42))*(Tracker!$J$2:$J$5000)))</f>
        <v/>
      </c>
      <c r="G42" s="26" t="str" cm="1">
        <f t="array" ref="G42">IF(SUMPRODUCT((YEAR(Tracker!$E$2:$E$5000)=YEAR(Summary!G$30))*(MONTH(Tracker!$E$2:$E$5000)=MONTH(Summary!G$30))*(DAY(Tracker!$E$2:$E$5000)=DAY(Summary!G$30))*((Tracker!$K$2:$K$5000)=("HI" &amp; LEFT($N$30,4) &amp; "-" &amp; $E42))*(Tracker!$J$2:$J$5000))=0,"",SUMPRODUCT((YEAR(Tracker!$E$2:$E$5000)=YEAR(Summary!G$30))*(MONTH(Tracker!$E$2:$E$5000)=MONTH(Summary!G$30))*(DAY(Tracker!$E$2:$E$5000)=DAY(Summary!G$30))*((Tracker!$K$2:$K$5000)=("HI" &amp; LEFT($N$30,4) &amp; "-" &amp; $E42))*(Tracker!$J$2:$J$5000)))</f>
        <v/>
      </c>
      <c r="H42" s="26" t="str" cm="1">
        <f t="array" ref="H42">IF(SUMPRODUCT((YEAR(Tracker!$E$2:$E$5000)=YEAR(Summary!H$30))*(MONTH(Tracker!$E$2:$E$5000)=MONTH(Summary!H$30))*(DAY(Tracker!$E$2:$E$5000)=DAY(Summary!H$30))*((Tracker!$K$2:$K$5000)=("HI" &amp; LEFT($N$30,4) &amp; "-" &amp; $E42))*(Tracker!$J$2:$J$5000))=0,"",SUMPRODUCT((YEAR(Tracker!$E$2:$E$5000)=YEAR(Summary!H$30))*(MONTH(Tracker!$E$2:$E$5000)=MONTH(Summary!H$30))*(DAY(Tracker!$E$2:$E$5000)=DAY(Summary!H$30))*((Tracker!$K$2:$K$5000)=("HI" &amp; LEFT($N$30,4) &amp; "-" &amp; $E42))*(Tracker!$J$2:$J$5000)))</f>
        <v/>
      </c>
      <c r="I42" s="26" t="str" cm="1">
        <f t="array" ref="I42">IF(SUMPRODUCT((YEAR(Tracker!$E$2:$E$5000)=YEAR(Summary!I$30))*(MONTH(Tracker!$E$2:$E$5000)=MONTH(Summary!I$30))*(DAY(Tracker!$E$2:$E$5000)=DAY(Summary!I$30))*((Tracker!$K$2:$K$5000)=("HI" &amp; LEFT($N$30,4) &amp; "-" &amp; $E42))*(Tracker!$J$2:$J$5000))=0,"",SUMPRODUCT((YEAR(Tracker!$E$2:$E$5000)=YEAR(Summary!I$30))*(MONTH(Tracker!$E$2:$E$5000)=MONTH(Summary!I$30))*(DAY(Tracker!$E$2:$E$5000)=DAY(Summary!I$30))*((Tracker!$K$2:$K$5000)=("HI" &amp; LEFT($N$30,4) &amp; "-" &amp; $E42))*(Tracker!$J$2:$J$5000)))</f>
        <v/>
      </c>
      <c r="J42" s="26" t="str" cm="1">
        <f t="array" ref="J42">IF(SUMPRODUCT((YEAR(Tracker!$E$2:$E$5000)=YEAR(Summary!J$30))*(MONTH(Tracker!$E$2:$E$5000)=MONTH(Summary!J$30))*(DAY(Tracker!$E$2:$E$5000)=DAY(Summary!J$30))*((Tracker!$K$2:$K$5000)=("HI" &amp; LEFT($N$30,4) &amp; "-" &amp; $E42))*(Tracker!$J$2:$J$5000))=0,"",SUMPRODUCT((YEAR(Tracker!$E$2:$E$5000)=YEAR(Summary!J$30))*(MONTH(Tracker!$E$2:$E$5000)=MONTH(Summary!J$30))*(DAY(Tracker!$E$2:$E$5000)=DAY(Summary!J$30))*((Tracker!$K$2:$K$5000)=("HI" &amp; LEFT($N$30,4) &amp; "-" &amp; $E42))*(Tracker!$J$2:$J$5000)))</f>
        <v/>
      </c>
      <c r="K42" s="26" t="str" cm="1">
        <f t="array" ref="K42">IF(SUMPRODUCT((YEAR(Tracker!$E$2:$E$5000)=YEAR(Summary!K$30))*(MONTH(Tracker!$E$2:$E$5000)=MONTH(Summary!K$30))*(DAY(Tracker!$E$2:$E$5000)=DAY(Summary!K$30))*((Tracker!$K$2:$K$5000)=("HI" &amp; LEFT($N$30,4) &amp; "-" &amp; $E42))*(Tracker!$J$2:$J$5000))=0,"",SUMPRODUCT((YEAR(Tracker!$E$2:$E$5000)=YEAR(Summary!K$30))*(MONTH(Tracker!$E$2:$E$5000)=MONTH(Summary!K$30))*(DAY(Tracker!$E$2:$E$5000)=DAY(Summary!K$30))*((Tracker!$K$2:$K$5000)=("HI" &amp; LEFT($N$30,4) &amp; "-" &amp; $E42))*(Tracker!$J$2:$J$5000)))</f>
        <v/>
      </c>
      <c r="L42" s="26" t="str" cm="1">
        <f t="array" ref="L42">IF(SUMPRODUCT((YEAR(Tracker!$E$2:$E$5000)=YEAR(Summary!L$30))*(MONTH(Tracker!$E$2:$E$5000)=MONTH(Summary!L$30))*(DAY(Tracker!$E$2:$E$5000)=DAY(Summary!L$30))*((Tracker!$K$2:$K$5000)=("HI" &amp; LEFT($N$30,4) &amp; "-" &amp; $E42))*(Tracker!$J$2:$J$5000))=0,"",SUMPRODUCT((YEAR(Tracker!$E$2:$E$5000)=YEAR(Summary!L$30))*(MONTH(Tracker!$E$2:$E$5000)=MONTH(Summary!L$30))*(DAY(Tracker!$E$2:$E$5000)=DAY(Summary!L$30))*((Tracker!$K$2:$K$5000)=("HI" &amp; LEFT($N$30,4) &amp; "-" &amp; $E42))*(Tracker!$J$2:$J$5000)))</f>
        <v/>
      </c>
      <c r="M42" s="12"/>
      <c r="N42" s="12"/>
    </row>
    <row r="43" spans="5:15" hidden="1" x14ac:dyDescent="0.35">
      <c r="E43" s="27" t="str">
        <f>'Charge Codes'!A14</f>
        <v>EN-ME-BOM</v>
      </c>
      <c r="F43" s="26" t="str" cm="1">
        <f t="array" ref="F43">IF(SUMPRODUCT((YEAR(Tracker!$E$2:$E$5000)=YEAR(Summary!F$30))*(MONTH(Tracker!$E$2:$E$5000)=MONTH(Summary!F$30))*(DAY(Tracker!$E$2:$E$5000)=DAY(Summary!F$30))*((Tracker!$K$2:$K$5000)=("HI" &amp; LEFT($N$30,4) &amp; "-" &amp; $E43))*(Tracker!$J$2:$J$5000))=0,"",SUMPRODUCT((YEAR(Tracker!$E$2:$E$5000)=YEAR(Summary!F$30))*(MONTH(Tracker!$E$2:$E$5000)=MONTH(Summary!F$30))*(DAY(Tracker!$E$2:$E$5000)=DAY(Summary!F$30))*((Tracker!$K$2:$K$5000)=("HI" &amp; LEFT($N$30,4) &amp; "-" &amp; $E43))*(Tracker!$J$2:$J$5000)))</f>
        <v/>
      </c>
      <c r="G43" s="26" t="str" cm="1">
        <f t="array" ref="G43">IF(SUMPRODUCT((YEAR(Tracker!$E$2:$E$5000)=YEAR(Summary!G$30))*(MONTH(Tracker!$E$2:$E$5000)=MONTH(Summary!G$30))*(DAY(Tracker!$E$2:$E$5000)=DAY(Summary!G$30))*((Tracker!$K$2:$K$5000)=("HI" &amp; LEFT($N$30,4) &amp; "-" &amp; $E43))*(Tracker!$J$2:$J$5000))=0,"",SUMPRODUCT((YEAR(Tracker!$E$2:$E$5000)=YEAR(Summary!G$30))*(MONTH(Tracker!$E$2:$E$5000)=MONTH(Summary!G$30))*(DAY(Tracker!$E$2:$E$5000)=DAY(Summary!G$30))*((Tracker!$K$2:$K$5000)=("HI" &amp; LEFT($N$30,4) &amp; "-" &amp; $E43))*(Tracker!$J$2:$J$5000)))</f>
        <v/>
      </c>
      <c r="H43" s="26" t="str" cm="1">
        <f t="array" ref="H43">IF(SUMPRODUCT((YEAR(Tracker!$E$2:$E$5000)=YEAR(Summary!H$30))*(MONTH(Tracker!$E$2:$E$5000)=MONTH(Summary!H$30))*(DAY(Tracker!$E$2:$E$5000)=DAY(Summary!H$30))*((Tracker!$K$2:$K$5000)=("HI" &amp; LEFT($N$30,4) &amp; "-" &amp; $E43))*(Tracker!$J$2:$J$5000))=0,"",SUMPRODUCT((YEAR(Tracker!$E$2:$E$5000)=YEAR(Summary!H$30))*(MONTH(Tracker!$E$2:$E$5000)=MONTH(Summary!H$30))*(DAY(Tracker!$E$2:$E$5000)=DAY(Summary!H$30))*((Tracker!$K$2:$K$5000)=("HI" &amp; LEFT($N$30,4) &amp; "-" &amp; $E43))*(Tracker!$J$2:$J$5000)))</f>
        <v/>
      </c>
      <c r="I43" s="26" t="str" cm="1">
        <f t="array" ref="I43">IF(SUMPRODUCT((YEAR(Tracker!$E$2:$E$5000)=YEAR(Summary!I$30))*(MONTH(Tracker!$E$2:$E$5000)=MONTH(Summary!I$30))*(DAY(Tracker!$E$2:$E$5000)=DAY(Summary!I$30))*((Tracker!$K$2:$K$5000)=("HI" &amp; LEFT($N$30,4) &amp; "-" &amp; $E43))*(Tracker!$J$2:$J$5000))=0,"",SUMPRODUCT((YEAR(Tracker!$E$2:$E$5000)=YEAR(Summary!I$30))*(MONTH(Tracker!$E$2:$E$5000)=MONTH(Summary!I$30))*(DAY(Tracker!$E$2:$E$5000)=DAY(Summary!I$30))*((Tracker!$K$2:$K$5000)=("HI" &amp; LEFT($N$30,4) &amp; "-" &amp; $E43))*(Tracker!$J$2:$J$5000)))</f>
        <v/>
      </c>
      <c r="J43" s="26" t="str" cm="1">
        <f t="array" ref="J43">IF(SUMPRODUCT((YEAR(Tracker!$E$2:$E$5000)=YEAR(Summary!J$30))*(MONTH(Tracker!$E$2:$E$5000)=MONTH(Summary!J$30))*(DAY(Tracker!$E$2:$E$5000)=DAY(Summary!J$30))*((Tracker!$K$2:$K$5000)=("HI" &amp; LEFT($N$30,4) &amp; "-" &amp; $E43))*(Tracker!$J$2:$J$5000))=0,"",SUMPRODUCT((YEAR(Tracker!$E$2:$E$5000)=YEAR(Summary!J$30))*(MONTH(Tracker!$E$2:$E$5000)=MONTH(Summary!J$30))*(DAY(Tracker!$E$2:$E$5000)=DAY(Summary!J$30))*((Tracker!$K$2:$K$5000)=("HI" &amp; LEFT($N$30,4) &amp; "-" &amp; $E43))*(Tracker!$J$2:$J$5000)))</f>
        <v/>
      </c>
      <c r="K43" s="26" t="str" cm="1">
        <f t="array" ref="K43">IF(SUMPRODUCT((YEAR(Tracker!$E$2:$E$5000)=YEAR(Summary!K$30))*(MONTH(Tracker!$E$2:$E$5000)=MONTH(Summary!K$30))*(DAY(Tracker!$E$2:$E$5000)=DAY(Summary!K$30))*((Tracker!$K$2:$K$5000)=("HI" &amp; LEFT($N$30,4) &amp; "-" &amp; $E43))*(Tracker!$J$2:$J$5000))=0,"",SUMPRODUCT((YEAR(Tracker!$E$2:$E$5000)=YEAR(Summary!K$30))*(MONTH(Tracker!$E$2:$E$5000)=MONTH(Summary!K$30))*(DAY(Tracker!$E$2:$E$5000)=DAY(Summary!K$30))*((Tracker!$K$2:$K$5000)=("HI" &amp; LEFT($N$30,4) &amp; "-" &amp; $E43))*(Tracker!$J$2:$J$5000)))</f>
        <v/>
      </c>
      <c r="L43" s="26" t="str" cm="1">
        <f t="array" ref="L43">IF(SUMPRODUCT((YEAR(Tracker!$E$2:$E$5000)=YEAR(Summary!L$30))*(MONTH(Tracker!$E$2:$E$5000)=MONTH(Summary!L$30))*(DAY(Tracker!$E$2:$E$5000)=DAY(Summary!L$30))*((Tracker!$K$2:$K$5000)=("HI" &amp; LEFT($N$30,4) &amp; "-" &amp; $E43))*(Tracker!$J$2:$J$5000))=0,"",SUMPRODUCT((YEAR(Tracker!$E$2:$E$5000)=YEAR(Summary!L$30))*(MONTH(Tracker!$E$2:$E$5000)=MONTH(Summary!L$30))*(DAY(Tracker!$E$2:$E$5000)=DAY(Summary!L$30))*((Tracker!$K$2:$K$5000)=("HI" &amp; LEFT($N$30,4) &amp; "-" &amp; $E43))*(Tracker!$J$2:$J$5000)))</f>
        <v/>
      </c>
      <c r="M43" s="12"/>
      <c r="N43" s="12"/>
    </row>
    <row r="44" spans="5:15" hidden="1" x14ac:dyDescent="0.35">
      <c r="E44" s="27" t="str">
        <f>'Charge Codes'!A15</f>
        <v>EN-ME-BULK</v>
      </c>
      <c r="F44" s="26" t="str" cm="1">
        <f t="array" ref="F44">IF(SUMPRODUCT((YEAR(Tracker!$E$2:$E$5000)=YEAR(Summary!F$30))*(MONTH(Tracker!$E$2:$E$5000)=MONTH(Summary!F$30))*(DAY(Tracker!$E$2:$E$5000)=DAY(Summary!F$30))*((Tracker!$K$2:$K$5000)=("HI" &amp; LEFT($N$30,4) &amp; "-" &amp; $E44))*(Tracker!$J$2:$J$5000))=0,"",SUMPRODUCT((YEAR(Tracker!$E$2:$E$5000)=YEAR(Summary!F$30))*(MONTH(Tracker!$E$2:$E$5000)=MONTH(Summary!F$30))*(DAY(Tracker!$E$2:$E$5000)=DAY(Summary!F$30))*((Tracker!$K$2:$K$5000)=("HI" &amp; LEFT($N$30,4) &amp; "-" &amp; $E44))*(Tracker!$J$2:$J$5000)))</f>
        <v/>
      </c>
      <c r="G44" s="26" t="str" cm="1">
        <f t="array" ref="G44">IF(SUMPRODUCT((YEAR(Tracker!$E$2:$E$5000)=YEAR(Summary!G$30))*(MONTH(Tracker!$E$2:$E$5000)=MONTH(Summary!G$30))*(DAY(Tracker!$E$2:$E$5000)=DAY(Summary!G$30))*((Tracker!$K$2:$K$5000)=("HI" &amp; LEFT($N$30,4) &amp; "-" &amp; $E44))*(Tracker!$J$2:$J$5000))=0,"",SUMPRODUCT((YEAR(Tracker!$E$2:$E$5000)=YEAR(Summary!G$30))*(MONTH(Tracker!$E$2:$E$5000)=MONTH(Summary!G$30))*(DAY(Tracker!$E$2:$E$5000)=DAY(Summary!G$30))*((Tracker!$K$2:$K$5000)=("HI" &amp; LEFT($N$30,4) &amp; "-" &amp; $E44))*(Tracker!$J$2:$J$5000)))</f>
        <v/>
      </c>
      <c r="H44" s="26" t="str" cm="1">
        <f t="array" ref="H44">IF(SUMPRODUCT((YEAR(Tracker!$E$2:$E$5000)=YEAR(Summary!H$30))*(MONTH(Tracker!$E$2:$E$5000)=MONTH(Summary!H$30))*(DAY(Tracker!$E$2:$E$5000)=DAY(Summary!H$30))*((Tracker!$K$2:$K$5000)=("HI" &amp; LEFT($N$30,4) &amp; "-" &amp; $E44))*(Tracker!$J$2:$J$5000))=0,"",SUMPRODUCT((YEAR(Tracker!$E$2:$E$5000)=YEAR(Summary!H$30))*(MONTH(Tracker!$E$2:$E$5000)=MONTH(Summary!H$30))*(DAY(Tracker!$E$2:$E$5000)=DAY(Summary!H$30))*((Tracker!$K$2:$K$5000)=("HI" &amp; LEFT($N$30,4) &amp; "-" &amp; $E44))*(Tracker!$J$2:$J$5000)))</f>
        <v/>
      </c>
      <c r="I44" s="26" t="str" cm="1">
        <f t="array" ref="I44">IF(SUMPRODUCT((YEAR(Tracker!$E$2:$E$5000)=YEAR(Summary!I$30))*(MONTH(Tracker!$E$2:$E$5000)=MONTH(Summary!I$30))*(DAY(Tracker!$E$2:$E$5000)=DAY(Summary!I$30))*((Tracker!$K$2:$K$5000)=("HI" &amp; LEFT($N$30,4) &amp; "-" &amp; $E44))*(Tracker!$J$2:$J$5000))=0,"",SUMPRODUCT((YEAR(Tracker!$E$2:$E$5000)=YEAR(Summary!I$30))*(MONTH(Tracker!$E$2:$E$5000)=MONTH(Summary!I$30))*(DAY(Tracker!$E$2:$E$5000)=DAY(Summary!I$30))*((Tracker!$K$2:$K$5000)=("HI" &amp; LEFT($N$30,4) &amp; "-" &amp; $E44))*(Tracker!$J$2:$J$5000)))</f>
        <v/>
      </c>
      <c r="J44" s="26" t="str" cm="1">
        <f t="array" ref="J44">IF(SUMPRODUCT((YEAR(Tracker!$E$2:$E$5000)=YEAR(Summary!J$30))*(MONTH(Tracker!$E$2:$E$5000)=MONTH(Summary!J$30))*(DAY(Tracker!$E$2:$E$5000)=DAY(Summary!J$30))*((Tracker!$K$2:$K$5000)=("HI" &amp; LEFT($N$30,4) &amp; "-" &amp; $E44))*(Tracker!$J$2:$J$5000))=0,"",SUMPRODUCT((YEAR(Tracker!$E$2:$E$5000)=YEAR(Summary!J$30))*(MONTH(Tracker!$E$2:$E$5000)=MONTH(Summary!J$30))*(DAY(Tracker!$E$2:$E$5000)=DAY(Summary!J$30))*((Tracker!$K$2:$K$5000)=("HI" &amp; LEFT($N$30,4) &amp; "-" &amp; $E44))*(Tracker!$J$2:$J$5000)))</f>
        <v/>
      </c>
      <c r="K44" s="26" t="str" cm="1">
        <f t="array" ref="K44">IF(SUMPRODUCT((YEAR(Tracker!$E$2:$E$5000)=YEAR(Summary!K$30))*(MONTH(Tracker!$E$2:$E$5000)=MONTH(Summary!K$30))*(DAY(Tracker!$E$2:$E$5000)=DAY(Summary!K$30))*((Tracker!$K$2:$K$5000)=("HI" &amp; LEFT($N$30,4) &amp; "-" &amp; $E44))*(Tracker!$J$2:$J$5000))=0,"",SUMPRODUCT((YEAR(Tracker!$E$2:$E$5000)=YEAR(Summary!K$30))*(MONTH(Tracker!$E$2:$E$5000)=MONTH(Summary!K$30))*(DAY(Tracker!$E$2:$E$5000)=DAY(Summary!K$30))*((Tracker!$K$2:$K$5000)=("HI" &amp; LEFT($N$30,4) &amp; "-" &amp; $E44))*(Tracker!$J$2:$J$5000)))</f>
        <v/>
      </c>
      <c r="L44" s="26" t="str" cm="1">
        <f t="array" ref="L44">IF(SUMPRODUCT((YEAR(Tracker!$E$2:$E$5000)=YEAR(Summary!L$30))*(MONTH(Tracker!$E$2:$E$5000)=MONTH(Summary!L$30))*(DAY(Tracker!$E$2:$E$5000)=DAY(Summary!L$30))*((Tracker!$K$2:$K$5000)=("HI" &amp; LEFT($N$30,4) &amp; "-" &amp; $E44))*(Tracker!$J$2:$J$5000))=0,"",SUMPRODUCT((YEAR(Tracker!$E$2:$E$5000)=YEAR(Summary!L$30))*(MONTH(Tracker!$E$2:$E$5000)=MONTH(Summary!L$30))*(DAY(Tracker!$E$2:$E$5000)=DAY(Summary!L$30))*((Tracker!$K$2:$K$5000)=("HI" &amp; LEFT($N$30,4) &amp; "-" &amp; $E44))*(Tracker!$J$2:$J$5000)))</f>
        <v/>
      </c>
    </row>
    <row r="45" spans="5:15" hidden="1" x14ac:dyDescent="0.35">
      <c r="E45" s="27" t="str">
        <f>'Charge Codes'!A16</f>
        <v>EN-ME-CD</v>
      </c>
      <c r="F45" s="26" t="str" cm="1">
        <f t="array" ref="F45">IF(SUMPRODUCT((YEAR(Tracker!$E$2:$E$5000)=YEAR(Summary!F$30))*(MONTH(Tracker!$E$2:$E$5000)=MONTH(Summary!F$30))*(DAY(Tracker!$E$2:$E$5000)=DAY(Summary!F$30))*((Tracker!$K$2:$K$5000)=("HI" &amp; LEFT($N$30,4) &amp; "-" &amp; $E45))*(Tracker!$J$2:$J$5000))=0,"",SUMPRODUCT((YEAR(Tracker!$E$2:$E$5000)=YEAR(Summary!F$30))*(MONTH(Tracker!$E$2:$E$5000)=MONTH(Summary!F$30))*(DAY(Tracker!$E$2:$E$5000)=DAY(Summary!F$30))*((Tracker!$K$2:$K$5000)=("HI" &amp; LEFT($N$30,4) &amp; "-" &amp; $E45))*(Tracker!$J$2:$J$5000)))</f>
        <v/>
      </c>
      <c r="G45" s="26" t="str" cm="1">
        <f t="array" ref="G45">IF(SUMPRODUCT((YEAR(Tracker!$E$2:$E$5000)=YEAR(Summary!G$30))*(MONTH(Tracker!$E$2:$E$5000)=MONTH(Summary!G$30))*(DAY(Tracker!$E$2:$E$5000)=DAY(Summary!G$30))*((Tracker!$K$2:$K$5000)=("HI" &amp; LEFT($N$30,4) &amp; "-" &amp; $E45))*(Tracker!$J$2:$J$5000))=0,"",SUMPRODUCT((YEAR(Tracker!$E$2:$E$5000)=YEAR(Summary!G$30))*(MONTH(Tracker!$E$2:$E$5000)=MONTH(Summary!G$30))*(DAY(Tracker!$E$2:$E$5000)=DAY(Summary!G$30))*((Tracker!$K$2:$K$5000)=("HI" &amp; LEFT($N$30,4) &amp; "-" &amp; $E45))*(Tracker!$J$2:$J$5000)))</f>
        <v/>
      </c>
      <c r="H45" s="26" t="str" cm="1">
        <f t="array" ref="H45">IF(SUMPRODUCT((YEAR(Tracker!$E$2:$E$5000)=YEAR(Summary!H$30))*(MONTH(Tracker!$E$2:$E$5000)=MONTH(Summary!H$30))*(DAY(Tracker!$E$2:$E$5000)=DAY(Summary!H$30))*((Tracker!$K$2:$K$5000)=("HI" &amp; LEFT($N$30,4) &amp; "-" &amp; $E45))*(Tracker!$J$2:$J$5000))=0,"",SUMPRODUCT((YEAR(Tracker!$E$2:$E$5000)=YEAR(Summary!H$30))*(MONTH(Tracker!$E$2:$E$5000)=MONTH(Summary!H$30))*(DAY(Tracker!$E$2:$E$5000)=DAY(Summary!H$30))*((Tracker!$K$2:$K$5000)=("HI" &amp; LEFT($N$30,4) &amp; "-" &amp; $E45))*(Tracker!$J$2:$J$5000)))</f>
        <v/>
      </c>
      <c r="I45" s="26" t="str" cm="1">
        <f t="array" ref="I45">IF(SUMPRODUCT((YEAR(Tracker!$E$2:$E$5000)=YEAR(Summary!I$30))*(MONTH(Tracker!$E$2:$E$5000)=MONTH(Summary!I$30))*(DAY(Tracker!$E$2:$E$5000)=DAY(Summary!I$30))*((Tracker!$K$2:$K$5000)=("HI" &amp; LEFT($N$30,4) &amp; "-" &amp; $E45))*(Tracker!$J$2:$J$5000))=0,"",SUMPRODUCT((YEAR(Tracker!$E$2:$E$5000)=YEAR(Summary!I$30))*(MONTH(Tracker!$E$2:$E$5000)=MONTH(Summary!I$30))*(DAY(Tracker!$E$2:$E$5000)=DAY(Summary!I$30))*((Tracker!$K$2:$K$5000)=("HI" &amp; LEFT($N$30,4) &amp; "-" &amp; $E45))*(Tracker!$J$2:$J$5000)))</f>
        <v/>
      </c>
      <c r="J45" s="26" t="str" cm="1">
        <f t="array" ref="J45">IF(SUMPRODUCT((YEAR(Tracker!$E$2:$E$5000)=YEAR(Summary!J$30))*(MONTH(Tracker!$E$2:$E$5000)=MONTH(Summary!J$30))*(DAY(Tracker!$E$2:$E$5000)=DAY(Summary!J$30))*((Tracker!$K$2:$K$5000)=("HI" &amp; LEFT($N$30,4) &amp; "-" &amp; $E45))*(Tracker!$J$2:$J$5000))=0,"",SUMPRODUCT((YEAR(Tracker!$E$2:$E$5000)=YEAR(Summary!J$30))*(MONTH(Tracker!$E$2:$E$5000)=MONTH(Summary!J$30))*(DAY(Tracker!$E$2:$E$5000)=DAY(Summary!J$30))*((Tracker!$K$2:$K$5000)=("HI" &amp; LEFT($N$30,4) &amp; "-" &amp; $E45))*(Tracker!$J$2:$J$5000)))</f>
        <v/>
      </c>
      <c r="K45" s="26" t="str" cm="1">
        <f t="array" ref="K45">IF(SUMPRODUCT((YEAR(Tracker!$E$2:$E$5000)=YEAR(Summary!K$30))*(MONTH(Tracker!$E$2:$E$5000)=MONTH(Summary!K$30))*(DAY(Tracker!$E$2:$E$5000)=DAY(Summary!K$30))*((Tracker!$K$2:$K$5000)=("HI" &amp; LEFT($N$30,4) &amp; "-" &amp; $E45))*(Tracker!$J$2:$J$5000))=0,"",SUMPRODUCT((YEAR(Tracker!$E$2:$E$5000)=YEAR(Summary!K$30))*(MONTH(Tracker!$E$2:$E$5000)=MONTH(Summary!K$30))*(DAY(Tracker!$E$2:$E$5000)=DAY(Summary!K$30))*((Tracker!$K$2:$K$5000)=("HI" &amp; LEFT($N$30,4) &amp; "-" &amp; $E45))*(Tracker!$J$2:$J$5000)))</f>
        <v/>
      </c>
      <c r="L45" s="26" t="str" cm="1">
        <f t="array" ref="L45">IF(SUMPRODUCT((YEAR(Tracker!$E$2:$E$5000)=YEAR(Summary!L$30))*(MONTH(Tracker!$E$2:$E$5000)=MONTH(Summary!L$30))*(DAY(Tracker!$E$2:$E$5000)=DAY(Summary!L$30))*((Tracker!$K$2:$K$5000)=("HI" &amp; LEFT($N$30,4) &amp; "-" &amp; $E45))*(Tracker!$J$2:$J$5000))=0,"",SUMPRODUCT((YEAR(Tracker!$E$2:$E$5000)=YEAR(Summary!L$30))*(MONTH(Tracker!$E$2:$E$5000)=MONTH(Summary!L$30))*(DAY(Tracker!$E$2:$E$5000)=DAY(Summary!L$30))*((Tracker!$K$2:$K$5000)=("HI" &amp; LEFT($N$30,4) &amp; "-" &amp; $E45))*(Tracker!$J$2:$J$5000)))</f>
        <v/>
      </c>
    </row>
    <row r="46" spans="5:15" hidden="1" x14ac:dyDescent="0.35">
      <c r="E46" s="27" t="str">
        <f>'Charge Codes'!A17</f>
        <v>EN-ME-CHK</v>
      </c>
      <c r="F46" s="26" t="str" cm="1">
        <f t="array" ref="F46">IF(SUMPRODUCT((YEAR(Tracker!$E$2:$E$5000)=YEAR(Summary!F$30))*(MONTH(Tracker!$E$2:$E$5000)=MONTH(Summary!F$30))*(DAY(Tracker!$E$2:$E$5000)=DAY(Summary!F$30))*((Tracker!$K$2:$K$5000)=("HI" &amp; LEFT($N$30,4) &amp; "-" &amp; $E46))*(Tracker!$J$2:$J$5000))=0,"",SUMPRODUCT((YEAR(Tracker!$E$2:$E$5000)=YEAR(Summary!F$30))*(MONTH(Tracker!$E$2:$E$5000)=MONTH(Summary!F$30))*(DAY(Tracker!$E$2:$E$5000)=DAY(Summary!F$30))*((Tracker!$K$2:$K$5000)=("HI" &amp; LEFT($N$30,4) &amp; "-" &amp; $E46))*(Tracker!$J$2:$J$5000)))</f>
        <v/>
      </c>
      <c r="G46" s="26" t="str" cm="1">
        <f t="array" ref="G46">IF(SUMPRODUCT((YEAR(Tracker!$E$2:$E$5000)=YEAR(Summary!G$30))*(MONTH(Tracker!$E$2:$E$5000)=MONTH(Summary!G$30))*(DAY(Tracker!$E$2:$E$5000)=DAY(Summary!G$30))*((Tracker!$K$2:$K$5000)=("HI" &amp; LEFT($N$30,4) &amp; "-" &amp; $E46))*(Tracker!$J$2:$J$5000))=0,"",SUMPRODUCT((YEAR(Tracker!$E$2:$E$5000)=YEAR(Summary!G$30))*(MONTH(Tracker!$E$2:$E$5000)=MONTH(Summary!G$30))*(DAY(Tracker!$E$2:$E$5000)=DAY(Summary!G$30))*((Tracker!$K$2:$K$5000)=("HI" &amp; LEFT($N$30,4) &amp; "-" &amp; $E46))*(Tracker!$J$2:$J$5000)))</f>
        <v/>
      </c>
      <c r="H46" s="26" t="str" cm="1">
        <f t="array" ref="H46">IF(SUMPRODUCT((YEAR(Tracker!$E$2:$E$5000)=YEAR(Summary!H$30))*(MONTH(Tracker!$E$2:$E$5000)=MONTH(Summary!H$30))*(DAY(Tracker!$E$2:$E$5000)=DAY(Summary!H$30))*((Tracker!$K$2:$K$5000)=("HI" &amp; LEFT($N$30,4) &amp; "-" &amp; $E46))*(Tracker!$J$2:$J$5000))=0,"",SUMPRODUCT((YEAR(Tracker!$E$2:$E$5000)=YEAR(Summary!H$30))*(MONTH(Tracker!$E$2:$E$5000)=MONTH(Summary!H$30))*(DAY(Tracker!$E$2:$E$5000)=DAY(Summary!H$30))*((Tracker!$K$2:$K$5000)=("HI" &amp; LEFT($N$30,4) &amp; "-" &amp; $E46))*(Tracker!$J$2:$J$5000)))</f>
        <v/>
      </c>
      <c r="I46" s="26" t="str" cm="1">
        <f t="array" ref="I46">IF(SUMPRODUCT((YEAR(Tracker!$E$2:$E$5000)=YEAR(Summary!I$30))*(MONTH(Tracker!$E$2:$E$5000)=MONTH(Summary!I$30))*(DAY(Tracker!$E$2:$E$5000)=DAY(Summary!I$30))*((Tracker!$K$2:$K$5000)=("HI" &amp; LEFT($N$30,4) &amp; "-" &amp; $E46))*(Tracker!$J$2:$J$5000))=0,"",SUMPRODUCT((YEAR(Tracker!$E$2:$E$5000)=YEAR(Summary!I$30))*(MONTH(Tracker!$E$2:$E$5000)=MONTH(Summary!I$30))*(DAY(Tracker!$E$2:$E$5000)=DAY(Summary!I$30))*((Tracker!$K$2:$K$5000)=("HI" &amp; LEFT($N$30,4) &amp; "-" &amp; $E46))*(Tracker!$J$2:$J$5000)))</f>
        <v/>
      </c>
      <c r="J46" s="26" t="str" cm="1">
        <f t="array" ref="J46">IF(SUMPRODUCT((YEAR(Tracker!$E$2:$E$5000)=YEAR(Summary!J$30))*(MONTH(Tracker!$E$2:$E$5000)=MONTH(Summary!J$30))*(DAY(Tracker!$E$2:$E$5000)=DAY(Summary!J$30))*((Tracker!$K$2:$K$5000)=("HI" &amp; LEFT($N$30,4) &amp; "-" &amp; $E46))*(Tracker!$J$2:$J$5000))=0,"",SUMPRODUCT((YEAR(Tracker!$E$2:$E$5000)=YEAR(Summary!J$30))*(MONTH(Tracker!$E$2:$E$5000)=MONTH(Summary!J$30))*(DAY(Tracker!$E$2:$E$5000)=DAY(Summary!J$30))*((Tracker!$K$2:$K$5000)=("HI" &amp; LEFT($N$30,4) &amp; "-" &amp; $E46))*(Tracker!$J$2:$J$5000)))</f>
        <v/>
      </c>
      <c r="K46" s="26" t="str" cm="1">
        <f t="array" ref="K46">IF(SUMPRODUCT((YEAR(Tracker!$E$2:$E$5000)=YEAR(Summary!K$30))*(MONTH(Tracker!$E$2:$E$5000)=MONTH(Summary!K$30))*(DAY(Tracker!$E$2:$E$5000)=DAY(Summary!K$30))*((Tracker!$K$2:$K$5000)=("HI" &amp; LEFT($N$30,4) &amp; "-" &amp; $E46))*(Tracker!$J$2:$J$5000))=0,"",SUMPRODUCT((YEAR(Tracker!$E$2:$E$5000)=YEAR(Summary!K$30))*(MONTH(Tracker!$E$2:$E$5000)=MONTH(Summary!K$30))*(DAY(Tracker!$E$2:$E$5000)=DAY(Summary!K$30))*((Tracker!$K$2:$K$5000)=("HI" &amp; LEFT($N$30,4) &amp; "-" &amp; $E46))*(Tracker!$J$2:$J$5000)))</f>
        <v/>
      </c>
      <c r="L46" s="26" t="str" cm="1">
        <f t="array" ref="L46">IF(SUMPRODUCT((YEAR(Tracker!$E$2:$E$5000)=YEAR(Summary!L$30))*(MONTH(Tracker!$E$2:$E$5000)=MONTH(Summary!L$30))*(DAY(Tracker!$E$2:$E$5000)=DAY(Summary!L$30))*((Tracker!$K$2:$K$5000)=("HI" &amp; LEFT($N$30,4) &amp; "-" &amp; $E46))*(Tracker!$J$2:$J$5000))=0,"",SUMPRODUCT((YEAR(Tracker!$E$2:$E$5000)=YEAR(Summary!L$30))*(MONTH(Tracker!$E$2:$E$5000)=MONTH(Summary!L$30))*(DAY(Tracker!$E$2:$E$5000)=DAY(Summary!L$30))*((Tracker!$K$2:$K$5000)=("HI" &amp; LEFT($N$30,4) &amp; "-" &amp; $E46))*(Tracker!$J$2:$J$5000)))</f>
        <v/>
      </c>
    </row>
    <row r="47" spans="5:15" hidden="1" x14ac:dyDescent="0.35">
      <c r="E47" s="27" t="str">
        <f>'Charge Codes'!A18</f>
        <v>EN-ME-CSA</v>
      </c>
      <c r="F47" s="26" t="str" cm="1">
        <f t="array" ref="F47">IF(SUMPRODUCT((YEAR(Tracker!$E$2:$E$5000)=YEAR(Summary!F$30))*(MONTH(Tracker!$E$2:$E$5000)=MONTH(Summary!F$30))*(DAY(Tracker!$E$2:$E$5000)=DAY(Summary!F$30))*((Tracker!$K$2:$K$5000)=("HI" &amp; LEFT($N$30,4) &amp; "-" &amp; $E47))*(Tracker!$J$2:$J$5000))=0,"",SUMPRODUCT((YEAR(Tracker!$E$2:$E$5000)=YEAR(Summary!F$30))*(MONTH(Tracker!$E$2:$E$5000)=MONTH(Summary!F$30))*(DAY(Tracker!$E$2:$E$5000)=DAY(Summary!F$30))*((Tracker!$K$2:$K$5000)=("HI" &amp; LEFT($N$30,4) &amp; "-" &amp; $E47))*(Tracker!$J$2:$J$5000)))</f>
        <v/>
      </c>
      <c r="G47" s="26" t="str" cm="1">
        <f t="array" ref="G47">IF(SUMPRODUCT((YEAR(Tracker!$E$2:$E$5000)=YEAR(Summary!G$30))*(MONTH(Tracker!$E$2:$E$5000)=MONTH(Summary!G$30))*(DAY(Tracker!$E$2:$E$5000)=DAY(Summary!G$30))*((Tracker!$K$2:$K$5000)=("HI" &amp; LEFT($N$30,4) &amp; "-" &amp; $E47))*(Tracker!$J$2:$J$5000))=0,"",SUMPRODUCT((YEAR(Tracker!$E$2:$E$5000)=YEAR(Summary!G$30))*(MONTH(Tracker!$E$2:$E$5000)=MONTH(Summary!G$30))*(DAY(Tracker!$E$2:$E$5000)=DAY(Summary!G$30))*((Tracker!$K$2:$K$5000)=("HI" &amp; LEFT($N$30,4) &amp; "-" &amp; $E47))*(Tracker!$J$2:$J$5000)))</f>
        <v/>
      </c>
      <c r="H47" s="26" t="str" cm="1">
        <f t="array" ref="H47">IF(SUMPRODUCT((YEAR(Tracker!$E$2:$E$5000)=YEAR(Summary!H$30))*(MONTH(Tracker!$E$2:$E$5000)=MONTH(Summary!H$30))*(DAY(Tracker!$E$2:$E$5000)=DAY(Summary!H$30))*((Tracker!$K$2:$K$5000)=("HI" &amp; LEFT($N$30,4) &amp; "-" &amp; $E47))*(Tracker!$J$2:$J$5000))=0,"",SUMPRODUCT((YEAR(Tracker!$E$2:$E$5000)=YEAR(Summary!H$30))*(MONTH(Tracker!$E$2:$E$5000)=MONTH(Summary!H$30))*(DAY(Tracker!$E$2:$E$5000)=DAY(Summary!H$30))*((Tracker!$K$2:$K$5000)=("HI" &amp; LEFT($N$30,4) &amp; "-" &amp; $E47))*(Tracker!$J$2:$J$5000)))</f>
        <v/>
      </c>
      <c r="I47" s="26" t="str" cm="1">
        <f t="array" ref="I47">IF(SUMPRODUCT((YEAR(Tracker!$E$2:$E$5000)=YEAR(Summary!I$30))*(MONTH(Tracker!$E$2:$E$5000)=MONTH(Summary!I$30))*(DAY(Tracker!$E$2:$E$5000)=DAY(Summary!I$30))*((Tracker!$K$2:$K$5000)=("HI" &amp; LEFT($N$30,4) &amp; "-" &amp; $E47))*(Tracker!$J$2:$J$5000))=0,"",SUMPRODUCT((YEAR(Tracker!$E$2:$E$5000)=YEAR(Summary!I$30))*(MONTH(Tracker!$E$2:$E$5000)=MONTH(Summary!I$30))*(DAY(Tracker!$E$2:$E$5000)=DAY(Summary!I$30))*((Tracker!$K$2:$K$5000)=("HI" &amp; LEFT($N$30,4) &amp; "-" &amp; $E47))*(Tracker!$J$2:$J$5000)))</f>
        <v/>
      </c>
      <c r="J47" s="26" t="str" cm="1">
        <f t="array" ref="J47">IF(SUMPRODUCT((YEAR(Tracker!$E$2:$E$5000)=YEAR(Summary!J$30))*(MONTH(Tracker!$E$2:$E$5000)=MONTH(Summary!J$30))*(DAY(Tracker!$E$2:$E$5000)=DAY(Summary!J$30))*((Tracker!$K$2:$K$5000)=("HI" &amp; LEFT($N$30,4) &amp; "-" &amp; $E47))*(Tracker!$J$2:$J$5000))=0,"",SUMPRODUCT((YEAR(Tracker!$E$2:$E$5000)=YEAR(Summary!J$30))*(MONTH(Tracker!$E$2:$E$5000)=MONTH(Summary!J$30))*(DAY(Tracker!$E$2:$E$5000)=DAY(Summary!J$30))*((Tracker!$K$2:$K$5000)=("HI" &amp; LEFT($N$30,4) &amp; "-" &amp; $E47))*(Tracker!$J$2:$J$5000)))</f>
        <v/>
      </c>
      <c r="K47" s="26" t="str" cm="1">
        <f t="array" ref="K47">IF(SUMPRODUCT((YEAR(Tracker!$E$2:$E$5000)=YEAR(Summary!K$30))*(MONTH(Tracker!$E$2:$E$5000)=MONTH(Summary!K$30))*(DAY(Tracker!$E$2:$E$5000)=DAY(Summary!K$30))*((Tracker!$K$2:$K$5000)=("HI" &amp; LEFT($N$30,4) &amp; "-" &amp; $E47))*(Tracker!$J$2:$J$5000))=0,"",SUMPRODUCT((YEAR(Tracker!$E$2:$E$5000)=YEAR(Summary!K$30))*(MONTH(Tracker!$E$2:$E$5000)=MONTH(Summary!K$30))*(DAY(Tracker!$E$2:$E$5000)=DAY(Summary!K$30))*((Tracker!$K$2:$K$5000)=("HI" &amp; LEFT($N$30,4) &amp; "-" &amp; $E47))*(Tracker!$J$2:$J$5000)))</f>
        <v/>
      </c>
      <c r="L47" s="26" t="str" cm="1">
        <f t="array" ref="L47">IF(SUMPRODUCT((YEAR(Tracker!$E$2:$E$5000)=YEAR(Summary!L$30))*(MONTH(Tracker!$E$2:$E$5000)=MONTH(Summary!L$30))*(DAY(Tracker!$E$2:$E$5000)=DAY(Summary!L$30))*((Tracker!$K$2:$K$5000)=("HI" &amp; LEFT($N$30,4) &amp; "-" &amp; $E47))*(Tracker!$J$2:$J$5000))=0,"",SUMPRODUCT((YEAR(Tracker!$E$2:$E$5000)=YEAR(Summary!L$30))*(MONTH(Tracker!$E$2:$E$5000)=MONTH(Summary!L$30))*(DAY(Tracker!$E$2:$E$5000)=DAY(Summary!L$30))*((Tracker!$K$2:$K$5000)=("HI" &amp; LEFT($N$30,4) &amp; "-" &amp; $E47))*(Tracker!$J$2:$J$5000)))</f>
        <v/>
      </c>
    </row>
    <row r="48" spans="5:15" hidden="1" x14ac:dyDescent="0.35">
      <c r="E48" s="27" t="str">
        <f>'Charge Codes'!A19</f>
        <v>EN-ME-GB</v>
      </c>
      <c r="F48" s="26" t="str" cm="1">
        <f t="array" ref="F48">IF(SUMPRODUCT((YEAR(Tracker!$E$2:$E$5000)=YEAR(Summary!F$30))*(MONTH(Tracker!$E$2:$E$5000)=MONTH(Summary!F$30))*(DAY(Tracker!$E$2:$E$5000)=DAY(Summary!F$30))*((Tracker!$K$2:$K$5000)=("HI" &amp; LEFT($N$30,4) &amp; "-" &amp; $E48))*(Tracker!$J$2:$J$5000))=0,"",SUMPRODUCT((YEAR(Tracker!$E$2:$E$5000)=YEAR(Summary!F$30))*(MONTH(Tracker!$E$2:$E$5000)=MONTH(Summary!F$30))*(DAY(Tracker!$E$2:$E$5000)=DAY(Summary!F$30))*((Tracker!$K$2:$K$5000)=("HI" &amp; LEFT($N$30,4) &amp; "-" &amp; $E48))*(Tracker!$J$2:$J$5000)))</f>
        <v/>
      </c>
      <c r="G48" s="26" t="str" cm="1">
        <f t="array" ref="G48">IF(SUMPRODUCT((YEAR(Tracker!$E$2:$E$5000)=YEAR(Summary!G$30))*(MONTH(Tracker!$E$2:$E$5000)=MONTH(Summary!G$30))*(DAY(Tracker!$E$2:$E$5000)=DAY(Summary!G$30))*((Tracker!$K$2:$K$5000)=("HI" &amp; LEFT($N$30,4) &amp; "-" &amp; $E48))*(Tracker!$J$2:$J$5000))=0,"",SUMPRODUCT((YEAR(Tracker!$E$2:$E$5000)=YEAR(Summary!G$30))*(MONTH(Tracker!$E$2:$E$5000)=MONTH(Summary!G$30))*(DAY(Tracker!$E$2:$E$5000)=DAY(Summary!G$30))*((Tracker!$K$2:$K$5000)=("HI" &amp; LEFT($N$30,4) &amp; "-" &amp; $E48))*(Tracker!$J$2:$J$5000)))</f>
        <v/>
      </c>
      <c r="H48" s="26" t="str" cm="1">
        <f t="array" ref="H48">IF(SUMPRODUCT((YEAR(Tracker!$E$2:$E$5000)=YEAR(Summary!H$30))*(MONTH(Tracker!$E$2:$E$5000)=MONTH(Summary!H$30))*(DAY(Tracker!$E$2:$E$5000)=DAY(Summary!H$30))*((Tracker!$K$2:$K$5000)=("HI" &amp; LEFT($N$30,4) &amp; "-" &amp; $E48))*(Tracker!$J$2:$J$5000))=0,"",SUMPRODUCT((YEAR(Tracker!$E$2:$E$5000)=YEAR(Summary!H$30))*(MONTH(Tracker!$E$2:$E$5000)=MONTH(Summary!H$30))*(DAY(Tracker!$E$2:$E$5000)=DAY(Summary!H$30))*((Tracker!$K$2:$K$5000)=("HI" &amp; LEFT($N$30,4) &amp; "-" &amp; $E48))*(Tracker!$J$2:$J$5000)))</f>
        <v/>
      </c>
      <c r="I48" s="26" t="str" cm="1">
        <f t="array" ref="I48">IF(SUMPRODUCT((YEAR(Tracker!$E$2:$E$5000)=YEAR(Summary!I$30))*(MONTH(Tracker!$E$2:$E$5000)=MONTH(Summary!I$30))*(DAY(Tracker!$E$2:$E$5000)=DAY(Summary!I$30))*((Tracker!$K$2:$K$5000)=("HI" &amp; LEFT($N$30,4) &amp; "-" &amp; $E48))*(Tracker!$J$2:$J$5000))=0,"",SUMPRODUCT((YEAR(Tracker!$E$2:$E$5000)=YEAR(Summary!I$30))*(MONTH(Tracker!$E$2:$E$5000)=MONTH(Summary!I$30))*(DAY(Tracker!$E$2:$E$5000)=DAY(Summary!I$30))*((Tracker!$K$2:$K$5000)=("HI" &amp; LEFT($N$30,4) &amp; "-" &amp; $E48))*(Tracker!$J$2:$J$5000)))</f>
        <v/>
      </c>
      <c r="J48" s="26" t="str" cm="1">
        <f t="array" ref="J48">IF(SUMPRODUCT((YEAR(Tracker!$E$2:$E$5000)=YEAR(Summary!J$30))*(MONTH(Tracker!$E$2:$E$5000)=MONTH(Summary!J$30))*(DAY(Tracker!$E$2:$E$5000)=DAY(Summary!J$30))*((Tracker!$K$2:$K$5000)=("HI" &amp; LEFT($N$30,4) &amp; "-" &amp; $E48))*(Tracker!$J$2:$J$5000))=0,"",SUMPRODUCT((YEAR(Tracker!$E$2:$E$5000)=YEAR(Summary!J$30))*(MONTH(Tracker!$E$2:$E$5000)=MONTH(Summary!J$30))*(DAY(Tracker!$E$2:$E$5000)=DAY(Summary!J$30))*((Tracker!$K$2:$K$5000)=("HI" &amp; LEFT($N$30,4) &amp; "-" &amp; $E48))*(Tracker!$J$2:$J$5000)))</f>
        <v/>
      </c>
      <c r="K48" s="26" t="str" cm="1">
        <f t="array" ref="K48">IF(SUMPRODUCT((YEAR(Tracker!$E$2:$E$5000)=YEAR(Summary!K$30))*(MONTH(Tracker!$E$2:$E$5000)=MONTH(Summary!K$30))*(DAY(Tracker!$E$2:$E$5000)=DAY(Summary!K$30))*((Tracker!$K$2:$K$5000)=("HI" &amp; LEFT($N$30,4) &amp; "-" &amp; $E48))*(Tracker!$J$2:$J$5000))=0,"",SUMPRODUCT((YEAR(Tracker!$E$2:$E$5000)=YEAR(Summary!K$30))*(MONTH(Tracker!$E$2:$E$5000)=MONTH(Summary!K$30))*(DAY(Tracker!$E$2:$E$5000)=DAY(Summary!K$30))*((Tracker!$K$2:$K$5000)=("HI" &amp; LEFT($N$30,4) &amp; "-" &amp; $E48))*(Tracker!$J$2:$J$5000)))</f>
        <v/>
      </c>
      <c r="L48" s="26" t="str" cm="1">
        <f t="array" ref="L48">IF(SUMPRODUCT((YEAR(Tracker!$E$2:$E$5000)=YEAR(Summary!L$30))*(MONTH(Tracker!$E$2:$E$5000)=MONTH(Summary!L$30))*(DAY(Tracker!$E$2:$E$5000)=DAY(Summary!L$30))*((Tracker!$K$2:$K$5000)=("HI" &amp; LEFT($N$30,4) &amp; "-" &amp; $E48))*(Tracker!$J$2:$J$5000))=0,"",SUMPRODUCT((YEAR(Tracker!$E$2:$E$5000)=YEAR(Summary!L$30))*(MONTH(Tracker!$E$2:$E$5000)=MONTH(Summary!L$30))*(DAY(Tracker!$E$2:$E$5000)=DAY(Summary!L$30))*((Tracker!$K$2:$K$5000)=("HI" &amp; LEFT($N$30,4) &amp; "-" &amp; $E48))*(Tracker!$J$2:$J$5000)))</f>
        <v/>
      </c>
    </row>
    <row r="49" spans="5:12" hidden="1" x14ac:dyDescent="0.35">
      <c r="E49" s="27" t="str">
        <f>'Charge Codes'!A20</f>
        <v>EN-ME-ME</v>
      </c>
      <c r="F49" s="26" t="str" cm="1">
        <f t="array" ref="F49">IF(SUMPRODUCT((YEAR(Tracker!$E$2:$E$5000)=YEAR(Summary!F$30))*(MONTH(Tracker!$E$2:$E$5000)=MONTH(Summary!F$30))*(DAY(Tracker!$E$2:$E$5000)=DAY(Summary!F$30))*((Tracker!$K$2:$K$5000)=("HI" &amp; LEFT($N$30,4) &amp; "-" &amp; $E49))*(Tracker!$J$2:$J$5000))=0,"",SUMPRODUCT((YEAR(Tracker!$E$2:$E$5000)=YEAR(Summary!F$30))*(MONTH(Tracker!$E$2:$E$5000)=MONTH(Summary!F$30))*(DAY(Tracker!$E$2:$E$5000)=DAY(Summary!F$30))*((Tracker!$K$2:$K$5000)=("HI" &amp; LEFT($N$30,4) &amp; "-" &amp; $E49))*(Tracker!$J$2:$J$5000)))</f>
        <v/>
      </c>
      <c r="G49" s="26" t="str" cm="1">
        <f t="array" ref="G49">IF(SUMPRODUCT((YEAR(Tracker!$E$2:$E$5000)=YEAR(Summary!G$30))*(MONTH(Tracker!$E$2:$E$5000)=MONTH(Summary!G$30))*(DAY(Tracker!$E$2:$E$5000)=DAY(Summary!G$30))*((Tracker!$K$2:$K$5000)=("HI" &amp; LEFT($N$30,4) &amp; "-" &amp; $E49))*(Tracker!$J$2:$J$5000))=0,"",SUMPRODUCT((YEAR(Tracker!$E$2:$E$5000)=YEAR(Summary!G$30))*(MONTH(Tracker!$E$2:$E$5000)=MONTH(Summary!G$30))*(DAY(Tracker!$E$2:$E$5000)=DAY(Summary!G$30))*((Tracker!$K$2:$K$5000)=("HI" &amp; LEFT($N$30,4) &amp; "-" &amp; $E49))*(Tracker!$J$2:$J$5000)))</f>
        <v/>
      </c>
      <c r="H49" s="26" t="str" cm="1">
        <f t="array" ref="H49">IF(SUMPRODUCT((YEAR(Tracker!$E$2:$E$5000)=YEAR(Summary!H$30))*(MONTH(Tracker!$E$2:$E$5000)=MONTH(Summary!H$30))*(DAY(Tracker!$E$2:$E$5000)=DAY(Summary!H$30))*((Tracker!$K$2:$K$5000)=("HI" &amp; LEFT($N$30,4) &amp; "-" &amp; $E49))*(Tracker!$J$2:$J$5000))=0,"",SUMPRODUCT((YEAR(Tracker!$E$2:$E$5000)=YEAR(Summary!H$30))*(MONTH(Tracker!$E$2:$E$5000)=MONTH(Summary!H$30))*(DAY(Tracker!$E$2:$E$5000)=DAY(Summary!H$30))*((Tracker!$K$2:$K$5000)=("HI" &amp; LEFT($N$30,4) &amp; "-" &amp; $E49))*(Tracker!$J$2:$J$5000)))</f>
        <v/>
      </c>
      <c r="I49" s="26" t="str" cm="1">
        <f t="array" ref="I49">IF(SUMPRODUCT((YEAR(Tracker!$E$2:$E$5000)=YEAR(Summary!I$30))*(MONTH(Tracker!$E$2:$E$5000)=MONTH(Summary!I$30))*(DAY(Tracker!$E$2:$E$5000)=DAY(Summary!I$30))*((Tracker!$K$2:$K$5000)=("HI" &amp; LEFT($N$30,4) &amp; "-" &amp; $E49))*(Tracker!$J$2:$J$5000))=0,"",SUMPRODUCT((YEAR(Tracker!$E$2:$E$5000)=YEAR(Summary!I$30))*(MONTH(Tracker!$E$2:$E$5000)=MONTH(Summary!I$30))*(DAY(Tracker!$E$2:$E$5000)=DAY(Summary!I$30))*((Tracker!$K$2:$K$5000)=("HI" &amp; LEFT($N$30,4) &amp; "-" &amp; $E49))*(Tracker!$J$2:$J$5000)))</f>
        <v/>
      </c>
      <c r="J49" s="26" t="str" cm="1">
        <f t="array" ref="J49">IF(SUMPRODUCT((YEAR(Tracker!$E$2:$E$5000)=YEAR(Summary!J$30))*(MONTH(Tracker!$E$2:$E$5000)=MONTH(Summary!J$30))*(DAY(Tracker!$E$2:$E$5000)=DAY(Summary!J$30))*((Tracker!$K$2:$K$5000)=("HI" &amp; LEFT($N$30,4) &amp; "-" &amp; $E49))*(Tracker!$J$2:$J$5000))=0,"",SUMPRODUCT((YEAR(Tracker!$E$2:$E$5000)=YEAR(Summary!J$30))*(MONTH(Tracker!$E$2:$E$5000)=MONTH(Summary!J$30))*(DAY(Tracker!$E$2:$E$5000)=DAY(Summary!J$30))*((Tracker!$K$2:$K$5000)=("HI" &amp; LEFT($N$30,4) &amp; "-" &amp; $E49))*(Tracker!$J$2:$J$5000)))</f>
        <v/>
      </c>
      <c r="K49" s="26" t="str" cm="1">
        <f t="array" ref="K49">IF(SUMPRODUCT((YEAR(Tracker!$E$2:$E$5000)=YEAR(Summary!K$30))*(MONTH(Tracker!$E$2:$E$5000)=MONTH(Summary!K$30))*(DAY(Tracker!$E$2:$E$5000)=DAY(Summary!K$30))*((Tracker!$K$2:$K$5000)=("HI" &amp; LEFT($N$30,4) &amp; "-" &amp; $E49))*(Tracker!$J$2:$J$5000))=0,"",SUMPRODUCT((YEAR(Tracker!$E$2:$E$5000)=YEAR(Summary!K$30))*(MONTH(Tracker!$E$2:$E$5000)=MONTH(Summary!K$30))*(DAY(Tracker!$E$2:$E$5000)=DAY(Summary!K$30))*((Tracker!$K$2:$K$5000)=("HI" &amp; LEFT($N$30,4) &amp; "-" &amp; $E49))*(Tracker!$J$2:$J$5000)))</f>
        <v/>
      </c>
      <c r="L49" s="26" t="str" cm="1">
        <f t="array" ref="L49">IF(SUMPRODUCT((YEAR(Tracker!$E$2:$E$5000)=YEAR(Summary!L$30))*(MONTH(Tracker!$E$2:$E$5000)=MONTH(Summary!L$30))*(DAY(Tracker!$E$2:$E$5000)=DAY(Summary!L$30))*((Tracker!$K$2:$K$5000)=("HI" &amp; LEFT($N$30,4) &amp; "-" &amp; $E49))*(Tracker!$J$2:$J$5000))=0,"",SUMPRODUCT((YEAR(Tracker!$E$2:$E$5000)=YEAR(Summary!L$30))*(MONTH(Tracker!$E$2:$E$5000)=MONTH(Summary!L$30))*(DAY(Tracker!$E$2:$E$5000)=DAY(Summary!L$30))*((Tracker!$K$2:$K$5000)=("HI" &amp; LEFT($N$30,4) &amp; "-" &amp; $E49))*(Tracker!$J$2:$J$5000)))</f>
        <v/>
      </c>
    </row>
    <row r="50" spans="5:12" hidden="1" x14ac:dyDescent="0.35">
      <c r="E50" s="27" t="str">
        <f>'Charge Codes'!A21</f>
        <v>EN-ME-MI</v>
      </c>
      <c r="F50" s="26" t="str" cm="1">
        <f t="array" ref="F50">IF(SUMPRODUCT((YEAR(Tracker!$E$2:$E$5000)=YEAR(Summary!F$30))*(MONTH(Tracker!$E$2:$E$5000)=MONTH(Summary!F$30))*(DAY(Tracker!$E$2:$E$5000)=DAY(Summary!F$30))*((Tracker!$K$2:$K$5000)=("HI" &amp; LEFT($N$30,4) &amp; "-" &amp; $E50))*(Tracker!$J$2:$J$5000))=0,"",SUMPRODUCT((YEAR(Tracker!$E$2:$E$5000)=YEAR(Summary!F$30))*(MONTH(Tracker!$E$2:$E$5000)=MONTH(Summary!F$30))*(DAY(Tracker!$E$2:$E$5000)=DAY(Summary!F$30))*((Tracker!$K$2:$K$5000)=("HI" &amp; LEFT($N$30,4) &amp; "-" &amp; $E50))*(Tracker!$J$2:$J$5000)))</f>
        <v/>
      </c>
      <c r="G50" s="26" t="str" cm="1">
        <f t="array" ref="G50">IF(SUMPRODUCT((YEAR(Tracker!$E$2:$E$5000)=YEAR(Summary!G$30))*(MONTH(Tracker!$E$2:$E$5000)=MONTH(Summary!G$30))*(DAY(Tracker!$E$2:$E$5000)=DAY(Summary!G$30))*((Tracker!$K$2:$K$5000)=("HI" &amp; LEFT($N$30,4) &amp; "-" &amp; $E50))*(Tracker!$J$2:$J$5000))=0,"",SUMPRODUCT((YEAR(Tracker!$E$2:$E$5000)=YEAR(Summary!G$30))*(MONTH(Tracker!$E$2:$E$5000)=MONTH(Summary!G$30))*(DAY(Tracker!$E$2:$E$5000)=DAY(Summary!G$30))*((Tracker!$K$2:$K$5000)=("HI" &amp; LEFT($N$30,4) &amp; "-" &amp; $E50))*(Tracker!$J$2:$J$5000)))</f>
        <v/>
      </c>
      <c r="H50" s="26" t="str" cm="1">
        <f t="array" ref="H50">IF(SUMPRODUCT((YEAR(Tracker!$E$2:$E$5000)=YEAR(Summary!H$30))*(MONTH(Tracker!$E$2:$E$5000)=MONTH(Summary!H$30))*(DAY(Tracker!$E$2:$E$5000)=DAY(Summary!H$30))*((Tracker!$K$2:$K$5000)=("HI" &amp; LEFT($N$30,4) &amp; "-" &amp; $E50))*(Tracker!$J$2:$J$5000))=0,"",SUMPRODUCT((YEAR(Tracker!$E$2:$E$5000)=YEAR(Summary!H$30))*(MONTH(Tracker!$E$2:$E$5000)=MONTH(Summary!H$30))*(DAY(Tracker!$E$2:$E$5000)=DAY(Summary!H$30))*((Tracker!$K$2:$K$5000)=("HI" &amp; LEFT($N$30,4) &amp; "-" &amp; $E50))*(Tracker!$J$2:$J$5000)))</f>
        <v/>
      </c>
      <c r="I50" s="26" t="str" cm="1">
        <f t="array" ref="I50">IF(SUMPRODUCT((YEAR(Tracker!$E$2:$E$5000)=YEAR(Summary!I$30))*(MONTH(Tracker!$E$2:$E$5000)=MONTH(Summary!I$30))*(DAY(Tracker!$E$2:$E$5000)=DAY(Summary!I$30))*((Tracker!$K$2:$K$5000)=("HI" &amp; LEFT($N$30,4) &amp; "-" &amp; $E50))*(Tracker!$J$2:$J$5000))=0,"",SUMPRODUCT((YEAR(Tracker!$E$2:$E$5000)=YEAR(Summary!I$30))*(MONTH(Tracker!$E$2:$E$5000)=MONTH(Summary!I$30))*(DAY(Tracker!$E$2:$E$5000)=DAY(Summary!I$30))*((Tracker!$K$2:$K$5000)=("HI" &amp; LEFT($N$30,4) &amp; "-" &amp; $E50))*(Tracker!$J$2:$J$5000)))</f>
        <v/>
      </c>
      <c r="J50" s="26" t="str" cm="1">
        <f t="array" ref="J50">IF(SUMPRODUCT((YEAR(Tracker!$E$2:$E$5000)=YEAR(Summary!J$30))*(MONTH(Tracker!$E$2:$E$5000)=MONTH(Summary!J$30))*(DAY(Tracker!$E$2:$E$5000)=DAY(Summary!J$30))*((Tracker!$K$2:$K$5000)=("HI" &amp; LEFT($N$30,4) &amp; "-" &amp; $E50))*(Tracker!$J$2:$J$5000))=0,"",SUMPRODUCT((YEAR(Tracker!$E$2:$E$5000)=YEAR(Summary!J$30))*(MONTH(Tracker!$E$2:$E$5000)=MONTH(Summary!J$30))*(DAY(Tracker!$E$2:$E$5000)=DAY(Summary!J$30))*((Tracker!$K$2:$K$5000)=("HI" &amp; LEFT($N$30,4) &amp; "-" &amp; $E50))*(Tracker!$J$2:$J$5000)))</f>
        <v/>
      </c>
      <c r="K50" s="26" t="str" cm="1">
        <f t="array" ref="K50">IF(SUMPRODUCT((YEAR(Tracker!$E$2:$E$5000)=YEAR(Summary!K$30))*(MONTH(Tracker!$E$2:$E$5000)=MONTH(Summary!K$30))*(DAY(Tracker!$E$2:$E$5000)=DAY(Summary!K$30))*((Tracker!$K$2:$K$5000)=("HI" &amp; LEFT($N$30,4) &amp; "-" &amp; $E50))*(Tracker!$J$2:$J$5000))=0,"",SUMPRODUCT((YEAR(Tracker!$E$2:$E$5000)=YEAR(Summary!K$30))*(MONTH(Tracker!$E$2:$E$5000)=MONTH(Summary!K$30))*(DAY(Tracker!$E$2:$E$5000)=DAY(Summary!K$30))*((Tracker!$K$2:$K$5000)=("HI" &amp; LEFT($N$30,4) &amp; "-" &amp; $E50))*(Tracker!$J$2:$J$5000)))</f>
        <v/>
      </c>
      <c r="L50" s="26" t="str" cm="1">
        <f t="array" ref="L50">IF(SUMPRODUCT((YEAR(Tracker!$E$2:$E$5000)=YEAR(Summary!L$30))*(MONTH(Tracker!$E$2:$E$5000)=MONTH(Summary!L$30))*(DAY(Tracker!$E$2:$E$5000)=DAY(Summary!L$30))*((Tracker!$K$2:$K$5000)=("HI" &amp; LEFT($N$30,4) &amp; "-" &amp; $E50))*(Tracker!$J$2:$J$5000))=0,"",SUMPRODUCT((YEAR(Tracker!$E$2:$E$5000)=YEAR(Summary!L$30))*(MONTH(Tracker!$E$2:$E$5000)=MONTH(Summary!L$30))*(DAY(Tracker!$E$2:$E$5000)=DAY(Summary!L$30))*((Tracker!$K$2:$K$5000)=("HI" &amp; LEFT($N$30,4) &amp; "-" &amp; $E50))*(Tracker!$J$2:$J$5000)))</f>
        <v/>
      </c>
    </row>
    <row r="51" spans="5:12" hidden="1" x14ac:dyDescent="0.35">
      <c r="E51" s="27" t="str">
        <f>'Charge Codes'!A22</f>
        <v>EN-ME-MISC</v>
      </c>
      <c r="F51" s="26" t="str" cm="1">
        <f t="array" ref="F51">IF(SUMPRODUCT((YEAR(Tracker!$E$2:$E$5000)=YEAR(Summary!F$30))*(MONTH(Tracker!$E$2:$E$5000)=MONTH(Summary!F$30))*(DAY(Tracker!$E$2:$E$5000)=DAY(Summary!F$30))*((Tracker!$K$2:$K$5000)=("HI" &amp; LEFT($N$30,4) &amp; "-" &amp; $E51))*(Tracker!$J$2:$J$5000))=0,"",SUMPRODUCT((YEAR(Tracker!$E$2:$E$5000)=YEAR(Summary!F$30))*(MONTH(Tracker!$E$2:$E$5000)=MONTH(Summary!F$30))*(DAY(Tracker!$E$2:$E$5000)=DAY(Summary!F$30))*((Tracker!$K$2:$K$5000)=("HI" &amp; LEFT($N$30,4) &amp; "-" &amp; $E51))*(Tracker!$J$2:$J$5000)))</f>
        <v/>
      </c>
      <c r="G51" s="26" t="str" cm="1">
        <f t="array" ref="G51">IF(SUMPRODUCT((YEAR(Tracker!$E$2:$E$5000)=YEAR(Summary!G$30))*(MONTH(Tracker!$E$2:$E$5000)=MONTH(Summary!G$30))*(DAY(Tracker!$E$2:$E$5000)=DAY(Summary!G$30))*((Tracker!$K$2:$K$5000)=("HI" &amp; LEFT($N$30,4) &amp; "-" &amp; $E51))*(Tracker!$J$2:$J$5000))=0,"",SUMPRODUCT((YEAR(Tracker!$E$2:$E$5000)=YEAR(Summary!G$30))*(MONTH(Tracker!$E$2:$E$5000)=MONTH(Summary!G$30))*(DAY(Tracker!$E$2:$E$5000)=DAY(Summary!G$30))*((Tracker!$K$2:$K$5000)=("HI" &amp; LEFT($N$30,4) &amp; "-" &amp; $E51))*(Tracker!$J$2:$J$5000)))</f>
        <v/>
      </c>
      <c r="H51" s="26" t="str" cm="1">
        <f t="array" ref="H51">IF(SUMPRODUCT((YEAR(Tracker!$E$2:$E$5000)=YEAR(Summary!H$30))*(MONTH(Tracker!$E$2:$E$5000)=MONTH(Summary!H$30))*(DAY(Tracker!$E$2:$E$5000)=DAY(Summary!H$30))*((Tracker!$K$2:$K$5000)=("HI" &amp; LEFT($N$30,4) &amp; "-" &amp; $E51))*(Tracker!$J$2:$J$5000))=0,"",SUMPRODUCT((YEAR(Tracker!$E$2:$E$5000)=YEAR(Summary!H$30))*(MONTH(Tracker!$E$2:$E$5000)=MONTH(Summary!H$30))*(DAY(Tracker!$E$2:$E$5000)=DAY(Summary!H$30))*((Tracker!$K$2:$K$5000)=("HI" &amp; LEFT($N$30,4) &amp; "-" &amp; $E51))*(Tracker!$J$2:$J$5000)))</f>
        <v/>
      </c>
      <c r="I51" s="26" t="str" cm="1">
        <f t="array" ref="I51">IF(SUMPRODUCT((YEAR(Tracker!$E$2:$E$5000)=YEAR(Summary!I$30))*(MONTH(Tracker!$E$2:$E$5000)=MONTH(Summary!I$30))*(DAY(Tracker!$E$2:$E$5000)=DAY(Summary!I$30))*((Tracker!$K$2:$K$5000)=("HI" &amp; LEFT($N$30,4) &amp; "-" &amp; $E51))*(Tracker!$J$2:$J$5000))=0,"",SUMPRODUCT((YEAR(Tracker!$E$2:$E$5000)=YEAR(Summary!I$30))*(MONTH(Tracker!$E$2:$E$5000)=MONTH(Summary!I$30))*(DAY(Tracker!$E$2:$E$5000)=DAY(Summary!I$30))*((Tracker!$K$2:$K$5000)=("HI" &amp; LEFT($N$30,4) &amp; "-" &amp; $E51))*(Tracker!$J$2:$J$5000)))</f>
        <v/>
      </c>
      <c r="J51" s="26" t="str" cm="1">
        <f t="array" ref="J51">IF(SUMPRODUCT((YEAR(Tracker!$E$2:$E$5000)=YEAR(Summary!J$30))*(MONTH(Tracker!$E$2:$E$5000)=MONTH(Summary!J$30))*(DAY(Tracker!$E$2:$E$5000)=DAY(Summary!J$30))*((Tracker!$K$2:$K$5000)=("HI" &amp; LEFT($N$30,4) &amp; "-" &amp; $E51))*(Tracker!$J$2:$J$5000))=0,"",SUMPRODUCT((YEAR(Tracker!$E$2:$E$5000)=YEAR(Summary!J$30))*(MONTH(Tracker!$E$2:$E$5000)=MONTH(Summary!J$30))*(DAY(Tracker!$E$2:$E$5000)=DAY(Summary!J$30))*((Tracker!$K$2:$K$5000)=("HI" &amp; LEFT($N$30,4) &amp; "-" &amp; $E51))*(Tracker!$J$2:$J$5000)))</f>
        <v/>
      </c>
      <c r="K51" s="26" t="str" cm="1">
        <f t="array" ref="K51">IF(SUMPRODUCT((YEAR(Tracker!$E$2:$E$5000)=YEAR(Summary!K$30))*(MONTH(Tracker!$E$2:$E$5000)=MONTH(Summary!K$30))*(DAY(Tracker!$E$2:$E$5000)=DAY(Summary!K$30))*((Tracker!$K$2:$K$5000)=("HI" &amp; LEFT($N$30,4) &amp; "-" &amp; $E51))*(Tracker!$J$2:$J$5000))=0,"",SUMPRODUCT((YEAR(Tracker!$E$2:$E$5000)=YEAR(Summary!K$30))*(MONTH(Tracker!$E$2:$E$5000)=MONTH(Summary!K$30))*(DAY(Tracker!$E$2:$E$5000)=DAY(Summary!K$30))*((Tracker!$K$2:$K$5000)=("HI" &amp; LEFT($N$30,4) &amp; "-" &amp; $E51))*(Tracker!$J$2:$J$5000)))</f>
        <v/>
      </c>
      <c r="L51" s="26" t="str" cm="1">
        <f t="array" ref="L51">IF(SUMPRODUCT((YEAR(Tracker!$E$2:$E$5000)=YEAR(Summary!L$30))*(MONTH(Tracker!$E$2:$E$5000)=MONTH(Summary!L$30))*(DAY(Tracker!$E$2:$E$5000)=DAY(Summary!L$30))*((Tracker!$K$2:$K$5000)=("HI" &amp; LEFT($N$30,4) &amp; "-" &amp; $E51))*(Tracker!$J$2:$J$5000))=0,"",SUMPRODUCT((YEAR(Tracker!$E$2:$E$5000)=YEAR(Summary!L$30))*(MONTH(Tracker!$E$2:$E$5000)=MONTH(Summary!L$30))*(DAY(Tracker!$E$2:$E$5000)=DAY(Summary!L$30))*((Tracker!$K$2:$K$5000)=("HI" &amp; LEFT($N$30,4) &amp; "-" &amp; $E51))*(Tracker!$J$2:$J$5000)))</f>
        <v/>
      </c>
    </row>
    <row r="52" spans="5:12" hidden="1" x14ac:dyDescent="0.35">
      <c r="E52" s="27" t="str">
        <f>'Charge Codes'!A23</f>
        <v>EN-ME-PROD</v>
      </c>
      <c r="F52" s="26" t="str" cm="1">
        <f t="array" ref="F52">IF(SUMPRODUCT((YEAR(Tracker!$E$2:$E$5000)=YEAR(Summary!F$30))*(MONTH(Tracker!$E$2:$E$5000)=MONTH(Summary!F$30))*(DAY(Tracker!$E$2:$E$5000)=DAY(Summary!F$30))*((Tracker!$K$2:$K$5000)=("HI" &amp; LEFT($N$30,4) &amp; "-" &amp; $E52))*(Tracker!$J$2:$J$5000))=0,"",SUMPRODUCT((YEAR(Tracker!$E$2:$E$5000)=YEAR(Summary!F$30))*(MONTH(Tracker!$E$2:$E$5000)=MONTH(Summary!F$30))*(DAY(Tracker!$E$2:$E$5000)=DAY(Summary!F$30))*((Tracker!$K$2:$K$5000)=("HI" &amp; LEFT($N$30,4) &amp; "-" &amp; $E52))*(Tracker!$J$2:$J$5000)))</f>
        <v/>
      </c>
      <c r="G52" s="26" t="str" cm="1">
        <f t="array" ref="G52">IF(SUMPRODUCT((YEAR(Tracker!$E$2:$E$5000)=YEAR(Summary!G$30))*(MONTH(Tracker!$E$2:$E$5000)=MONTH(Summary!G$30))*(DAY(Tracker!$E$2:$E$5000)=DAY(Summary!G$30))*((Tracker!$K$2:$K$5000)=("HI" &amp; LEFT($N$30,4) &amp; "-" &amp; $E52))*(Tracker!$J$2:$J$5000))=0,"",SUMPRODUCT((YEAR(Tracker!$E$2:$E$5000)=YEAR(Summary!G$30))*(MONTH(Tracker!$E$2:$E$5000)=MONTH(Summary!G$30))*(DAY(Tracker!$E$2:$E$5000)=DAY(Summary!G$30))*((Tracker!$K$2:$K$5000)=("HI" &amp; LEFT($N$30,4) &amp; "-" &amp; $E52))*(Tracker!$J$2:$J$5000)))</f>
        <v/>
      </c>
      <c r="H52" s="26" t="str" cm="1">
        <f t="array" ref="H52">IF(SUMPRODUCT((YEAR(Tracker!$E$2:$E$5000)=YEAR(Summary!H$30))*(MONTH(Tracker!$E$2:$E$5000)=MONTH(Summary!H$30))*(DAY(Tracker!$E$2:$E$5000)=DAY(Summary!H$30))*((Tracker!$K$2:$K$5000)=("HI" &amp; LEFT($N$30,4) &amp; "-" &amp; $E52))*(Tracker!$J$2:$J$5000))=0,"",SUMPRODUCT((YEAR(Tracker!$E$2:$E$5000)=YEAR(Summary!H$30))*(MONTH(Tracker!$E$2:$E$5000)=MONTH(Summary!H$30))*(DAY(Tracker!$E$2:$E$5000)=DAY(Summary!H$30))*((Tracker!$K$2:$K$5000)=("HI" &amp; LEFT($N$30,4) &amp; "-" &amp; $E52))*(Tracker!$J$2:$J$5000)))</f>
        <v/>
      </c>
      <c r="I52" s="26" t="str" cm="1">
        <f t="array" ref="I52">IF(SUMPRODUCT((YEAR(Tracker!$E$2:$E$5000)=YEAR(Summary!I$30))*(MONTH(Tracker!$E$2:$E$5000)=MONTH(Summary!I$30))*(DAY(Tracker!$E$2:$E$5000)=DAY(Summary!I$30))*((Tracker!$K$2:$K$5000)=("HI" &amp; LEFT($N$30,4) &amp; "-" &amp; $E52))*(Tracker!$J$2:$J$5000))=0,"",SUMPRODUCT((YEAR(Tracker!$E$2:$E$5000)=YEAR(Summary!I$30))*(MONTH(Tracker!$E$2:$E$5000)=MONTH(Summary!I$30))*(DAY(Tracker!$E$2:$E$5000)=DAY(Summary!I$30))*((Tracker!$K$2:$K$5000)=("HI" &amp; LEFT($N$30,4) &amp; "-" &amp; $E52))*(Tracker!$J$2:$J$5000)))</f>
        <v/>
      </c>
      <c r="J52" s="26" t="str" cm="1">
        <f t="array" ref="J52">IF(SUMPRODUCT((YEAR(Tracker!$E$2:$E$5000)=YEAR(Summary!J$30))*(MONTH(Tracker!$E$2:$E$5000)=MONTH(Summary!J$30))*(DAY(Tracker!$E$2:$E$5000)=DAY(Summary!J$30))*((Tracker!$K$2:$K$5000)=("HI" &amp; LEFT($N$30,4) &amp; "-" &amp; $E52))*(Tracker!$J$2:$J$5000))=0,"",SUMPRODUCT((YEAR(Tracker!$E$2:$E$5000)=YEAR(Summary!J$30))*(MONTH(Tracker!$E$2:$E$5000)=MONTH(Summary!J$30))*(DAY(Tracker!$E$2:$E$5000)=DAY(Summary!J$30))*((Tracker!$K$2:$K$5000)=("HI" &amp; LEFT($N$30,4) &amp; "-" &amp; $E52))*(Tracker!$J$2:$J$5000)))</f>
        <v/>
      </c>
      <c r="K52" s="26" t="str" cm="1">
        <f t="array" ref="K52">IF(SUMPRODUCT((YEAR(Tracker!$E$2:$E$5000)=YEAR(Summary!K$30))*(MONTH(Tracker!$E$2:$E$5000)=MONTH(Summary!K$30))*(DAY(Tracker!$E$2:$E$5000)=DAY(Summary!K$30))*((Tracker!$K$2:$K$5000)=("HI" &amp; LEFT($N$30,4) &amp; "-" &amp; $E52))*(Tracker!$J$2:$J$5000))=0,"",SUMPRODUCT((YEAR(Tracker!$E$2:$E$5000)=YEAR(Summary!K$30))*(MONTH(Tracker!$E$2:$E$5000)=MONTH(Summary!K$30))*(DAY(Tracker!$E$2:$E$5000)=DAY(Summary!K$30))*((Tracker!$K$2:$K$5000)=("HI" &amp; LEFT($N$30,4) &amp; "-" &amp; $E52))*(Tracker!$J$2:$J$5000)))</f>
        <v/>
      </c>
      <c r="L52" s="26" t="str" cm="1">
        <f t="array" ref="L52">IF(SUMPRODUCT((YEAR(Tracker!$E$2:$E$5000)=YEAR(Summary!L$30))*(MONTH(Tracker!$E$2:$E$5000)=MONTH(Summary!L$30))*(DAY(Tracker!$E$2:$E$5000)=DAY(Summary!L$30))*((Tracker!$K$2:$K$5000)=("HI" &amp; LEFT($N$30,4) &amp; "-" &amp; $E52))*(Tracker!$J$2:$J$5000))=0,"",SUMPRODUCT((YEAR(Tracker!$E$2:$E$5000)=YEAR(Summary!L$30))*(MONTH(Tracker!$E$2:$E$5000)=MONTH(Summary!L$30))*(DAY(Tracker!$E$2:$E$5000)=DAY(Summary!L$30))*((Tracker!$K$2:$K$5000)=("HI" &amp; LEFT($N$30,4) &amp; "-" &amp; $E52))*(Tracker!$J$2:$J$5000)))</f>
        <v/>
      </c>
    </row>
    <row r="53" spans="5:12" hidden="1" x14ac:dyDescent="0.35">
      <c r="E53" s="27" t="str">
        <f>'Charge Codes'!A24</f>
        <v>EN-ME-PS</v>
      </c>
      <c r="F53" s="29" t="str" cm="1">
        <f t="array" ref="F53">IF(SUMPRODUCT((YEAR(Tracker!$E$2:$E$5000)=YEAR(Summary!F$30))*(MONTH(Tracker!$E$2:$E$5000)=MONTH(Summary!F$30))*(DAY(Tracker!$E$2:$E$5000)=DAY(Summary!F$30))*((Tracker!$K$2:$K$5000)=("HI" &amp; LEFT($N$30,4) &amp; "-" &amp; $E53))*(Tracker!$J$2:$J$5000))=0,"",SUMPRODUCT((YEAR(Tracker!$E$2:$E$5000)=YEAR(Summary!F$30))*(MONTH(Tracker!$E$2:$E$5000)=MONTH(Summary!F$30))*(DAY(Tracker!$E$2:$E$5000)=DAY(Summary!F$30))*((Tracker!$K$2:$K$5000)=("HI" &amp; LEFT($N$30,4) &amp; "-" &amp; $E53))*(Tracker!$J$2:$J$5000)))</f>
        <v/>
      </c>
      <c r="G53" s="29" t="str" cm="1">
        <f t="array" ref="G53">IF(SUMPRODUCT((YEAR(Tracker!$E$2:$E$5000)=YEAR(Summary!G$30))*(MONTH(Tracker!$E$2:$E$5000)=MONTH(Summary!G$30))*(DAY(Tracker!$E$2:$E$5000)=DAY(Summary!G$30))*((Tracker!$K$2:$K$5000)=("HI" &amp; LEFT($N$30,4) &amp; "-" &amp; $E53))*(Tracker!$J$2:$J$5000))=0,"",SUMPRODUCT((YEAR(Tracker!$E$2:$E$5000)=YEAR(Summary!G$30))*(MONTH(Tracker!$E$2:$E$5000)=MONTH(Summary!G$30))*(DAY(Tracker!$E$2:$E$5000)=DAY(Summary!G$30))*((Tracker!$K$2:$K$5000)=("HI" &amp; LEFT($N$30,4) &amp; "-" &amp; $E53))*(Tracker!$J$2:$J$5000)))</f>
        <v/>
      </c>
      <c r="H53" s="26" t="str" cm="1">
        <f t="array" ref="H53">IF(SUMPRODUCT((YEAR(Tracker!$E$2:$E$5000)=YEAR(Summary!H$30))*(MONTH(Tracker!$E$2:$E$5000)=MONTH(Summary!H$30))*(DAY(Tracker!$E$2:$E$5000)=DAY(Summary!H$30))*((Tracker!$K$2:$K$5000)=("HI" &amp; LEFT($N$30,4) &amp; "-" &amp; $E53))*(Tracker!$J$2:$J$5000))=0,"",SUMPRODUCT((YEAR(Tracker!$E$2:$E$5000)=YEAR(Summary!H$30))*(MONTH(Tracker!$E$2:$E$5000)=MONTH(Summary!H$30))*(DAY(Tracker!$E$2:$E$5000)=DAY(Summary!H$30))*((Tracker!$K$2:$K$5000)=("HI" &amp; LEFT($N$30,4) &amp; "-" &amp; $E53))*(Tracker!$J$2:$J$5000)))</f>
        <v/>
      </c>
      <c r="I53" s="29" t="str" cm="1">
        <f t="array" ref="I53">IF(SUMPRODUCT((YEAR(Tracker!$E$2:$E$5000)=YEAR(Summary!I$30))*(MONTH(Tracker!$E$2:$E$5000)=MONTH(Summary!I$30))*(DAY(Tracker!$E$2:$E$5000)=DAY(Summary!I$30))*((Tracker!$K$2:$K$5000)=("HI" &amp; LEFT($N$30,4) &amp; "-" &amp; $E53))*(Tracker!$J$2:$J$5000))=0,"",SUMPRODUCT((YEAR(Tracker!$E$2:$E$5000)=YEAR(Summary!I$30))*(MONTH(Tracker!$E$2:$E$5000)=MONTH(Summary!I$30))*(DAY(Tracker!$E$2:$E$5000)=DAY(Summary!I$30))*((Tracker!$K$2:$K$5000)=("HI" &amp; LEFT($N$30,4) &amp; "-" &amp; $E53))*(Tracker!$J$2:$J$5000)))</f>
        <v/>
      </c>
      <c r="J53" s="29" t="str" cm="1">
        <f t="array" ref="J53">IF(SUMPRODUCT((YEAR(Tracker!$E$2:$E$5000)=YEAR(Summary!J$30))*(MONTH(Tracker!$E$2:$E$5000)=MONTH(Summary!J$30))*(DAY(Tracker!$E$2:$E$5000)=DAY(Summary!J$30))*((Tracker!$K$2:$K$5000)=("HI" &amp; LEFT($N$30,4) &amp; "-" &amp; $E53))*(Tracker!$J$2:$J$5000))=0,"",SUMPRODUCT((YEAR(Tracker!$E$2:$E$5000)=YEAR(Summary!J$30))*(MONTH(Tracker!$E$2:$E$5000)=MONTH(Summary!J$30))*(DAY(Tracker!$E$2:$E$5000)=DAY(Summary!J$30))*((Tracker!$K$2:$K$5000)=("HI" &amp; LEFT($N$30,4) &amp; "-" &amp; $E53))*(Tracker!$J$2:$J$5000)))</f>
        <v/>
      </c>
      <c r="K53" s="29" t="str" cm="1">
        <f t="array" ref="K53">IF(SUMPRODUCT((YEAR(Tracker!$E$2:$E$5000)=YEAR(Summary!K$30))*(MONTH(Tracker!$E$2:$E$5000)=MONTH(Summary!K$30))*(DAY(Tracker!$E$2:$E$5000)=DAY(Summary!K$30))*((Tracker!$K$2:$K$5000)=("HI" &amp; LEFT($N$30,4) &amp; "-" &amp; $E53))*(Tracker!$J$2:$J$5000))=0,"",SUMPRODUCT((YEAR(Tracker!$E$2:$E$5000)=YEAR(Summary!K$30))*(MONTH(Tracker!$E$2:$E$5000)=MONTH(Summary!K$30))*(DAY(Tracker!$E$2:$E$5000)=DAY(Summary!K$30))*((Tracker!$K$2:$K$5000)=("HI" &amp; LEFT($N$30,4) &amp; "-" &amp; $E53))*(Tracker!$J$2:$J$5000)))</f>
        <v/>
      </c>
      <c r="L53" s="29" t="str" cm="1">
        <f t="array" ref="L53">IF(SUMPRODUCT((YEAR(Tracker!$E$2:$E$5000)=YEAR(Summary!L$30))*(MONTH(Tracker!$E$2:$E$5000)=MONTH(Summary!L$30))*(DAY(Tracker!$E$2:$E$5000)=DAY(Summary!L$30))*((Tracker!$K$2:$K$5000)=("HI" &amp; LEFT($N$30,4) &amp; "-" &amp; $E53))*(Tracker!$J$2:$J$5000))=0,"",SUMPRODUCT((YEAR(Tracker!$E$2:$E$5000)=YEAR(Summary!L$30))*(MONTH(Tracker!$E$2:$E$5000)=MONTH(Summary!L$30))*(DAY(Tracker!$E$2:$E$5000)=DAY(Summary!L$30))*((Tracker!$K$2:$K$5000)=("HI" &amp; LEFT($N$30,4) &amp; "-" &amp; $E53))*(Tracker!$J$2:$J$5000)))</f>
        <v/>
      </c>
    </row>
    <row r="54" spans="5:12" hidden="1" x14ac:dyDescent="0.35">
      <c r="E54" s="10" t="str">
        <f>'Charge Codes'!A25</f>
        <v>EN-ME-SAP</v>
      </c>
      <c r="F54" s="30" t="str" cm="1">
        <f t="array" ref="F54">IF(SUMPRODUCT((YEAR(Tracker!$E$2:$E$5000)=YEAR(Summary!F$30))*(MONTH(Tracker!$E$2:$E$5000)=MONTH(Summary!F$30))*(DAY(Tracker!$E$2:$E$5000)=DAY(Summary!F$30))*((Tracker!$K$2:$K$5000)=("HI" &amp; LEFT($N$30,4) &amp; "-" &amp; $E54))*(Tracker!$J$2:$J$5000))=0,"",SUMPRODUCT((YEAR(Tracker!$E$2:$E$5000)=YEAR(Summary!F$30))*(MONTH(Tracker!$E$2:$E$5000)=MONTH(Summary!F$30))*(DAY(Tracker!$E$2:$E$5000)=DAY(Summary!F$30))*((Tracker!$K$2:$K$5000)=("HI" &amp; LEFT($N$30,4) &amp; "-" &amp; $E54))*(Tracker!$J$2:$J$5000)))</f>
        <v/>
      </c>
      <c r="G54" s="30" t="str" cm="1">
        <f t="array" ref="G54">IF(SUMPRODUCT((YEAR(Tracker!$E$2:$E$5000)=YEAR(Summary!G$30))*(MONTH(Tracker!$E$2:$E$5000)=MONTH(Summary!G$30))*(DAY(Tracker!$E$2:$E$5000)=DAY(Summary!G$30))*((Tracker!$K$2:$K$5000)=("HI" &amp; LEFT($N$30,4) &amp; "-" &amp; $E54))*(Tracker!$J$2:$J$5000))=0,"",SUMPRODUCT((YEAR(Tracker!$E$2:$E$5000)=YEAR(Summary!G$30))*(MONTH(Tracker!$E$2:$E$5000)=MONTH(Summary!G$30))*(DAY(Tracker!$E$2:$E$5000)=DAY(Summary!G$30))*((Tracker!$K$2:$K$5000)=("HI" &amp; LEFT($N$30,4) &amp; "-" &amp; $E54))*(Tracker!$J$2:$J$5000)))</f>
        <v/>
      </c>
      <c r="H54" s="26" t="str" cm="1">
        <f t="array" ref="H54">IF(SUMPRODUCT((YEAR(Tracker!$E$2:$E$5000)=YEAR(Summary!H$30))*(MONTH(Tracker!$E$2:$E$5000)=MONTH(Summary!H$30))*(DAY(Tracker!$E$2:$E$5000)=DAY(Summary!H$30))*((Tracker!$K$2:$K$5000)=("HI" &amp; LEFT($N$30,4) &amp; "-" &amp; $E54))*(Tracker!$J$2:$J$5000))=0,"",SUMPRODUCT((YEAR(Tracker!$E$2:$E$5000)=YEAR(Summary!H$30))*(MONTH(Tracker!$E$2:$E$5000)=MONTH(Summary!H$30))*(DAY(Tracker!$E$2:$E$5000)=DAY(Summary!H$30))*((Tracker!$K$2:$K$5000)=("HI" &amp; LEFT($N$30,4) &amp; "-" &amp; $E54))*(Tracker!$J$2:$J$5000)))</f>
        <v/>
      </c>
      <c r="I54" s="30" t="str" cm="1">
        <f t="array" ref="I54">IF(SUMPRODUCT((YEAR(Tracker!$E$2:$E$5000)=YEAR(Summary!I$30))*(MONTH(Tracker!$E$2:$E$5000)=MONTH(Summary!I$30))*(DAY(Tracker!$E$2:$E$5000)=DAY(Summary!I$30))*((Tracker!$K$2:$K$5000)=("HI" &amp; LEFT($N$30,4) &amp; "-" &amp; $E54))*(Tracker!$J$2:$J$5000))=0,"",SUMPRODUCT((YEAR(Tracker!$E$2:$E$5000)=YEAR(Summary!I$30))*(MONTH(Tracker!$E$2:$E$5000)=MONTH(Summary!I$30))*(DAY(Tracker!$E$2:$E$5000)=DAY(Summary!I$30))*((Tracker!$K$2:$K$5000)=("HI" &amp; LEFT($N$30,4) &amp; "-" &amp; $E54))*(Tracker!$J$2:$J$5000)))</f>
        <v/>
      </c>
      <c r="J54" s="30" t="str" cm="1">
        <f t="array" ref="J54">IF(SUMPRODUCT((YEAR(Tracker!$E$2:$E$5000)=YEAR(Summary!J$30))*(MONTH(Tracker!$E$2:$E$5000)=MONTH(Summary!J$30))*(DAY(Tracker!$E$2:$E$5000)=DAY(Summary!J$30))*((Tracker!$K$2:$K$5000)=("HI" &amp; LEFT($N$30,4) &amp; "-" &amp; $E54))*(Tracker!$J$2:$J$5000))=0,"",SUMPRODUCT((YEAR(Tracker!$E$2:$E$5000)=YEAR(Summary!J$30))*(MONTH(Tracker!$E$2:$E$5000)=MONTH(Summary!J$30))*(DAY(Tracker!$E$2:$E$5000)=DAY(Summary!J$30))*((Tracker!$K$2:$K$5000)=("HI" &amp; LEFT($N$30,4) &amp; "-" &amp; $E54))*(Tracker!$J$2:$J$5000)))</f>
        <v/>
      </c>
      <c r="K54" s="30" t="str" cm="1">
        <f t="array" ref="K54">IF(SUMPRODUCT((YEAR(Tracker!$E$2:$E$5000)=YEAR(Summary!K$30))*(MONTH(Tracker!$E$2:$E$5000)=MONTH(Summary!K$30))*(DAY(Tracker!$E$2:$E$5000)=DAY(Summary!K$30))*((Tracker!$K$2:$K$5000)=("HI" &amp; LEFT($N$30,4) &amp; "-" &amp; $E54))*(Tracker!$J$2:$J$5000))=0,"",SUMPRODUCT((YEAR(Tracker!$E$2:$E$5000)=YEAR(Summary!K$30))*(MONTH(Tracker!$E$2:$E$5000)=MONTH(Summary!K$30))*(DAY(Tracker!$E$2:$E$5000)=DAY(Summary!K$30))*((Tracker!$K$2:$K$5000)=("HI" &amp; LEFT($N$30,4) &amp; "-" &amp; $E54))*(Tracker!$J$2:$J$5000)))</f>
        <v/>
      </c>
      <c r="L54" s="30" t="str" cm="1">
        <f t="array" ref="L54">IF(SUMPRODUCT((YEAR(Tracker!$E$2:$E$5000)=YEAR(Summary!L$30))*(MONTH(Tracker!$E$2:$E$5000)=MONTH(Summary!L$30))*(DAY(Tracker!$E$2:$E$5000)=DAY(Summary!L$30))*((Tracker!$K$2:$K$5000)=("HI" &amp; LEFT($N$30,4) &amp; "-" &amp; $E54))*(Tracker!$J$2:$J$5000))=0,"",SUMPRODUCT((YEAR(Tracker!$E$2:$E$5000)=YEAR(Summary!L$30))*(MONTH(Tracker!$E$2:$E$5000)=MONTH(Summary!L$30))*(DAY(Tracker!$E$2:$E$5000)=DAY(Summary!L$30))*((Tracker!$K$2:$K$5000)=("HI" &amp; LEFT($N$30,4) &amp; "-" &amp; $E54))*(Tracker!$J$2:$J$5000)))</f>
        <v/>
      </c>
    </row>
    <row r="55" spans="5:12" hidden="1" x14ac:dyDescent="0.35">
      <c r="E55" s="31" t="str">
        <f>'Charge Codes'!A26</f>
        <v>EN-ME-SPIN</v>
      </c>
      <c r="F55" s="30" t="str" cm="1">
        <f t="array" ref="F55">IF(SUMPRODUCT((YEAR(Tracker!$E$2:$E$5000)=YEAR(Summary!F$30))*(MONTH(Tracker!$E$2:$E$5000)=MONTH(Summary!F$30))*(DAY(Tracker!$E$2:$E$5000)=DAY(Summary!F$30))*((Tracker!$K$2:$K$5000)=("HI" &amp; LEFT($N$30,4) &amp; "-" &amp; $E55))*(Tracker!$J$2:$J$5000))=0,"",SUMPRODUCT((YEAR(Tracker!$E$2:$E$5000)=YEAR(Summary!F$30))*(MONTH(Tracker!$E$2:$E$5000)=MONTH(Summary!F$30))*(DAY(Tracker!$E$2:$E$5000)=DAY(Summary!F$30))*((Tracker!$K$2:$K$5000)=("HI" &amp; LEFT($N$30,4) &amp; "-" &amp; $E55))*(Tracker!$J$2:$J$5000)))</f>
        <v/>
      </c>
      <c r="G55" s="30" t="str" cm="1">
        <f t="array" ref="G55">IF(SUMPRODUCT((YEAR(Tracker!$E$2:$E$5000)=YEAR(Summary!G$30))*(MONTH(Tracker!$E$2:$E$5000)=MONTH(Summary!G$30))*(DAY(Tracker!$E$2:$E$5000)=DAY(Summary!G$30))*((Tracker!$K$2:$K$5000)=("HI" &amp; LEFT($N$30,4) &amp; "-" &amp; $E55))*(Tracker!$J$2:$J$5000))=0,"",SUMPRODUCT((YEAR(Tracker!$E$2:$E$5000)=YEAR(Summary!G$30))*(MONTH(Tracker!$E$2:$E$5000)=MONTH(Summary!G$30))*(DAY(Tracker!$E$2:$E$5000)=DAY(Summary!G$30))*((Tracker!$K$2:$K$5000)=("HI" &amp; LEFT($N$30,4) &amp; "-" &amp; $E55))*(Tracker!$J$2:$J$5000)))</f>
        <v/>
      </c>
      <c r="H55" s="26" t="str" cm="1">
        <f t="array" ref="H55">IF(SUMPRODUCT((YEAR(Tracker!$E$2:$E$5000)=YEAR(Summary!H$30))*(MONTH(Tracker!$E$2:$E$5000)=MONTH(Summary!H$30))*(DAY(Tracker!$E$2:$E$5000)=DAY(Summary!H$30))*((Tracker!$K$2:$K$5000)=("HI" &amp; LEFT($N$30,4) &amp; "-" &amp; $E55))*(Tracker!$J$2:$J$5000))=0,"",SUMPRODUCT((YEAR(Tracker!$E$2:$E$5000)=YEAR(Summary!H$30))*(MONTH(Tracker!$E$2:$E$5000)=MONTH(Summary!H$30))*(DAY(Tracker!$E$2:$E$5000)=DAY(Summary!H$30))*((Tracker!$K$2:$K$5000)=("HI" &amp; LEFT($N$30,4) &amp; "-" &amp; $E55))*(Tracker!$J$2:$J$5000)))</f>
        <v/>
      </c>
      <c r="I55" s="30" t="str" cm="1">
        <f t="array" ref="I55">IF(SUMPRODUCT((YEAR(Tracker!$E$2:$E$5000)=YEAR(Summary!I$30))*(MONTH(Tracker!$E$2:$E$5000)=MONTH(Summary!I$30))*(DAY(Tracker!$E$2:$E$5000)=DAY(Summary!I$30))*((Tracker!$K$2:$K$5000)=("HI" &amp; LEFT($N$30,4) &amp; "-" &amp; $E55))*(Tracker!$J$2:$J$5000))=0,"",SUMPRODUCT((YEAR(Tracker!$E$2:$E$5000)=YEAR(Summary!I$30))*(MONTH(Tracker!$E$2:$E$5000)=MONTH(Summary!I$30))*(DAY(Tracker!$E$2:$E$5000)=DAY(Summary!I$30))*((Tracker!$K$2:$K$5000)=("HI" &amp; LEFT($N$30,4) &amp; "-" &amp; $E55))*(Tracker!$J$2:$J$5000)))</f>
        <v/>
      </c>
      <c r="J55" s="30" t="str" cm="1">
        <f t="array" ref="J55">IF(SUMPRODUCT((YEAR(Tracker!$E$2:$E$5000)=YEAR(Summary!J$30))*(MONTH(Tracker!$E$2:$E$5000)=MONTH(Summary!J$30))*(DAY(Tracker!$E$2:$E$5000)=DAY(Summary!J$30))*((Tracker!$K$2:$K$5000)=("HI" &amp; LEFT($N$30,4) &amp; "-" &amp; $E55))*(Tracker!$J$2:$J$5000))=0,"",SUMPRODUCT((YEAR(Tracker!$E$2:$E$5000)=YEAR(Summary!J$30))*(MONTH(Tracker!$E$2:$E$5000)=MONTH(Summary!J$30))*(DAY(Tracker!$E$2:$E$5000)=DAY(Summary!J$30))*((Tracker!$K$2:$K$5000)=("HI" &amp; LEFT($N$30,4) &amp; "-" &amp; $E55))*(Tracker!$J$2:$J$5000)))</f>
        <v/>
      </c>
      <c r="K55" s="30" t="str" cm="1">
        <f t="array" ref="K55">IF(SUMPRODUCT((YEAR(Tracker!$E$2:$E$5000)=YEAR(Summary!K$30))*(MONTH(Tracker!$E$2:$E$5000)=MONTH(Summary!K$30))*(DAY(Tracker!$E$2:$E$5000)=DAY(Summary!K$30))*((Tracker!$K$2:$K$5000)=("HI" &amp; LEFT($N$30,4) &amp; "-" &amp; $E55))*(Tracker!$J$2:$J$5000))=0,"",SUMPRODUCT((YEAR(Tracker!$E$2:$E$5000)=YEAR(Summary!K$30))*(MONTH(Tracker!$E$2:$E$5000)=MONTH(Summary!K$30))*(DAY(Tracker!$E$2:$E$5000)=DAY(Summary!K$30))*((Tracker!$K$2:$K$5000)=("HI" &amp; LEFT($N$30,4) &amp; "-" &amp; $E55))*(Tracker!$J$2:$J$5000)))</f>
        <v/>
      </c>
      <c r="L55" s="30" t="str" cm="1">
        <f t="array" ref="L55">IF(SUMPRODUCT((YEAR(Tracker!$E$2:$E$5000)=YEAR(Summary!L$30))*(MONTH(Tracker!$E$2:$E$5000)=MONTH(Summary!L$30))*(DAY(Tracker!$E$2:$E$5000)=DAY(Summary!L$30))*((Tracker!$K$2:$K$5000)=("HI" &amp; LEFT($N$30,4) &amp; "-" &amp; $E55))*(Tracker!$J$2:$J$5000))=0,"",SUMPRODUCT((YEAR(Tracker!$E$2:$E$5000)=YEAR(Summary!L$30))*(MONTH(Tracker!$E$2:$E$5000)=MONTH(Summary!L$30))*(DAY(Tracker!$E$2:$E$5000)=DAY(Summary!L$30))*((Tracker!$K$2:$K$5000)=("HI" &amp; LEFT($N$30,4) &amp; "-" &amp; $E55))*(Tracker!$J$2:$J$5000)))</f>
        <v/>
      </c>
    </row>
    <row r="56" spans="5:12" hidden="1" x14ac:dyDescent="0.35">
      <c r="E56" s="31" t="str">
        <f>'Charge Codes'!A27</f>
        <v>EN-ME-SPOOL</v>
      </c>
      <c r="F56" s="30" t="str" cm="1">
        <f t="array" ref="F56">IF(SUMPRODUCT((YEAR(Tracker!$E$2:$E$5000)=YEAR(Summary!F$30))*(MONTH(Tracker!$E$2:$E$5000)=MONTH(Summary!F$30))*(DAY(Tracker!$E$2:$E$5000)=DAY(Summary!F$30))*((Tracker!$K$2:$K$5000)=("HI" &amp; LEFT($N$30,4) &amp; "-" &amp; $E56))*(Tracker!$J$2:$J$5000))=0,"",SUMPRODUCT((YEAR(Tracker!$E$2:$E$5000)=YEAR(Summary!F$30))*(MONTH(Tracker!$E$2:$E$5000)=MONTH(Summary!F$30))*(DAY(Tracker!$E$2:$E$5000)=DAY(Summary!F$30))*((Tracker!$K$2:$K$5000)=("HI" &amp; LEFT($N$30,4) &amp; "-" &amp; $E56))*(Tracker!$J$2:$J$5000)))</f>
        <v/>
      </c>
      <c r="G56" s="30" t="str" cm="1">
        <f t="array" ref="G56">IF(SUMPRODUCT((YEAR(Tracker!$E$2:$E$5000)=YEAR(Summary!G$30))*(MONTH(Tracker!$E$2:$E$5000)=MONTH(Summary!G$30))*(DAY(Tracker!$E$2:$E$5000)=DAY(Summary!G$30))*((Tracker!$K$2:$K$5000)=("HI" &amp; LEFT($N$30,4) &amp; "-" &amp; $E56))*(Tracker!$J$2:$J$5000))=0,"",SUMPRODUCT((YEAR(Tracker!$E$2:$E$5000)=YEAR(Summary!G$30))*(MONTH(Tracker!$E$2:$E$5000)=MONTH(Summary!G$30))*(DAY(Tracker!$E$2:$E$5000)=DAY(Summary!G$30))*((Tracker!$K$2:$K$5000)=("HI" &amp; LEFT($N$30,4) &amp; "-" &amp; $E56))*(Tracker!$J$2:$J$5000)))</f>
        <v/>
      </c>
      <c r="H56" s="26" t="str" cm="1">
        <f t="array" ref="H56">IF(SUMPRODUCT((YEAR(Tracker!$E$2:$E$5000)=YEAR(Summary!H$30))*(MONTH(Tracker!$E$2:$E$5000)=MONTH(Summary!H$30))*(DAY(Tracker!$E$2:$E$5000)=DAY(Summary!H$30))*((Tracker!$K$2:$K$5000)=("HI" &amp; LEFT($N$30,4) &amp; "-" &amp; $E56))*(Tracker!$J$2:$J$5000))=0,"",SUMPRODUCT((YEAR(Tracker!$E$2:$E$5000)=YEAR(Summary!H$30))*(MONTH(Tracker!$E$2:$E$5000)=MONTH(Summary!H$30))*(DAY(Tracker!$E$2:$E$5000)=DAY(Summary!H$30))*((Tracker!$K$2:$K$5000)=("HI" &amp; LEFT($N$30,4) &amp; "-" &amp; $E56))*(Tracker!$J$2:$J$5000)))</f>
        <v/>
      </c>
      <c r="I56" s="30" t="str" cm="1">
        <f t="array" ref="I56">IF(SUMPRODUCT((YEAR(Tracker!$E$2:$E$5000)=YEAR(Summary!I$30))*(MONTH(Tracker!$E$2:$E$5000)=MONTH(Summary!I$30))*(DAY(Tracker!$E$2:$E$5000)=DAY(Summary!I$30))*((Tracker!$K$2:$K$5000)=("HI" &amp; LEFT($N$30,4) &amp; "-" &amp; $E56))*(Tracker!$J$2:$J$5000))=0,"",SUMPRODUCT((YEAR(Tracker!$E$2:$E$5000)=YEAR(Summary!I$30))*(MONTH(Tracker!$E$2:$E$5000)=MONTH(Summary!I$30))*(DAY(Tracker!$E$2:$E$5000)=DAY(Summary!I$30))*((Tracker!$K$2:$K$5000)=("HI" &amp; LEFT($N$30,4) &amp; "-" &amp; $E56))*(Tracker!$J$2:$J$5000)))</f>
        <v/>
      </c>
      <c r="J56" s="30" t="str" cm="1">
        <f t="array" ref="J56">IF(SUMPRODUCT((YEAR(Tracker!$E$2:$E$5000)=YEAR(Summary!J$30))*(MONTH(Tracker!$E$2:$E$5000)=MONTH(Summary!J$30))*(DAY(Tracker!$E$2:$E$5000)=DAY(Summary!J$30))*((Tracker!$K$2:$K$5000)=("HI" &amp; LEFT($N$30,4) &amp; "-" &amp; $E56))*(Tracker!$J$2:$J$5000))=0,"",SUMPRODUCT((YEAR(Tracker!$E$2:$E$5000)=YEAR(Summary!J$30))*(MONTH(Tracker!$E$2:$E$5000)=MONTH(Summary!J$30))*(DAY(Tracker!$E$2:$E$5000)=DAY(Summary!J$30))*((Tracker!$K$2:$K$5000)=("HI" &amp; LEFT($N$30,4) &amp; "-" &amp; $E56))*(Tracker!$J$2:$J$5000)))</f>
        <v/>
      </c>
      <c r="K56" s="30" t="str" cm="1">
        <f t="array" ref="K56">IF(SUMPRODUCT((YEAR(Tracker!$E$2:$E$5000)=YEAR(Summary!K$30))*(MONTH(Tracker!$E$2:$E$5000)=MONTH(Summary!K$30))*(DAY(Tracker!$E$2:$E$5000)=DAY(Summary!K$30))*((Tracker!$K$2:$K$5000)=("HI" &amp; LEFT($N$30,4) &amp; "-" &amp; $E56))*(Tracker!$J$2:$J$5000))=0,"",SUMPRODUCT((YEAR(Tracker!$E$2:$E$5000)=YEAR(Summary!K$30))*(MONTH(Tracker!$E$2:$E$5000)=MONTH(Summary!K$30))*(DAY(Tracker!$E$2:$E$5000)=DAY(Summary!K$30))*((Tracker!$K$2:$K$5000)=("HI" &amp; LEFT($N$30,4) &amp; "-" &amp; $E56))*(Tracker!$J$2:$J$5000)))</f>
        <v/>
      </c>
      <c r="L56" s="30" t="str" cm="1">
        <f t="array" ref="L56">IF(SUMPRODUCT((YEAR(Tracker!$E$2:$E$5000)=YEAR(Summary!L$30))*(MONTH(Tracker!$E$2:$E$5000)=MONTH(Summary!L$30))*(DAY(Tracker!$E$2:$E$5000)=DAY(Summary!L$30))*((Tracker!$K$2:$K$5000)=("HI" &amp; LEFT($N$30,4) &amp; "-" &amp; $E56))*(Tracker!$J$2:$J$5000))=0,"",SUMPRODUCT((YEAR(Tracker!$E$2:$E$5000)=YEAR(Summary!L$30))*(MONTH(Tracker!$E$2:$E$5000)=MONTH(Summary!L$30))*(DAY(Tracker!$E$2:$E$5000)=DAY(Summary!L$30))*((Tracker!$K$2:$K$5000)=("HI" &amp; LEFT($N$30,4) &amp; "-" &amp; $E56))*(Tracker!$J$2:$J$5000)))</f>
        <v/>
      </c>
    </row>
    <row r="57" spans="5:12" hidden="1" x14ac:dyDescent="0.35">
      <c r="E57" s="31" t="str">
        <f>'Charge Codes'!A28</f>
        <v>EN-ME-TS</v>
      </c>
      <c r="F57" s="30" t="str" cm="1">
        <f t="array" ref="F57">IF(SUMPRODUCT((YEAR(Tracker!$E$2:$E$5000)=YEAR(Summary!F$30))*(MONTH(Tracker!$E$2:$E$5000)=MONTH(Summary!F$30))*(DAY(Tracker!$E$2:$E$5000)=DAY(Summary!F$30))*((Tracker!$K$2:$K$5000)=("HI" &amp; LEFT($N$30,4) &amp; "-" &amp; $E57))*(Tracker!$J$2:$J$5000))=0,"",SUMPRODUCT((YEAR(Tracker!$E$2:$E$5000)=YEAR(Summary!F$30))*(MONTH(Tracker!$E$2:$E$5000)=MONTH(Summary!F$30))*(DAY(Tracker!$E$2:$E$5000)=DAY(Summary!F$30))*((Tracker!$K$2:$K$5000)=("HI" &amp; LEFT($N$30,4) &amp; "-" &amp; $E57))*(Tracker!$J$2:$J$5000)))</f>
        <v/>
      </c>
      <c r="G57" s="30" t="str" cm="1">
        <f t="array" ref="G57">IF(SUMPRODUCT((YEAR(Tracker!$E$2:$E$5000)=YEAR(Summary!G$30))*(MONTH(Tracker!$E$2:$E$5000)=MONTH(Summary!G$30))*(DAY(Tracker!$E$2:$E$5000)=DAY(Summary!G$30))*((Tracker!$K$2:$K$5000)=("HI" &amp; LEFT($N$30,4) &amp; "-" &amp; $E57))*(Tracker!$J$2:$J$5000))=0,"",SUMPRODUCT((YEAR(Tracker!$E$2:$E$5000)=YEAR(Summary!G$30))*(MONTH(Tracker!$E$2:$E$5000)=MONTH(Summary!G$30))*(DAY(Tracker!$E$2:$E$5000)=DAY(Summary!G$30))*((Tracker!$K$2:$K$5000)=("HI" &amp; LEFT($N$30,4) &amp; "-" &amp; $E57))*(Tracker!$J$2:$J$5000)))</f>
        <v/>
      </c>
      <c r="H57" s="26" t="str" cm="1">
        <f t="array" ref="H57">IF(SUMPRODUCT((YEAR(Tracker!$E$2:$E$5000)=YEAR(Summary!H$30))*(MONTH(Tracker!$E$2:$E$5000)=MONTH(Summary!H$30))*(DAY(Tracker!$E$2:$E$5000)=DAY(Summary!H$30))*((Tracker!$K$2:$K$5000)=("HI" &amp; LEFT($N$30,4) &amp; "-" &amp; $E57))*(Tracker!$J$2:$J$5000))=0,"",SUMPRODUCT((YEAR(Tracker!$E$2:$E$5000)=YEAR(Summary!H$30))*(MONTH(Tracker!$E$2:$E$5000)=MONTH(Summary!H$30))*(DAY(Tracker!$E$2:$E$5000)=DAY(Summary!H$30))*((Tracker!$K$2:$K$5000)=("HI" &amp; LEFT($N$30,4) &amp; "-" &amp; $E57))*(Tracker!$J$2:$J$5000)))</f>
        <v/>
      </c>
      <c r="I57" s="30" t="str" cm="1">
        <f t="array" ref="I57">IF(SUMPRODUCT((YEAR(Tracker!$E$2:$E$5000)=YEAR(Summary!I$30))*(MONTH(Tracker!$E$2:$E$5000)=MONTH(Summary!I$30))*(DAY(Tracker!$E$2:$E$5000)=DAY(Summary!I$30))*((Tracker!$K$2:$K$5000)=("HI" &amp; LEFT($N$30,4) &amp; "-" &amp; $E57))*(Tracker!$J$2:$J$5000))=0,"",SUMPRODUCT((YEAR(Tracker!$E$2:$E$5000)=YEAR(Summary!I$30))*(MONTH(Tracker!$E$2:$E$5000)=MONTH(Summary!I$30))*(DAY(Tracker!$E$2:$E$5000)=DAY(Summary!I$30))*((Tracker!$K$2:$K$5000)=("HI" &amp; LEFT($N$30,4) &amp; "-" &amp; $E57))*(Tracker!$J$2:$J$5000)))</f>
        <v/>
      </c>
      <c r="J57" s="30" t="str" cm="1">
        <f t="array" ref="J57">IF(SUMPRODUCT((YEAR(Tracker!$E$2:$E$5000)=YEAR(Summary!J$30))*(MONTH(Tracker!$E$2:$E$5000)=MONTH(Summary!J$30))*(DAY(Tracker!$E$2:$E$5000)=DAY(Summary!J$30))*((Tracker!$K$2:$K$5000)=("HI" &amp; LEFT($N$30,4) &amp; "-" &amp; $E57))*(Tracker!$J$2:$J$5000))=0,"",SUMPRODUCT((YEAR(Tracker!$E$2:$E$5000)=YEAR(Summary!J$30))*(MONTH(Tracker!$E$2:$E$5000)=MONTH(Summary!J$30))*(DAY(Tracker!$E$2:$E$5000)=DAY(Summary!J$30))*((Tracker!$K$2:$K$5000)=("HI" &amp; LEFT($N$30,4) &amp; "-" &amp; $E57))*(Tracker!$J$2:$J$5000)))</f>
        <v/>
      </c>
      <c r="K57" s="30" t="str" cm="1">
        <f t="array" ref="K57">IF(SUMPRODUCT((YEAR(Tracker!$E$2:$E$5000)=YEAR(Summary!K$30))*(MONTH(Tracker!$E$2:$E$5000)=MONTH(Summary!K$30))*(DAY(Tracker!$E$2:$E$5000)=DAY(Summary!K$30))*((Tracker!$K$2:$K$5000)=("HI" &amp; LEFT($N$30,4) &amp; "-" &amp; $E57))*(Tracker!$J$2:$J$5000))=0,"",SUMPRODUCT((YEAR(Tracker!$E$2:$E$5000)=YEAR(Summary!K$30))*(MONTH(Tracker!$E$2:$E$5000)=MONTH(Summary!K$30))*(DAY(Tracker!$E$2:$E$5000)=DAY(Summary!K$30))*((Tracker!$K$2:$K$5000)=("HI" &amp; LEFT($N$30,4) &amp; "-" &amp; $E57))*(Tracker!$J$2:$J$5000)))</f>
        <v/>
      </c>
      <c r="L57" s="30" t="str" cm="1">
        <f t="array" ref="L57">IF(SUMPRODUCT((YEAR(Tracker!$E$2:$E$5000)=YEAR(Summary!L$30))*(MONTH(Tracker!$E$2:$E$5000)=MONTH(Summary!L$30))*(DAY(Tracker!$E$2:$E$5000)=DAY(Summary!L$30))*((Tracker!$K$2:$K$5000)=("HI" &amp; LEFT($N$30,4) &amp; "-" &amp; $E57))*(Tracker!$J$2:$J$5000))=0,"",SUMPRODUCT((YEAR(Tracker!$E$2:$E$5000)=YEAR(Summary!L$30))*(MONTH(Tracker!$E$2:$E$5000)=MONTH(Summary!L$30))*(DAY(Tracker!$E$2:$E$5000)=DAY(Summary!L$30))*((Tracker!$K$2:$K$5000)=("HI" &amp; LEFT($N$30,4) &amp; "-" &amp; $E57))*(Tracker!$J$2:$J$5000)))</f>
        <v/>
      </c>
    </row>
    <row r="58" spans="5:12" hidden="1" x14ac:dyDescent="0.35">
      <c r="E58" s="31" t="str">
        <f>'Charge Codes'!A29</f>
        <v>IC-EN</v>
      </c>
      <c r="F58" s="30" t="str" cm="1">
        <f t="array" ref="F58">IF(SUMPRODUCT((YEAR(Tracker!$E$2:$E$5000)=YEAR(Summary!F$30))*(MONTH(Tracker!$E$2:$E$5000)=MONTH(Summary!F$30))*(DAY(Tracker!$E$2:$E$5000)=DAY(Summary!F$30))*((Tracker!$K$2:$K$5000)=("HI" &amp; LEFT($N$30,4) &amp; "-" &amp; $E58))*(Tracker!$J$2:$J$5000))=0,"",SUMPRODUCT((YEAR(Tracker!$E$2:$E$5000)=YEAR(Summary!F$30))*(MONTH(Tracker!$E$2:$E$5000)=MONTH(Summary!F$30))*(DAY(Tracker!$E$2:$E$5000)=DAY(Summary!F$30))*((Tracker!$K$2:$K$5000)=("HI" &amp; LEFT($N$30,4) &amp; "-" &amp; $E58))*(Tracker!$J$2:$J$5000)))</f>
        <v/>
      </c>
      <c r="G58" s="30" t="str" cm="1">
        <f t="array" ref="G58">IF(SUMPRODUCT((YEAR(Tracker!$E$2:$E$5000)=YEAR(Summary!G$30))*(MONTH(Tracker!$E$2:$E$5000)=MONTH(Summary!G$30))*(DAY(Tracker!$E$2:$E$5000)=DAY(Summary!G$30))*((Tracker!$K$2:$K$5000)=("HI" &amp; LEFT($N$30,4) &amp; "-" &amp; $E58))*(Tracker!$J$2:$J$5000))=0,"",SUMPRODUCT((YEAR(Tracker!$E$2:$E$5000)=YEAR(Summary!G$30))*(MONTH(Tracker!$E$2:$E$5000)=MONTH(Summary!G$30))*(DAY(Tracker!$E$2:$E$5000)=DAY(Summary!G$30))*((Tracker!$K$2:$K$5000)=("HI" &amp; LEFT($N$30,4) &amp; "-" &amp; $E58))*(Tracker!$J$2:$J$5000)))</f>
        <v/>
      </c>
      <c r="H58" s="26" t="str" cm="1">
        <f t="array" ref="H58">IF(SUMPRODUCT((YEAR(Tracker!$E$2:$E$5000)=YEAR(Summary!H$30))*(MONTH(Tracker!$E$2:$E$5000)=MONTH(Summary!H$30))*(DAY(Tracker!$E$2:$E$5000)=DAY(Summary!H$30))*((Tracker!$K$2:$K$5000)=("HI" &amp; LEFT($N$30,4) &amp; "-" &amp; $E58))*(Tracker!$J$2:$J$5000))=0,"",SUMPRODUCT((YEAR(Tracker!$E$2:$E$5000)=YEAR(Summary!H$30))*(MONTH(Tracker!$E$2:$E$5000)=MONTH(Summary!H$30))*(DAY(Tracker!$E$2:$E$5000)=DAY(Summary!H$30))*((Tracker!$K$2:$K$5000)=("HI" &amp; LEFT($N$30,4) &amp; "-" &amp; $E58))*(Tracker!$J$2:$J$5000)))</f>
        <v/>
      </c>
      <c r="I58" s="30" t="str" cm="1">
        <f t="array" ref="I58">IF(SUMPRODUCT((YEAR(Tracker!$E$2:$E$5000)=YEAR(Summary!I$30))*(MONTH(Tracker!$E$2:$E$5000)=MONTH(Summary!I$30))*(DAY(Tracker!$E$2:$E$5000)=DAY(Summary!I$30))*((Tracker!$K$2:$K$5000)=("HI" &amp; LEFT($N$30,4) &amp; "-" &amp; $E58))*(Tracker!$J$2:$J$5000))=0,"",SUMPRODUCT((YEAR(Tracker!$E$2:$E$5000)=YEAR(Summary!I$30))*(MONTH(Tracker!$E$2:$E$5000)=MONTH(Summary!I$30))*(DAY(Tracker!$E$2:$E$5000)=DAY(Summary!I$30))*((Tracker!$K$2:$K$5000)=("HI" &amp; LEFT($N$30,4) &amp; "-" &amp; $E58))*(Tracker!$J$2:$J$5000)))</f>
        <v/>
      </c>
      <c r="J58" s="30" t="str" cm="1">
        <f t="array" ref="J58">IF(SUMPRODUCT((YEAR(Tracker!$E$2:$E$5000)=YEAR(Summary!J$30))*(MONTH(Tracker!$E$2:$E$5000)=MONTH(Summary!J$30))*(DAY(Tracker!$E$2:$E$5000)=DAY(Summary!J$30))*((Tracker!$K$2:$K$5000)=("HI" &amp; LEFT($N$30,4) &amp; "-" &amp; $E58))*(Tracker!$J$2:$J$5000))=0,"",SUMPRODUCT((YEAR(Tracker!$E$2:$E$5000)=YEAR(Summary!J$30))*(MONTH(Tracker!$E$2:$E$5000)=MONTH(Summary!J$30))*(DAY(Tracker!$E$2:$E$5000)=DAY(Summary!J$30))*((Tracker!$K$2:$K$5000)=("HI" &amp; LEFT($N$30,4) &amp; "-" &amp; $E58))*(Tracker!$J$2:$J$5000)))</f>
        <v/>
      </c>
      <c r="K58" s="30" t="str" cm="1">
        <f t="array" ref="K58">IF(SUMPRODUCT((YEAR(Tracker!$E$2:$E$5000)=YEAR(Summary!K$30))*(MONTH(Tracker!$E$2:$E$5000)=MONTH(Summary!K$30))*(DAY(Tracker!$E$2:$E$5000)=DAY(Summary!K$30))*((Tracker!$K$2:$K$5000)=("HI" &amp; LEFT($N$30,4) &amp; "-" &amp; $E58))*(Tracker!$J$2:$J$5000))=0,"",SUMPRODUCT((YEAR(Tracker!$E$2:$E$5000)=YEAR(Summary!K$30))*(MONTH(Tracker!$E$2:$E$5000)=MONTH(Summary!K$30))*(DAY(Tracker!$E$2:$E$5000)=DAY(Summary!K$30))*((Tracker!$K$2:$K$5000)=("HI" &amp; LEFT($N$30,4) &amp; "-" &amp; $E58))*(Tracker!$J$2:$J$5000)))</f>
        <v/>
      </c>
      <c r="L58" s="30" t="str" cm="1">
        <f t="array" ref="L58">IF(SUMPRODUCT((YEAR(Tracker!$E$2:$E$5000)=YEAR(Summary!L$30))*(MONTH(Tracker!$E$2:$E$5000)=MONTH(Summary!L$30))*(DAY(Tracker!$E$2:$E$5000)=DAY(Summary!L$30))*((Tracker!$K$2:$K$5000)=("HI" &amp; LEFT($N$30,4) &amp; "-" &amp; $E58))*(Tracker!$J$2:$J$5000))=0,"",SUMPRODUCT((YEAR(Tracker!$E$2:$E$5000)=YEAR(Summary!L$30))*(MONTH(Tracker!$E$2:$E$5000)=MONTH(Summary!L$30))*(DAY(Tracker!$E$2:$E$5000)=DAY(Summary!L$30))*((Tracker!$K$2:$K$5000)=("HI" &amp; LEFT($N$30,4) &amp; "-" &amp; $E58))*(Tracker!$J$2:$J$5000)))</f>
        <v/>
      </c>
    </row>
    <row r="59" spans="5:12" hidden="1" x14ac:dyDescent="0.35">
      <c r="E59" s="31" t="str">
        <f>'Charge Codes'!A30</f>
        <v>NCR</v>
      </c>
      <c r="F59" s="30" t="str" cm="1">
        <f t="array" ref="F59">IF(SUMPRODUCT((YEAR(Tracker!$E$2:$E$5000)=YEAR(Summary!F$30))*(MONTH(Tracker!$E$2:$E$5000)=MONTH(Summary!F$30))*(DAY(Tracker!$E$2:$E$5000)=DAY(Summary!F$30))*((Tracker!$K$2:$K$5000)=("HI" &amp; LEFT($N$30,4) &amp; "-" &amp; $E59))*(Tracker!$J$2:$J$5000))=0,"",SUMPRODUCT((YEAR(Tracker!$E$2:$E$5000)=YEAR(Summary!F$30))*(MONTH(Tracker!$E$2:$E$5000)=MONTH(Summary!F$30))*(DAY(Tracker!$E$2:$E$5000)=DAY(Summary!F$30))*((Tracker!$K$2:$K$5000)=("HI" &amp; LEFT($N$30,4) &amp; "-" &amp; $E59))*(Tracker!$J$2:$J$5000)))</f>
        <v/>
      </c>
      <c r="G59" s="30" t="str" cm="1">
        <f t="array" ref="G59">IF(SUMPRODUCT((YEAR(Tracker!$E$2:$E$5000)=YEAR(Summary!G$30))*(MONTH(Tracker!$E$2:$E$5000)=MONTH(Summary!G$30))*(DAY(Tracker!$E$2:$E$5000)=DAY(Summary!G$30))*((Tracker!$K$2:$K$5000)=("HI" &amp; LEFT($N$30,4) &amp; "-" &amp; $E59))*(Tracker!$J$2:$J$5000))=0,"",SUMPRODUCT((YEAR(Tracker!$E$2:$E$5000)=YEAR(Summary!G$30))*(MONTH(Tracker!$E$2:$E$5000)=MONTH(Summary!G$30))*(DAY(Tracker!$E$2:$E$5000)=DAY(Summary!G$30))*((Tracker!$K$2:$K$5000)=("HI" &amp; LEFT($N$30,4) &amp; "-" &amp; $E59))*(Tracker!$J$2:$J$5000)))</f>
        <v/>
      </c>
      <c r="H59" s="26" t="str" cm="1">
        <f t="array" ref="H59">IF(SUMPRODUCT((YEAR(Tracker!$E$2:$E$5000)=YEAR(Summary!H$30))*(MONTH(Tracker!$E$2:$E$5000)=MONTH(Summary!H$30))*(DAY(Tracker!$E$2:$E$5000)=DAY(Summary!H$30))*((Tracker!$K$2:$K$5000)=("HI" &amp; LEFT($N$30,4) &amp; "-" &amp; $E59))*(Tracker!$J$2:$J$5000))=0,"",SUMPRODUCT((YEAR(Tracker!$E$2:$E$5000)=YEAR(Summary!H$30))*(MONTH(Tracker!$E$2:$E$5000)=MONTH(Summary!H$30))*(DAY(Tracker!$E$2:$E$5000)=DAY(Summary!H$30))*((Tracker!$K$2:$K$5000)=("HI" &amp; LEFT($N$30,4) &amp; "-" &amp; $E59))*(Tracker!$J$2:$J$5000)))</f>
        <v/>
      </c>
      <c r="I59" s="30" t="str" cm="1">
        <f t="array" ref="I59">IF(SUMPRODUCT((YEAR(Tracker!$E$2:$E$5000)=YEAR(Summary!I$30))*(MONTH(Tracker!$E$2:$E$5000)=MONTH(Summary!I$30))*(DAY(Tracker!$E$2:$E$5000)=DAY(Summary!I$30))*((Tracker!$K$2:$K$5000)=("HI" &amp; LEFT($N$30,4) &amp; "-" &amp; $E59))*(Tracker!$J$2:$J$5000))=0,"",SUMPRODUCT((YEAR(Tracker!$E$2:$E$5000)=YEAR(Summary!I$30))*(MONTH(Tracker!$E$2:$E$5000)=MONTH(Summary!I$30))*(DAY(Tracker!$E$2:$E$5000)=DAY(Summary!I$30))*((Tracker!$K$2:$K$5000)=("HI" &amp; LEFT($N$30,4) &amp; "-" &amp; $E59))*(Tracker!$J$2:$J$5000)))</f>
        <v/>
      </c>
      <c r="J59" s="30" t="str" cm="1">
        <f t="array" ref="J59">IF(SUMPRODUCT((YEAR(Tracker!$E$2:$E$5000)=YEAR(Summary!J$30))*(MONTH(Tracker!$E$2:$E$5000)=MONTH(Summary!J$30))*(DAY(Tracker!$E$2:$E$5000)=DAY(Summary!J$30))*((Tracker!$K$2:$K$5000)=("HI" &amp; LEFT($N$30,4) &amp; "-" &amp; $E59))*(Tracker!$J$2:$J$5000))=0,"",SUMPRODUCT((YEAR(Tracker!$E$2:$E$5000)=YEAR(Summary!J$30))*(MONTH(Tracker!$E$2:$E$5000)=MONTH(Summary!J$30))*(DAY(Tracker!$E$2:$E$5000)=DAY(Summary!J$30))*((Tracker!$K$2:$K$5000)=("HI" &amp; LEFT($N$30,4) &amp; "-" &amp; $E59))*(Tracker!$J$2:$J$5000)))</f>
        <v/>
      </c>
      <c r="K59" s="30" t="str" cm="1">
        <f t="array" ref="K59">IF(SUMPRODUCT((YEAR(Tracker!$E$2:$E$5000)=YEAR(Summary!K$30))*(MONTH(Tracker!$E$2:$E$5000)=MONTH(Summary!K$30))*(DAY(Tracker!$E$2:$E$5000)=DAY(Summary!K$30))*((Tracker!$K$2:$K$5000)=("HI" &amp; LEFT($N$30,4) &amp; "-" &amp; $E59))*(Tracker!$J$2:$J$5000))=0,"",SUMPRODUCT((YEAR(Tracker!$E$2:$E$5000)=YEAR(Summary!K$30))*(MONTH(Tracker!$E$2:$E$5000)=MONTH(Summary!K$30))*(DAY(Tracker!$E$2:$E$5000)=DAY(Summary!K$30))*((Tracker!$K$2:$K$5000)=("HI" &amp; LEFT($N$30,4) &amp; "-" &amp; $E59))*(Tracker!$J$2:$J$5000)))</f>
        <v/>
      </c>
      <c r="L59" s="30" t="str" cm="1">
        <f t="array" ref="L59">IF(SUMPRODUCT((YEAR(Tracker!$E$2:$E$5000)=YEAR(Summary!L$30))*(MONTH(Tracker!$E$2:$E$5000)=MONTH(Summary!L$30))*(DAY(Tracker!$E$2:$E$5000)=DAY(Summary!L$30))*((Tracker!$K$2:$K$5000)=("HI" &amp; LEFT($N$30,4) &amp; "-" &amp; $E59))*(Tracker!$J$2:$J$5000))=0,"",SUMPRODUCT((YEAR(Tracker!$E$2:$E$5000)=YEAR(Summary!L$30))*(MONTH(Tracker!$E$2:$E$5000)=MONTH(Summary!L$30))*(DAY(Tracker!$E$2:$E$5000)=DAY(Summary!L$30))*((Tracker!$K$2:$K$5000)=("HI" &amp; LEFT($N$30,4) &amp; "-" &amp; $E59))*(Tracker!$J$2:$J$5000)))</f>
        <v/>
      </c>
    </row>
    <row r="60" spans="5:12" hidden="1" x14ac:dyDescent="0.35">
      <c r="E60" s="31" t="str">
        <f>'Charge Codes'!A31</f>
        <v>NPRM</v>
      </c>
      <c r="F60" s="30" t="str" cm="1">
        <f t="array" ref="F60">IF(SUMPRODUCT((YEAR(Tracker!$E$2:$E$5000)=YEAR(Summary!F$30))*(MONTH(Tracker!$E$2:$E$5000)=MONTH(Summary!F$30))*(DAY(Tracker!$E$2:$E$5000)=DAY(Summary!F$30))*((Tracker!$K$2:$K$5000)=("HI" &amp; LEFT($N$30,4) &amp; "-" &amp; $E60))*(Tracker!$J$2:$J$5000))=0,"",SUMPRODUCT((YEAR(Tracker!$E$2:$E$5000)=YEAR(Summary!F$30))*(MONTH(Tracker!$E$2:$E$5000)=MONTH(Summary!F$30))*(DAY(Tracker!$E$2:$E$5000)=DAY(Summary!F$30))*((Tracker!$K$2:$K$5000)=("HI" &amp; LEFT($N$30,4) &amp; "-" &amp; $E60))*(Tracker!$J$2:$J$5000)))</f>
        <v/>
      </c>
      <c r="G60" s="30" t="str" cm="1">
        <f t="array" ref="G60">IF(SUMPRODUCT((YEAR(Tracker!$E$2:$E$5000)=YEAR(Summary!G$30))*(MONTH(Tracker!$E$2:$E$5000)=MONTH(Summary!G$30))*(DAY(Tracker!$E$2:$E$5000)=DAY(Summary!G$30))*((Tracker!$K$2:$K$5000)=("HI" &amp; LEFT($N$30,4) &amp; "-" &amp; $E60))*(Tracker!$J$2:$J$5000))=0,"",SUMPRODUCT((YEAR(Tracker!$E$2:$E$5000)=YEAR(Summary!G$30))*(MONTH(Tracker!$E$2:$E$5000)=MONTH(Summary!G$30))*(DAY(Tracker!$E$2:$E$5000)=DAY(Summary!G$30))*((Tracker!$K$2:$K$5000)=("HI" &amp; LEFT($N$30,4) &amp; "-" &amp; $E60))*(Tracker!$J$2:$J$5000)))</f>
        <v/>
      </c>
      <c r="H60" s="26" t="str" cm="1">
        <f t="array" ref="H60">IF(SUMPRODUCT((YEAR(Tracker!$E$2:$E$5000)=YEAR(Summary!H$30))*(MONTH(Tracker!$E$2:$E$5000)=MONTH(Summary!H$30))*(DAY(Tracker!$E$2:$E$5000)=DAY(Summary!H$30))*((Tracker!$K$2:$K$5000)=("HI" &amp; LEFT($N$30,4) &amp; "-" &amp; $E60))*(Tracker!$J$2:$J$5000))=0,"",SUMPRODUCT((YEAR(Tracker!$E$2:$E$5000)=YEAR(Summary!H$30))*(MONTH(Tracker!$E$2:$E$5000)=MONTH(Summary!H$30))*(DAY(Tracker!$E$2:$E$5000)=DAY(Summary!H$30))*((Tracker!$K$2:$K$5000)=("HI" &amp; LEFT($N$30,4) &amp; "-" &amp; $E60))*(Tracker!$J$2:$J$5000)))</f>
        <v/>
      </c>
      <c r="I60" s="30" t="str" cm="1">
        <f t="array" ref="I60">IF(SUMPRODUCT((YEAR(Tracker!$E$2:$E$5000)=YEAR(Summary!I$30))*(MONTH(Tracker!$E$2:$E$5000)=MONTH(Summary!I$30))*(DAY(Tracker!$E$2:$E$5000)=DAY(Summary!I$30))*((Tracker!$K$2:$K$5000)=("HI" &amp; LEFT($N$30,4) &amp; "-" &amp; $E60))*(Tracker!$J$2:$J$5000))=0,"",SUMPRODUCT((YEAR(Tracker!$E$2:$E$5000)=YEAR(Summary!I$30))*(MONTH(Tracker!$E$2:$E$5000)=MONTH(Summary!I$30))*(DAY(Tracker!$E$2:$E$5000)=DAY(Summary!I$30))*((Tracker!$K$2:$K$5000)=("HI" &amp; LEFT($N$30,4) &amp; "-" &amp; $E60))*(Tracker!$J$2:$J$5000)))</f>
        <v/>
      </c>
      <c r="J60" s="30" t="str" cm="1">
        <f t="array" ref="J60">IF(SUMPRODUCT((YEAR(Tracker!$E$2:$E$5000)=YEAR(Summary!J$30))*(MONTH(Tracker!$E$2:$E$5000)=MONTH(Summary!J$30))*(DAY(Tracker!$E$2:$E$5000)=DAY(Summary!J$30))*((Tracker!$K$2:$K$5000)=("HI" &amp; LEFT($N$30,4) &amp; "-" &amp; $E60))*(Tracker!$J$2:$J$5000))=0,"",SUMPRODUCT((YEAR(Tracker!$E$2:$E$5000)=YEAR(Summary!J$30))*(MONTH(Tracker!$E$2:$E$5000)=MONTH(Summary!J$30))*(DAY(Tracker!$E$2:$E$5000)=DAY(Summary!J$30))*((Tracker!$K$2:$K$5000)=("HI" &amp; LEFT($N$30,4) &amp; "-" &amp; $E60))*(Tracker!$J$2:$J$5000)))</f>
        <v/>
      </c>
      <c r="K60" s="30" t="str" cm="1">
        <f t="array" ref="K60">IF(SUMPRODUCT((YEAR(Tracker!$E$2:$E$5000)=YEAR(Summary!K$30))*(MONTH(Tracker!$E$2:$E$5000)=MONTH(Summary!K$30))*(DAY(Tracker!$E$2:$E$5000)=DAY(Summary!K$30))*((Tracker!$K$2:$K$5000)=("HI" &amp; LEFT($N$30,4) &amp; "-" &amp; $E60))*(Tracker!$J$2:$J$5000))=0,"",SUMPRODUCT((YEAR(Tracker!$E$2:$E$5000)=YEAR(Summary!K$30))*(MONTH(Tracker!$E$2:$E$5000)=MONTH(Summary!K$30))*(DAY(Tracker!$E$2:$E$5000)=DAY(Summary!K$30))*((Tracker!$K$2:$K$5000)=("HI" &amp; LEFT($N$30,4) &amp; "-" &amp; $E60))*(Tracker!$J$2:$J$5000)))</f>
        <v/>
      </c>
      <c r="L60" s="30" t="str" cm="1">
        <f t="array" ref="L60">IF(SUMPRODUCT((YEAR(Tracker!$E$2:$E$5000)=YEAR(Summary!L$30))*(MONTH(Tracker!$E$2:$E$5000)=MONTH(Summary!L$30))*(DAY(Tracker!$E$2:$E$5000)=DAY(Summary!L$30))*((Tracker!$K$2:$K$5000)=("HI" &amp; LEFT($N$30,4) &amp; "-" &amp; $E60))*(Tracker!$J$2:$J$5000))=0,"",SUMPRODUCT((YEAR(Tracker!$E$2:$E$5000)=YEAR(Summary!L$30))*(MONTH(Tracker!$E$2:$E$5000)=MONTH(Summary!L$30))*(DAY(Tracker!$E$2:$E$5000)=DAY(Summary!L$30))*((Tracker!$K$2:$K$5000)=("HI" &amp; LEFT($N$30,4) &amp; "-" &amp; $E60))*(Tracker!$J$2:$J$5000)))</f>
        <v/>
      </c>
    </row>
    <row r="61" spans="5:12" hidden="1" x14ac:dyDescent="0.35">
      <c r="E61" s="31" t="str">
        <f>'Charge Codes'!A32</f>
        <v>OG5-IP-00150-002</v>
      </c>
      <c r="F61" s="30" t="str" cm="1">
        <f t="array" ref="F61">IF(SUMPRODUCT((YEAR(Tracker!$E$2:$E$5000)=YEAR(Summary!F$30))*(MONTH(Tracker!$E$2:$E$5000)=MONTH(Summary!F$30))*(DAY(Tracker!$E$2:$E$5000)=DAY(Summary!F$30))*((Tracker!$K$2:$K$5000)=("HI" &amp; LEFT($N$30,4) &amp; "-" &amp; $E61))*(Tracker!$J$2:$J$5000))=0,"",SUMPRODUCT((YEAR(Tracker!$E$2:$E$5000)=YEAR(Summary!F$30))*(MONTH(Tracker!$E$2:$E$5000)=MONTH(Summary!F$30))*(DAY(Tracker!$E$2:$E$5000)=DAY(Summary!F$30))*((Tracker!$K$2:$K$5000)=("HI" &amp; LEFT($N$30,4) &amp; "-" &amp; $E61))*(Tracker!$J$2:$J$5000)))</f>
        <v/>
      </c>
      <c r="G61" s="30" t="str" cm="1">
        <f t="array" ref="G61">IF(SUMPRODUCT((YEAR(Tracker!$E$2:$E$5000)=YEAR(Summary!G$30))*(MONTH(Tracker!$E$2:$E$5000)=MONTH(Summary!G$30))*(DAY(Tracker!$E$2:$E$5000)=DAY(Summary!G$30))*((Tracker!$K$2:$K$5000)=("HI" &amp; LEFT($N$30,4) &amp; "-" &amp; $E61))*(Tracker!$J$2:$J$5000))=0,"",SUMPRODUCT((YEAR(Tracker!$E$2:$E$5000)=YEAR(Summary!G$30))*(MONTH(Tracker!$E$2:$E$5000)=MONTH(Summary!G$30))*(DAY(Tracker!$E$2:$E$5000)=DAY(Summary!G$30))*((Tracker!$K$2:$K$5000)=("HI" &amp; LEFT($N$30,4) &amp; "-" &amp; $E61))*(Tracker!$J$2:$J$5000)))</f>
        <v/>
      </c>
      <c r="H61" s="26" t="str" cm="1">
        <f t="array" ref="H61">IF(SUMPRODUCT((YEAR(Tracker!$E$2:$E$5000)=YEAR(Summary!H$30))*(MONTH(Tracker!$E$2:$E$5000)=MONTH(Summary!H$30))*(DAY(Tracker!$E$2:$E$5000)=DAY(Summary!H$30))*((Tracker!$K$2:$K$5000)=("HI" &amp; LEFT($N$30,4) &amp; "-" &amp; $E61))*(Tracker!$J$2:$J$5000))=0,"",SUMPRODUCT((YEAR(Tracker!$E$2:$E$5000)=YEAR(Summary!H$30))*(MONTH(Tracker!$E$2:$E$5000)=MONTH(Summary!H$30))*(DAY(Tracker!$E$2:$E$5000)=DAY(Summary!H$30))*((Tracker!$K$2:$K$5000)=("HI" &amp; LEFT($N$30,4) &amp; "-" &amp; $E61))*(Tracker!$J$2:$J$5000)))</f>
        <v/>
      </c>
      <c r="I61" s="30" t="str" cm="1">
        <f t="array" ref="I61">IF(SUMPRODUCT((YEAR(Tracker!$E$2:$E$5000)=YEAR(Summary!I$30))*(MONTH(Tracker!$E$2:$E$5000)=MONTH(Summary!I$30))*(DAY(Tracker!$E$2:$E$5000)=DAY(Summary!I$30))*((Tracker!$K$2:$K$5000)=("HI" &amp; LEFT($N$30,4) &amp; "-" &amp; $E61))*(Tracker!$J$2:$J$5000))=0,"",SUMPRODUCT((YEAR(Tracker!$E$2:$E$5000)=YEAR(Summary!I$30))*(MONTH(Tracker!$E$2:$E$5000)=MONTH(Summary!I$30))*(DAY(Tracker!$E$2:$E$5000)=DAY(Summary!I$30))*((Tracker!$K$2:$K$5000)=("HI" &amp; LEFT($N$30,4) &amp; "-" &amp; $E61))*(Tracker!$J$2:$J$5000)))</f>
        <v/>
      </c>
      <c r="J61" s="30" t="str" cm="1">
        <f t="array" ref="J61">IF(SUMPRODUCT((YEAR(Tracker!$E$2:$E$5000)=YEAR(Summary!J$30))*(MONTH(Tracker!$E$2:$E$5000)=MONTH(Summary!J$30))*(DAY(Tracker!$E$2:$E$5000)=DAY(Summary!J$30))*((Tracker!$K$2:$K$5000)=("HI" &amp; LEFT($N$30,4) &amp; "-" &amp; $E61))*(Tracker!$J$2:$J$5000))=0,"",SUMPRODUCT((YEAR(Tracker!$E$2:$E$5000)=YEAR(Summary!J$30))*(MONTH(Tracker!$E$2:$E$5000)=MONTH(Summary!J$30))*(DAY(Tracker!$E$2:$E$5000)=DAY(Summary!J$30))*((Tracker!$K$2:$K$5000)=("HI" &amp; LEFT($N$30,4) &amp; "-" &amp; $E61))*(Tracker!$J$2:$J$5000)))</f>
        <v/>
      </c>
      <c r="K61" s="30" t="str" cm="1">
        <f t="array" ref="K61">IF(SUMPRODUCT((YEAR(Tracker!$E$2:$E$5000)=YEAR(Summary!K$30))*(MONTH(Tracker!$E$2:$E$5000)=MONTH(Summary!K$30))*(DAY(Tracker!$E$2:$E$5000)=DAY(Summary!K$30))*((Tracker!$K$2:$K$5000)=("HI" &amp; LEFT($N$30,4) &amp; "-" &amp; $E61))*(Tracker!$J$2:$J$5000))=0,"",SUMPRODUCT((YEAR(Tracker!$E$2:$E$5000)=YEAR(Summary!K$30))*(MONTH(Tracker!$E$2:$E$5000)=MONTH(Summary!K$30))*(DAY(Tracker!$E$2:$E$5000)=DAY(Summary!K$30))*((Tracker!$K$2:$K$5000)=("HI" &amp; LEFT($N$30,4) &amp; "-" &amp; $E61))*(Tracker!$J$2:$J$5000)))</f>
        <v/>
      </c>
      <c r="L61" s="30" t="str" cm="1">
        <f t="array" ref="L61">IF(SUMPRODUCT((YEAR(Tracker!$E$2:$E$5000)=YEAR(Summary!L$30))*(MONTH(Tracker!$E$2:$E$5000)=MONTH(Summary!L$30))*(DAY(Tracker!$E$2:$E$5000)=DAY(Summary!L$30))*((Tracker!$K$2:$K$5000)=("HI" &amp; LEFT($N$30,4) &amp; "-" &amp; $E61))*(Tracker!$J$2:$J$5000))=0,"",SUMPRODUCT((YEAR(Tracker!$E$2:$E$5000)=YEAR(Summary!L$30))*(MONTH(Tracker!$E$2:$E$5000)=MONTH(Summary!L$30))*(DAY(Tracker!$E$2:$E$5000)=DAY(Summary!L$30))*((Tracker!$K$2:$K$5000)=("HI" &amp; LEFT($N$30,4) &amp; "-" &amp; $E61))*(Tracker!$J$2:$J$5000)))</f>
        <v/>
      </c>
    </row>
    <row r="62" spans="5:12" hidden="1" x14ac:dyDescent="0.35">
      <c r="E62" s="31" t="str">
        <f>'Charge Codes'!A33</f>
        <v>TBD</v>
      </c>
      <c r="F62" s="30" t="str" cm="1">
        <f t="array" ref="F62">IF(SUMPRODUCT((YEAR(Tracker!$E$2:$E$5000)=YEAR(Summary!F$30))*(MONTH(Tracker!$E$2:$E$5000)=MONTH(Summary!F$30))*(DAY(Tracker!$E$2:$E$5000)=DAY(Summary!F$30))*((Tracker!$K$2:$K$5000)=("HI" &amp; LEFT($N$30,4) &amp; "-" &amp; $E62))*(Tracker!$J$2:$J$5000))=0,"",SUMPRODUCT((YEAR(Tracker!$E$2:$E$5000)=YEAR(Summary!F$30))*(MONTH(Tracker!$E$2:$E$5000)=MONTH(Summary!F$30))*(DAY(Tracker!$E$2:$E$5000)=DAY(Summary!F$30))*((Tracker!$K$2:$K$5000)=("HI" &amp; LEFT($N$30,4) &amp; "-" &amp; $E62))*(Tracker!$J$2:$J$5000)))</f>
        <v/>
      </c>
      <c r="G62" s="30" t="str" cm="1">
        <f t="array" ref="G62">IF(SUMPRODUCT((YEAR(Tracker!$E$2:$E$5000)=YEAR(Summary!G$30))*(MONTH(Tracker!$E$2:$E$5000)=MONTH(Summary!G$30))*(DAY(Tracker!$E$2:$E$5000)=DAY(Summary!G$30))*((Tracker!$K$2:$K$5000)=("HI" &amp; LEFT($N$30,4) &amp; "-" &amp; $E62))*(Tracker!$J$2:$J$5000))=0,"",SUMPRODUCT((YEAR(Tracker!$E$2:$E$5000)=YEAR(Summary!G$30))*(MONTH(Tracker!$E$2:$E$5000)=MONTH(Summary!G$30))*(DAY(Tracker!$E$2:$E$5000)=DAY(Summary!G$30))*((Tracker!$K$2:$K$5000)=("HI" &amp; LEFT($N$30,4) &amp; "-" &amp; $E62))*(Tracker!$J$2:$J$5000)))</f>
        <v/>
      </c>
      <c r="H62" s="26" t="str" cm="1">
        <f t="array" ref="H62">IF(SUMPRODUCT((YEAR(Tracker!$E$2:$E$5000)=YEAR(Summary!H$30))*(MONTH(Tracker!$E$2:$E$5000)=MONTH(Summary!H$30))*(DAY(Tracker!$E$2:$E$5000)=DAY(Summary!H$30))*((Tracker!$K$2:$K$5000)=("HI" &amp; LEFT($N$30,4) &amp; "-" &amp; $E62))*(Tracker!$J$2:$J$5000))=0,"",SUMPRODUCT((YEAR(Tracker!$E$2:$E$5000)=YEAR(Summary!H$30))*(MONTH(Tracker!$E$2:$E$5000)=MONTH(Summary!H$30))*(DAY(Tracker!$E$2:$E$5000)=DAY(Summary!H$30))*((Tracker!$K$2:$K$5000)=("HI" &amp; LEFT($N$30,4) &amp; "-" &amp; $E62))*(Tracker!$J$2:$J$5000)))</f>
        <v/>
      </c>
      <c r="I62" s="30" t="str" cm="1">
        <f t="array" ref="I62">IF(SUMPRODUCT((YEAR(Tracker!$E$2:$E$5000)=YEAR(Summary!I$30))*(MONTH(Tracker!$E$2:$E$5000)=MONTH(Summary!I$30))*(DAY(Tracker!$E$2:$E$5000)=DAY(Summary!I$30))*((Tracker!$K$2:$K$5000)=("HI" &amp; LEFT($N$30,4) &amp; "-" &amp; $E62))*(Tracker!$J$2:$J$5000))=0,"",SUMPRODUCT((YEAR(Tracker!$E$2:$E$5000)=YEAR(Summary!I$30))*(MONTH(Tracker!$E$2:$E$5000)=MONTH(Summary!I$30))*(DAY(Tracker!$E$2:$E$5000)=DAY(Summary!I$30))*((Tracker!$K$2:$K$5000)=("HI" &amp; LEFT($N$30,4) &amp; "-" &amp; $E62))*(Tracker!$J$2:$J$5000)))</f>
        <v/>
      </c>
      <c r="J62" s="30" t="str" cm="1">
        <f t="array" ref="J62">IF(SUMPRODUCT((YEAR(Tracker!$E$2:$E$5000)=YEAR(Summary!J$30))*(MONTH(Tracker!$E$2:$E$5000)=MONTH(Summary!J$30))*(DAY(Tracker!$E$2:$E$5000)=DAY(Summary!J$30))*((Tracker!$K$2:$K$5000)=("HI" &amp; LEFT($N$30,4) &amp; "-" &amp; $E62))*(Tracker!$J$2:$J$5000))=0,"",SUMPRODUCT((YEAR(Tracker!$E$2:$E$5000)=YEAR(Summary!J$30))*(MONTH(Tracker!$E$2:$E$5000)=MONTH(Summary!J$30))*(DAY(Tracker!$E$2:$E$5000)=DAY(Summary!J$30))*((Tracker!$K$2:$K$5000)=("HI" &amp; LEFT($N$30,4) &amp; "-" &amp; $E62))*(Tracker!$J$2:$J$5000)))</f>
        <v/>
      </c>
      <c r="K62" s="30" t="str" cm="1">
        <f t="array" ref="K62">IF(SUMPRODUCT((YEAR(Tracker!$E$2:$E$5000)=YEAR(Summary!K$30))*(MONTH(Tracker!$E$2:$E$5000)=MONTH(Summary!K$30))*(DAY(Tracker!$E$2:$E$5000)=DAY(Summary!K$30))*((Tracker!$K$2:$K$5000)=("HI" &amp; LEFT($N$30,4) &amp; "-" &amp; $E62))*(Tracker!$J$2:$J$5000))=0,"",SUMPRODUCT((YEAR(Tracker!$E$2:$E$5000)=YEAR(Summary!K$30))*(MONTH(Tracker!$E$2:$E$5000)=MONTH(Summary!K$30))*(DAY(Tracker!$E$2:$E$5000)=DAY(Summary!K$30))*((Tracker!$K$2:$K$5000)=("HI" &amp; LEFT($N$30,4) &amp; "-" &amp; $E62))*(Tracker!$J$2:$J$5000)))</f>
        <v/>
      </c>
      <c r="L62" s="30" t="str" cm="1">
        <f t="array" ref="L62">IF(SUMPRODUCT((YEAR(Tracker!$E$2:$E$5000)=YEAR(Summary!L$30))*(MONTH(Tracker!$E$2:$E$5000)=MONTH(Summary!L$30))*(DAY(Tracker!$E$2:$E$5000)=DAY(Summary!L$30))*((Tracker!$K$2:$K$5000)=("HI" &amp; LEFT($N$30,4) &amp; "-" &amp; $E62))*(Tracker!$J$2:$J$5000))=0,"",SUMPRODUCT((YEAR(Tracker!$E$2:$E$5000)=YEAR(Summary!L$30))*(MONTH(Tracker!$E$2:$E$5000)=MONTH(Summary!L$30))*(DAY(Tracker!$E$2:$E$5000)=DAY(Summary!L$30))*((Tracker!$K$2:$K$5000)=("HI" &amp; LEFT($N$30,4) &amp; "-" &amp; $E62))*(Tracker!$J$2:$J$5000)))</f>
        <v/>
      </c>
    </row>
  </sheetData>
  <dataValidations count="1">
    <dataValidation type="list" allowBlank="1" showInputMessage="1" showErrorMessage="1" sqref="N30" xr:uid="{2248FF83-B436-4825-BE29-82B1B3E61146}">
      <formula1>$K$17:$Q$17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Task">
                <anchor moveWithCells="1" sizeWithCells="1">
                  <from>
                    <xdr:col>1</xdr:col>
                    <xdr:colOff>6350</xdr:colOff>
                    <xdr:row>0</xdr:row>
                    <xdr:rowOff>158750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Task">
                <anchor moveWithCells="1" sizeWithCells="1">
                  <from>
                    <xdr:col>2</xdr:col>
                    <xdr:colOff>12700</xdr:colOff>
                    <xdr:row>0</xdr:row>
                    <xdr:rowOff>171450</xdr:rowOff>
                  </from>
                  <to>
                    <xdr:col>2</xdr:col>
                    <xdr:colOff>1238250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rchive_project">
                <anchor moveWithCells="1" sizeWithCells="1">
                  <from>
                    <xdr:col>0</xdr:col>
                    <xdr:colOff>171450</xdr:colOff>
                    <xdr:row>8</xdr:row>
                    <xdr:rowOff>12700</xdr:rowOff>
                  </from>
                  <to>
                    <xdr:col>1</xdr:col>
                    <xdr:colOff>1206500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_PTO">
                <anchor moveWithCells="1" sizeWithCells="1">
                  <from>
                    <xdr:col>2</xdr:col>
                    <xdr:colOff>12700</xdr:colOff>
                    <xdr:row>8</xdr:row>
                    <xdr:rowOff>25400</xdr:rowOff>
                  </from>
                  <to>
                    <xdr:col>3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6DE077-4753-4762-A4C7-96E610030776}">
          <x14:formula1>
            <xm:f>'Week Selection'!$A$3:$A$59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A7B4F-098A-431A-991D-36123BC169A9}">
  <sheetPr codeName="Sheet1">
    <pageSetUpPr autoPageBreaks="0"/>
  </sheetPr>
  <dimension ref="A1:K3175"/>
  <sheetViews>
    <sheetView zoomScale="60" zoomScaleNormal="60" workbookViewId="0">
      <pane xSplit="1" ySplit="1" topLeftCell="B3133" activePane="bottomRight" state="frozen"/>
      <selection pane="topRight" activeCell="B1" sqref="B1"/>
      <selection pane="bottomLeft" activeCell="A2" sqref="A2"/>
      <selection pane="bottomRight" activeCell="A3176" sqref="A3176"/>
    </sheetView>
  </sheetViews>
  <sheetFormatPr defaultRowHeight="14.5" x14ac:dyDescent="0.35"/>
  <cols>
    <col min="2" max="2" width="11.08984375" customWidth="1"/>
    <col min="3" max="3" width="13.7265625" bestFit="1" customWidth="1"/>
    <col min="4" max="4" width="43.81640625" customWidth="1"/>
    <col min="5" max="6" width="16" bestFit="1" customWidth="1"/>
    <col min="7" max="10" width="8.7265625" style="3"/>
    <col min="11" max="11" width="23.08984375" hidden="1" customWidth="1"/>
  </cols>
  <sheetData>
    <row r="1" spans="1:1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35</v>
      </c>
    </row>
    <row r="2" spans="1:11" x14ac:dyDescent="0.35">
      <c r="A2">
        <v>1</v>
      </c>
      <c r="B2" t="s">
        <v>11</v>
      </c>
      <c r="C2" t="s">
        <v>11</v>
      </c>
      <c r="D2" t="s">
        <v>140</v>
      </c>
      <c r="E2" s="2">
        <v>44109.318749999999</v>
      </c>
      <c r="F2" s="2">
        <v>44109.32708333333</v>
      </c>
      <c r="G2" s="3">
        <v>8.333333331393078E-3</v>
      </c>
      <c r="H2" s="3">
        <v>724.38572074001024</v>
      </c>
      <c r="I2" s="3">
        <v>12.073095345666838</v>
      </c>
      <c r="J2" s="3">
        <v>0.20121825576111396</v>
      </c>
    </row>
    <row r="3" spans="1:11" x14ac:dyDescent="0.35">
      <c r="A3">
        <v>2</v>
      </c>
      <c r="B3" t="s">
        <v>11</v>
      </c>
      <c r="C3" t="s">
        <v>11</v>
      </c>
      <c r="D3" t="s">
        <v>140</v>
      </c>
      <c r="E3" s="2">
        <v>44109.32708333333</v>
      </c>
      <c r="F3" s="2">
        <v>44109.352777777778</v>
      </c>
      <c r="G3" s="3">
        <f>F3-E3</f>
        <v>2.5694444448163267E-2</v>
      </c>
      <c r="H3" s="3">
        <f>G3*(75/0.0008628)</f>
        <v>2233.5226397916608</v>
      </c>
      <c r="I3" s="3">
        <f>H3/60</f>
        <v>37.225377329861011</v>
      </c>
      <c r="J3" s="3">
        <f>I3/60</f>
        <v>0.62042295549768356</v>
      </c>
    </row>
    <row r="4" spans="1:11" x14ac:dyDescent="0.35">
      <c r="A4">
        <v>3</v>
      </c>
      <c r="B4" t="s">
        <v>2</v>
      </c>
      <c r="C4" t="s">
        <v>72</v>
      </c>
      <c r="D4" t="s">
        <v>140</v>
      </c>
      <c r="E4" s="2">
        <v>44109.352777777778</v>
      </c>
      <c r="F4" s="2">
        <v>44109.376388888886</v>
      </c>
      <c r="G4" s="3">
        <v>2.361111110803904E-2</v>
      </c>
      <c r="H4" s="3">
        <v>2052.4262089741865</v>
      </c>
      <c r="I4" s="3">
        <v>34.207103482903108</v>
      </c>
      <c r="J4" s="3">
        <v>0.57011839138171849</v>
      </c>
      <c r="K4" t="s">
        <v>73</v>
      </c>
    </row>
    <row r="5" spans="1:11" x14ac:dyDescent="0.35">
      <c r="A5">
        <v>4</v>
      </c>
      <c r="B5" t="s">
        <v>11</v>
      </c>
      <c r="C5" t="s">
        <v>11</v>
      </c>
      <c r="D5" t="s">
        <v>140</v>
      </c>
      <c r="E5" s="2">
        <v>44109.376388888886</v>
      </c>
      <c r="F5" s="2">
        <v>44109.394444444442</v>
      </c>
      <c r="G5" s="3">
        <v>1.8055555556202307E-2</v>
      </c>
      <c r="H5" s="3">
        <v>1569.5023953583368</v>
      </c>
      <c r="I5" s="3">
        <v>26.158373255972279</v>
      </c>
      <c r="J5" s="3">
        <v>0.43597288759953801</v>
      </c>
    </row>
    <row r="6" spans="1:11" x14ac:dyDescent="0.35">
      <c r="A6">
        <v>5</v>
      </c>
      <c r="B6" t="s">
        <v>2</v>
      </c>
      <c r="C6" t="s">
        <v>96</v>
      </c>
      <c r="D6" t="s">
        <v>140</v>
      </c>
      <c r="E6" s="2">
        <v>44109.394444444442</v>
      </c>
      <c r="F6" s="2">
        <v>44109.438888888886</v>
      </c>
      <c r="G6" s="3">
        <v>4.4444444443797693E-2</v>
      </c>
      <c r="H6" s="3">
        <v>3863.3905114566842</v>
      </c>
      <c r="I6" s="3">
        <v>64.389841857611401</v>
      </c>
      <c r="J6" s="3">
        <v>1.07316403096019</v>
      </c>
    </row>
    <row r="7" spans="1:11" x14ac:dyDescent="0.35">
      <c r="A7">
        <v>6</v>
      </c>
      <c r="B7" t="s">
        <v>16</v>
      </c>
      <c r="C7" t="s">
        <v>16</v>
      </c>
      <c r="D7" t="s">
        <v>140</v>
      </c>
      <c r="E7" s="2">
        <v>44109.438888888886</v>
      </c>
      <c r="F7" s="2">
        <v>44109.453472222223</v>
      </c>
      <c r="G7" s="3">
        <v>1.4583333337213844E-2</v>
      </c>
      <c r="H7" s="3">
        <v>1267.67501192749</v>
      </c>
      <c r="I7" s="3">
        <v>21.127916865458168</v>
      </c>
      <c r="J7" s="3">
        <v>0.35213194775763612</v>
      </c>
    </row>
    <row r="8" spans="1:11" x14ac:dyDescent="0.35">
      <c r="A8">
        <v>7</v>
      </c>
      <c r="B8" t="s">
        <v>11</v>
      </c>
      <c r="C8" t="s">
        <v>11</v>
      </c>
      <c r="D8" t="s">
        <v>140</v>
      </c>
      <c r="E8" s="2">
        <v>44109.453472222223</v>
      </c>
      <c r="F8" s="2">
        <v>44109.468055555553</v>
      </c>
      <c r="G8" s="3">
        <v>1.4583333329937886E-2</v>
      </c>
      <c r="H8" s="3">
        <v>1267.6750112950181</v>
      </c>
      <c r="I8" s="3">
        <v>21.127916854916968</v>
      </c>
      <c r="J8" s="3">
        <v>0.35213194758194949</v>
      </c>
    </row>
    <row r="9" spans="1:11" x14ac:dyDescent="0.35">
      <c r="A9">
        <v>8</v>
      </c>
      <c r="B9" t="s">
        <v>16</v>
      </c>
      <c r="C9" t="s">
        <v>16</v>
      </c>
      <c r="D9" t="s">
        <v>140</v>
      </c>
      <c r="E9" s="2">
        <v>44109.468055555553</v>
      </c>
      <c r="F9" s="2">
        <v>44109.473611111112</v>
      </c>
      <c r="G9" s="3">
        <v>5.5555555591126904E-3</v>
      </c>
      <c r="H9" s="3">
        <v>482.92381424832149</v>
      </c>
      <c r="I9" s="3">
        <v>8.0487302374720251</v>
      </c>
      <c r="J9" s="3">
        <v>0.13414550395786709</v>
      </c>
    </row>
    <row r="10" spans="1:11" x14ac:dyDescent="0.35">
      <c r="A10">
        <v>9</v>
      </c>
      <c r="B10" t="s">
        <v>16</v>
      </c>
      <c r="C10" t="s">
        <v>16</v>
      </c>
      <c r="D10" t="s">
        <v>140</v>
      </c>
      <c r="E10" s="2">
        <v>44109.473611111112</v>
      </c>
      <c r="F10" s="2">
        <v>44109.489583333336</v>
      </c>
      <c r="G10" s="3">
        <v>1.5972222223354038E-2</v>
      </c>
      <c r="H10" s="3">
        <v>1388.4059651733344</v>
      </c>
      <c r="I10" s="3">
        <v>23.140099419555572</v>
      </c>
      <c r="J10" s="3">
        <v>0.38566832365925952</v>
      </c>
    </row>
    <row r="11" spans="1:11" x14ac:dyDescent="0.35">
      <c r="A11">
        <v>10</v>
      </c>
      <c r="B11" t="s">
        <v>11</v>
      </c>
      <c r="C11" t="s">
        <v>11</v>
      </c>
      <c r="D11" t="s">
        <v>140</v>
      </c>
      <c r="E11" s="2">
        <v>44109.489583333336</v>
      </c>
      <c r="F11" s="2">
        <v>44109.522222222222</v>
      </c>
      <c r="G11" s="3">
        <v>3.2638888886140194E-2</v>
      </c>
      <c r="H11" s="3">
        <v>2837.1774066533549</v>
      </c>
      <c r="I11" s="3">
        <v>47.286290110889247</v>
      </c>
      <c r="J11" s="3">
        <v>0.78810483518148744</v>
      </c>
    </row>
    <row r="12" spans="1:11" x14ac:dyDescent="0.35">
      <c r="A12">
        <v>11</v>
      </c>
      <c r="B12" t="s">
        <v>2</v>
      </c>
      <c r="C12" t="s">
        <v>132</v>
      </c>
      <c r="D12" t="s">
        <v>140</v>
      </c>
      <c r="E12" s="2">
        <v>44109.522222222222</v>
      </c>
      <c r="F12" s="2">
        <v>44109.584722222222</v>
      </c>
      <c r="G12" s="3">
        <v>6.25E-2</v>
      </c>
      <c r="H12" s="3">
        <v>5432.892906815021</v>
      </c>
      <c r="I12" s="3">
        <v>90.54821511358368</v>
      </c>
      <c r="J12" s="3">
        <v>1.5091369185597281</v>
      </c>
      <c r="K12" t="s">
        <v>42</v>
      </c>
    </row>
    <row r="13" spans="1:11" x14ac:dyDescent="0.35">
      <c r="A13">
        <v>12</v>
      </c>
      <c r="B13" t="s">
        <v>11</v>
      </c>
      <c r="C13" t="s">
        <v>11</v>
      </c>
      <c r="D13" t="s">
        <v>140</v>
      </c>
      <c r="E13" s="2">
        <v>44109.584722222222</v>
      </c>
      <c r="F13" s="2">
        <v>44109.657638888886</v>
      </c>
      <c r="G13" s="3">
        <v>7.2916666664241347E-2</v>
      </c>
      <c r="H13" s="3">
        <v>6338.3750577400342</v>
      </c>
      <c r="I13" s="3">
        <v>105.63958429566723</v>
      </c>
      <c r="J13" s="3">
        <v>1.7606597382611207</v>
      </c>
    </row>
    <row r="14" spans="1:11" x14ac:dyDescent="0.35">
      <c r="A14">
        <v>13</v>
      </c>
      <c r="B14" t="s">
        <v>16</v>
      </c>
      <c r="C14" t="s">
        <v>16</v>
      </c>
      <c r="D14" t="s">
        <v>140</v>
      </c>
      <c r="E14" s="2">
        <v>44109.657638888886</v>
      </c>
      <c r="F14" s="2">
        <v>44109.666666666664</v>
      </c>
      <c r="G14" s="3">
        <v>9.0277777781011537E-3</v>
      </c>
      <c r="H14" s="3">
        <v>784.7511976791684</v>
      </c>
      <c r="I14" s="3">
        <v>13.07918662798614</v>
      </c>
      <c r="J14" s="3">
        <v>0.217986443799769</v>
      </c>
    </row>
    <row r="15" spans="1:11" x14ac:dyDescent="0.35">
      <c r="A15">
        <v>14</v>
      </c>
      <c r="B15" t="s">
        <v>2</v>
      </c>
      <c r="C15" t="s">
        <v>132</v>
      </c>
      <c r="D15" t="s">
        <v>140</v>
      </c>
      <c r="E15" s="2">
        <v>44109.666666666664</v>
      </c>
      <c r="F15" s="2">
        <v>44109.6875</v>
      </c>
      <c r="G15" s="3">
        <v>2.0833333335758653E-2</v>
      </c>
      <c r="H15" s="3">
        <v>1810.9643024824977</v>
      </c>
      <c r="I15" s="3">
        <v>30.182738374708297</v>
      </c>
      <c r="J15" s="3">
        <v>0.50304563957847159</v>
      </c>
      <c r="K15" t="s">
        <v>41</v>
      </c>
    </row>
    <row r="16" spans="1:11" x14ac:dyDescent="0.35">
      <c r="A16">
        <v>15</v>
      </c>
      <c r="B16" t="s">
        <v>11</v>
      </c>
      <c r="C16" t="s">
        <v>11</v>
      </c>
      <c r="D16" t="s">
        <v>140</v>
      </c>
      <c r="E16" s="2">
        <v>44109.688194444447</v>
      </c>
      <c r="F16" s="2">
        <v>44109.70208333333</v>
      </c>
      <c r="G16" s="3">
        <v>1.3888888883229811E-2</v>
      </c>
      <c r="H16" s="3">
        <v>1207.3095343558598</v>
      </c>
      <c r="I16" s="3">
        <v>20.121825572597665</v>
      </c>
      <c r="J16" s="3">
        <v>0.33536375954329439</v>
      </c>
    </row>
    <row r="17" spans="1:11" x14ac:dyDescent="0.35">
      <c r="A17">
        <v>16</v>
      </c>
      <c r="B17" t="s">
        <v>11</v>
      </c>
      <c r="C17" t="s">
        <v>11</v>
      </c>
      <c r="D17" t="s">
        <v>140</v>
      </c>
      <c r="E17" s="2">
        <v>44109.70208333333</v>
      </c>
      <c r="F17" s="2">
        <v>44109.767048611109</v>
      </c>
      <c r="G17" s="3">
        <v>6.4965277779265307E-2</v>
      </c>
      <c r="H17" s="3">
        <v>5647.1903493798072</v>
      </c>
      <c r="I17" s="3">
        <v>94.119839156330116</v>
      </c>
      <c r="J17" s="3">
        <v>1.5686639859388352</v>
      </c>
    </row>
    <row r="18" spans="1:11" x14ac:dyDescent="0.35">
      <c r="A18">
        <v>17</v>
      </c>
      <c r="B18" t="s">
        <v>11</v>
      </c>
      <c r="C18" t="s">
        <v>11</v>
      </c>
      <c r="D18" t="s">
        <v>140</v>
      </c>
      <c r="E18" s="2">
        <v>44109.786759259259</v>
      </c>
      <c r="F18" s="2">
        <v>44109.795104166667</v>
      </c>
      <c r="G18" s="3">
        <v>8.3449074081727304E-3</v>
      </c>
      <c r="H18" s="3">
        <v>725.3918122542359</v>
      </c>
      <c r="I18" s="3">
        <v>12.089863537570599</v>
      </c>
      <c r="J18" s="3">
        <v>0.20149772562617665</v>
      </c>
    </row>
    <row r="19" spans="1:11" x14ac:dyDescent="0.35">
      <c r="A19">
        <v>18</v>
      </c>
      <c r="B19" t="s">
        <v>11</v>
      </c>
      <c r="C19" t="s">
        <v>11</v>
      </c>
      <c r="D19" t="s">
        <v>140</v>
      </c>
      <c r="E19" s="2">
        <v>44110.319768518515</v>
      </c>
      <c r="F19" s="2">
        <v>44110.326192129629</v>
      </c>
      <c r="G19" s="3">
        <v>6.4236111138598062E-3</v>
      </c>
      <c r="H19" s="3">
        <v>558.38066010603325</v>
      </c>
      <c r="I19" s="3">
        <v>9.3063443351005546</v>
      </c>
      <c r="J19" s="3">
        <v>0.15510573891834259</v>
      </c>
    </row>
    <row r="20" spans="1:11" x14ac:dyDescent="0.35">
      <c r="A20">
        <v>19</v>
      </c>
      <c r="B20" t="s">
        <v>2</v>
      </c>
      <c r="C20" t="s">
        <v>96</v>
      </c>
      <c r="D20" t="s">
        <v>140</v>
      </c>
      <c r="E20" s="2">
        <v>44110.326469907406</v>
      </c>
      <c r="F20" s="2">
        <v>44110.368032407408</v>
      </c>
      <c r="G20" s="3">
        <v>4.1562500002328306E-2</v>
      </c>
      <c r="H20" s="3">
        <v>3612.8737832343795</v>
      </c>
      <c r="I20" s="3">
        <v>60.214563053906325</v>
      </c>
      <c r="J20" s="3">
        <v>1.0035760508984388</v>
      </c>
    </row>
    <row r="21" spans="1:11" x14ac:dyDescent="0.35">
      <c r="A21">
        <v>20</v>
      </c>
      <c r="B21" t="s">
        <v>16</v>
      </c>
      <c r="C21" t="s">
        <v>16</v>
      </c>
      <c r="D21" t="s">
        <v>140</v>
      </c>
      <c r="E21" s="2">
        <v>44110.368194444447</v>
      </c>
      <c r="F21" s="2">
        <v>44110.373159722221</v>
      </c>
      <c r="G21" s="3">
        <v>4.9652777743176557E-3</v>
      </c>
      <c r="H21" s="3">
        <v>431.61315840730663</v>
      </c>
      <c r="I21" s="3">
        <v>7.1935526401217773</v>
      </c>
      <c r="J21" s="3">
        <v>0.11989254400202962</v>
      </c>
    </row>
    <row r="22" spans="1:11" x14ac:dyDescent="0.35">
      <c r="A22">
        <v>21</v>
      </c>
      <c r="B22" t="s">
        <v>11</v>
      </c>
      <c r="C22" t="s">
        <v>11</v>
      </c>
      <c r="D22" t="s">
        <v>140</v>
      </c>
      <c r="E22" s="2">
        <v>44110.373333333337</v>
      </c>
      <c r="F22" s="2">
        <v>44110.388229166667</v>
      </c>
      <c r="G22" s="3">
        <v>1.4895833330228925E-2</v>
      </c>
      <c r="H22" s="3">
        <v>1294.8394758543918</v>
      </c>
      <c r="I22" s="3">
        <v>21.580657930906529</v>
      </c>
      <c r="J22" s="3">
        <v>0.35967763218177551</v>
      </c>
    </row>
    <row r="23" spans="1:11" x14ac:dyDescent="0.35">
      <c r="A23">
        <v>22</v>
      </c>
      <c r="B23" t="s">
        <v>11</v>
      </c>
      <c r="C23" t="s">
        <v>11</v>
      </c>
      <c r="D23" t="s">
        <v>140</v>
      </c>
      <c r="E23" s="2">
        <v>44110.388368055559</v>
      </c>
      <c r="F23" s="2">
        <v>44110.388703703706</v>
      </c>
      <c r="G23" s="3">
        <v>3.3564814657438546E-4</v>
      </c>
      <c r="H23" s="3">
        <v>29.176646955353394</v>
      </c>
      <c r="I23" s="3">
        <v>0.48627744925588989</v>
      </c>
      <c r="J23" s="3">
        <v>8.1046241542648313E-3</v>
      </c>
    </row>
    <row r="24" spans="1:11" x14ac:dyDescent="0.35">
      <c r="A24">
        <v>23</v>
      </c>
      <c r="B24" t="s">
        <v>11</v>
      </c>
      <c r="C24" t="s">
        <v>11</v>
      </c>
      <c r="D24" t="s">
        <v>140</v>
      </c>
      <c r="E24" s="2">
        <v>44110.388877314814</v>
      </c>
      <c r="F24" s="2">
        <v>44110.38894675926</v>
      </c>
      <c r="G24" s="3">
        <v>6.9444446125999093E-5</v>
      </c>
      <c r="H24" s="3">
        <v>6.0365478204102132</v>
      </c>
      <c r="I24" s="3">
        <v>0.10060913034017022</v>
      </c>
      <c r="J24" s="3">
        <v>1.6768188390028369E-3</v>
      </c>
    </row>
    <row r="25" spans="1:11" x14ac:dyDescent="0.35">
      <c r="A25">
        <v>24</v>
      </c>
      <c r="B25" t="s">
        <v>11</v>
      </c>
      <c r="C25" t="s">
        <v>11</v>
      </c>
      <c r="D25" t="s">
        <v>140</v>
      </c>
      <c r="E25" s="2">
        <v>44110.389074074075</v>
      </c>
      <c r="F25" s="2">
        <v>44110.390520833331</v>
      </c>
      <c r="G25" s="3">
        <v>1.4467592554865405E-3</v>
      </c>
      <c r="H25" s="3">
        <v>125.76140955202889</v>
      </c>
      <c r="I25" s="3">
        <v>2.0960234925338148</v>
      </c>
      <c r="J25" s="3">
        <v>3.4933724875563579E-2</v>
      </c>
    </row>
    <row r="26" spans="1:11" x14ac:dyDescent="0.35">
      <c r="A26">
        <v>25</v>
      </c>
      <c r="B26" t="s">
        <v>2</v>
      </c>
      <c r="C26" t="s">
        <v>96</v>
      </c>
      <c r="D26" t="s">
        <v>140</v>
      </c>
      <c r="E26" s="2">
        <v>44110.390879629631</v>
      </c>
      <c r="F26" s="2">
        <v>44110.408761574072</v>
      </c>
      <c r="G26" s="3">
        <v>1.788194444088731E-2</v>
      </c>
      <c r="H26" s="3">
        <v>1554.4110258073113</v>
      </c>
      <c r="I26" s="3">
        <v>25.906850430121853</v>
      </c>
      <c r="J26" s="3">
        <v>0.43178084050203086</v>
      </c>
    </row>
    <row r="27" spans="1:11" x14ac:dyDescent="0.35">
      <c r="A27">
        <v>26</v>
      </c>
      <c r="B27" t="s">
        <v>16</v>
      </c>
      <c r="C27" t="s">
        <v>16</v>
      </c>
      <c r="D27" t="s">
        <v>140</v>
      </c>
      <c r="E27" s="2">
        <v>44110.408912037034</v>
      </c>
      <c r="F27" s="2">
        <v>44110.412534722222</v>
      </c>
      <c r="G27" s="3">
        <v>3.6226851880201139E-3</v>
      </c>
      <c r="H27" s="3">
        <v>314.90657058589306</v>
      </c>
      <c r="I27" s="3">
        <v>5.2484428430982177</v>
      </c>
      <c r="J27" s="3">
        <v>8.7474047384970291E-2</v>
      </c>
    </row>
    <row r="28" spans="1:11" x14ac:dyDescent="0.35">
      <c r="A28">
        <v>27</v>
      </c>
      <c r="B28" t="s">
        <v>2</v>
      </c>
      <c r="C28" t="s">
        <v>96</v>
      </c>
      <c r="D28" t="s">
        <v>140</v>
      </c>
      <c r="E28" s="2">
        <v>44110.412685185183</v>
      </c>
      <c r="F28" s="2">
        <v>44110.419363425928</v>
      </c>
      <c r="G28" s="3">
        <v>6.6782407448044978E-3</v>
      </c>
      <c r="H28" s="3">
        <v>580.5146683592227</v>
      </c>
      <c r="I28" s="3">
        <v>9.675244472653711</v>
      </c>
      <c r="J28" s="3">
        <v>0.16125407454422852</v>
      </c>
    </row>
    <row r="29" spans="1:11" x14ac:dyDescent="0.35">
      <c r="A29">
        <v>28</v>
      </c>
      <c r="B29" t="s">
        <v>11</v>
      </c>
      <c r="C29" t="s">
        <v>11</v>
      </c>
      <c r="D29" t="s">
        <v>140</v>
      </c>
      <c r="E29" s="2">
        <v>44110.419594907406</v>
      </c>
      <c r="F29" s="2">
        <v>44110.423009259262</v>
      </c>
      <c r="G29" s="3">
        <v>3.4143518569180742E-3</v>
      </c>
      <c r="H29" s="3">
        <v>296.79692775713437</v>
      </c>
      <c r="I29" s="3">
        <v>4.9466154626189063</v>
      </c>
      <c r="J29" s="3">
        <v>8.2443591043648443E-2</v>
      </c>
    </row>
    <row r="30" spans="1:11" x14ac:dyDescent="0.35">
      <c r="A30">
        <v>29</v>
      </c>
      <c r="B30" t="s">
        <v>11</v>
      </c>
      <c r="C30" t="s">
        <v>11</v>
      </c>
      <c r="D30" t="s">
        <v>140</v>
      </c>
      <c r="E30" s="2">
        <v>44110.423136574071</v>
      </c>
      <c r="F30" s="2">
        <v>44110.42765046296</v>
      </c>
      <c r="G30" s="3">
        <v>4.5138888890505768E-3</v>
      </c>
      <c r="H30" s="3">
        <v>392.3755988395842</v>
      </c>
      <c r="I30" s="3">
        <v>6.5395933139930698</v>
      </c>
      <c r="J30" s="3">
        <v>0.1089932218998845</v>
      </c>
    </row>
    <row r="31" spans="1:11" x14ac:dyDescent="0.35">
      <c r="A31">
        <v>30</v>
      </c>
      <c r="B31" t="s">
        <v>2</v>
      </c>
      <c r="C31" t="s">
        <v>132</v>
      </c>
      <c r="D31" t="s">
        <v>140</v>
      </c>
      <c r="E31" s="2">
        <v>44110.427777777775</v>
      </c>
      <c r="F31" s="2">
        <v>44110.492222222223</v>
      </c>
      <c r="G31" s="3">
        <v>6.4444444447872229E-2</v>
      </c>
      <c r="H31" s="3">
        <v>5601.9162419916747</v>
      </c>
      <c r="I31" s="3">
        <v>93.365270699861242</v>
      </c>
      <c r="J31" s="3">
        <v>1.5560878449976874</v>
      </c>
      <c r="K31" t="s">
        <v>41</v>
      </c>
    </row>
    <row r="32" spans="1:11" x14ac:dyDescent="0.35">
      <c r="A32">
        <v>31</v>
      </c>
      <c r="B32" t="s">
        <v>16</v>
      </c>
      <c r="C32" t="s">
        <v>16</v>
      </c>
      <c r="D32" t="s">
        <v>140</v>
      </c>
      <c r="E32" s="2">
        <v>44110.492361111108</v>
      </c>
      <c r="F32" s="2">
        <v>44110.493020833332</v>
      </c>
      <c r="G32" s="3">
        <v>6.5972222364507616E-4</v>
      </c>
      <c r="H32" s="3">
        <v>57.347203028953068</v>
      </c>
      <c r="I32" s="3">
        <v>0.95578671714921781</v>
      </c>
      <c r="J32" s="3">
        <v>1.592977861915363E-2</v>
      </c>
    </row>
    <row r="33" spans="1:11" x14ac:dyDescent="0.35">
      <c r="A33">
        <v>32</v>
      </c>
      <c r="B33" t="s">
        <v>11</v>
      </c>
      <c r="C33" t="s">
        <v>11</v>
      </c>
      <c r="D33" t="s">
        <v>140</v>
      </c>
      <c r="E33" s="2">
        <v>44110.493125000001</v>
      </c>
      <c r="F33" s="2">
        <v>44110.49428240741</v>
      </c>
      <c r="G33" s="3">
        <v>1.157407408754807E-3</v>
      </c>
      <c r="H33" s="3">
        <v>100.6091280211063</v>
      </c>
      <c r="I33" s="3">
        <v>1.6768188003517717</v>
      </c>
      <c r="J33" s="3">
        <v>2.7946980005862862E-2</v>
      </c>
    </row>
    <row r="34" spans="1:11" x14ac:dyDescent="0.35">
      <c r="A34">
        <v>33</v>
      </c>
      <c r="B34" t="s">
        <v>16</v>
      </c>
      <c r="C34" t="s">
        <v>16</v>
      </c>
      <c r="D34" t="s">
        <v>140</v>
      </c>
      <c r="E34" s="2">
        <v>44110.494375000002</v>
      </c>
      <c r="F34" s="2">
        <v>44110.509131944447</v>
      </c>
      <c r="G34" s="3">
        <v>1.4756944445252884E-2</v>
      </c>
      <c r="H34" s="3">
        <v>1282.7663808460434</v>
      </c>
      <c r="I34" s="3">
        <v>21.379439680767391</v>
      </c>
      <c r="J34" s="3">
        <v>0.35632399467945652</v>
      </c>
    </row>
    <row r="35" spans="1:11" x14ac:dyDescent="0.35">
      <c r="A35">
        <v>34</v>
      </c>
      <c r="B35" t="s">
        <v>11</v>
      </c>
      <c r="C35" t="s">
        <v>11</v>
      </c>
      <c r="D35" t="s">
        <v>140</v>
      </c>
      <c r="E35" s="2">
        <v>44110.509305555555</v>
      </c>
      <c r="F35" s="2">
        <v>44110.52815972222</v>
      </c>
      <c r="G35" s="3">
        <v>1.8854166664823424E-2</v>
      </c>
      <c r="H35" s="3">
        <v>1638.9226933956384</v>
      </c>
      <c r="I35" s="3">
        <v>27.315378223260641</v>
      </c>
      <c r="J35" s="3">
        <v>0.45525630372101067</v>
      </c>
    </row>
    <row r="36" spans="1:11" x14ac:dyDescent="0.35">
      <c r="A36">
        <v>35</v>
      </c>
      <c r="B36" t="s">
        <v>2</v>
      </c>
      <c r="C36" t="s">
        <v>72</v>
      </c>
      <c r="D36" t="s">
        <v>140</v>
      </c>
      <c r="E36" s="2">
        <v>44110.528275462966</v>
      </c>
      <c r="F36" s="2">
        <v>44110.530810185184</v>
      </c>
      <c r="G36" s="3">
        <v>2.5347222181153484E-3</v>
      </c>
      <c r="H36" s="3">
        <v>220.33398975272499</v>
      </c>
      <c r="I36" s="3">
        <v>3.6722331625454165</v>
      </c>
      <c r="J36" s="3">
        <v>6.1203886042423612E-2</v>
      </c>
      <c r="K36" t="s">
        <v>73</v>
      </c>
    </row>
    <row r="37" spans="1:11" x14ac:dyDescent="0.35">
      <c r="A37">
        <v>36</v>
      </c>
      <c r="B37" t="s">
        <v>11</v>
      </c>
      <c r="C37" t="s">
        <v>11</v>
      </c>
      <c r="D37" t="s">
        <v>140</v>
      </c>
      <c r="E37" s="2">
        <v>44110.530914351853</v>
      </c>
      <c r="F37" s="2">
        <v>44110.541666666664</v>
      </c>
      <c r="G37" s="3">
        <v>1.0752314810815733E-2</v>
      </c>
      <c r="H37" s="3">
        <v>934.65879788036625</v>
      </c>
      <c r="I37" s="3">
        <v>15.577646631339437</v>
      </c>
      <c r="J37" s="3">
        <v>0.25962744385565728</v>
      </c>
    </row>
    <row r="38" spans="1:11" x14ac:dyDescent="0.35">
      <c r="A38">
        <v>37</v>
      </c>
      <c r="B38" t="s">
        <v>2</v>
      </c>
      <c r="C38" t="s">
        <v>96</v>
      </c>
      <c r="D38" t="s">
        <v>140</v>
      </c>
      <c r="E38" s="2">
        <v>44110.541666666664</v>
      </c>
      <c r="F38" s="2">
        <v>44110.552615740744</v>
      </c>
      <c r="G38" s="3">
        <v>1.0949074079690035E-2</v>
      </c>
      <c r="H38" s="3">
        <v>951.76235045984311</v>
      </c>
      <c r="I38" s="3">
        <v>15.862705840997386</v>
      </c>
      <c r="J38" s="3">
        <v>0.26437843068328976</v>
      </c>
    </row>
    <row r="39" spans="1:11" x14ac:dyDescent="0.35">
      <c r="A39">
        <v>38</v>
      </c>
      <c r="B39" t="s">
        <v>2</v>
      </c>
      <c r="C39" t="s">
        <v>132</v>
      </c>
      <c r="D39" t="s">
        <v>140</v>
      </c>
      <c r="E39" s="2">
        <v>44110.55296296296</v>
      </c>
      <c r="F39" s="2">
        <v>44110.553888888891</v>
      </c>
      <c r="G39" s="3">
        <v>9.2592593136942014E-4</v>
      </c>
      <c r="H39" s="3">
        <v>80.487302796368226</v>
      </c>
      <c r="I39" s="3">
        <v>1.341455046606137</v>
      </c>
      <c r="J39" s="3">
        <v>2.2357584110102285E-2</v>
      </c>
      <c r="K39" t="s">
        <v>40</v>
      </c>
    </row>
    <row r="40" spans="1:11" x14ac:dyDescent="0.35">
      <c r="A40">
        <v>39</v>
      </c>
      <c r="B40" t="s">
        <v>11</v>
      </c>
      <c r="C40" t="s">
        <v>11</v>
      </c>
      <c r="D40" t="s">
        <v>140</v>
      </c>
      <c r="E40" s="2">
        <v>44110.553969907407</v>
      </c>
      <c r="F40" s="2">
        <v>44110.555717592593</v>
      </c>
      <c r="G40" s="3">
        <v>1.747685186273884E-3</v>
      </c>
      <c r="H40" s="3">
        <v>151.91978322964917</v>
      </c>
      <c r="I40" s="3">
        <v>2.5319963871608193</v>
      </c>
      <c r="J40" s="3">
        <v>4.2199939786013656E-2</v>
      </c>
    </row>
    <row r="41" spans="1:11" x14ac:dyDescent="0.35">
      <c r="A41">
        <v>40</v>
      </c>
      <c r="B41" t="s">
        <v>2</v>
      </c>
      <c r="C41" t="s">
        <v>132</v>
      </c>
      <c r="D41" t="s">
        <v>140</v>
      </c>
      <c r="E41" s="2">
        <v>44110.555902777778</v>
      </c>
      <c r="F41" s="2">
        <v>44110.563009259262</v>
      </c>
      <c r="G41" s="3">
        <v>7.1064814837882295E-3</v>
      </c>
      <c r="H41" s="3">
        <v>617.74004553096563</v>
      </c>
      <c r="I41" s="3">
        <v>10.295667425516093</v>
      </c>
      <c r="J41" s="3">
        <v>0.17159445709193488</v>
      </c>
      <c r="K41" t="s">
        <v>40</v>
      </c>
    </row>
    <row r="42" spans="1:11" x14ac:dyDescent="0.35">
      <c r="A42">
        <v>41</v>
      </c>
      <c r="B42" t="s">
        <v>11</v>
      </c>
      <c r="C42" t="s">
        <v>11</v>
      </c>
      <c r="D42" t="s">
        <v>140</v>
      </c>
      <c r="E42" s="2">
        <v>44110.563159722224</v>
      </c>
      <c r="F42" s="2">
        <v>44110.565023148149</v>
      </c>
      <c r="G42" s="3">
        <v>1.8634259249665774E-3</v>
      </c>
      <c r="H42" s="3">
        <v>161.98069584201821</v>
      </c>
      <c r="I42" s="3">
        <v>2.6996782640336368</v>
      </c>
      <c r="J42" s="3">
        <v>4.4994637733893943E-2</v>
      </c>
    </row>
    <row r="43" spans="1:11" x14ac:dyDescent="0.35">
      <c r="A43">
        <v>42</v>
      </c>
      <c r="B43" t="s">
        <v>2</v>
      </c>
      <c r="C43" t="s">
        <v>132</v>
      </c>
      <c r="D43" t="s">
        <v>140</v>
      </c>
      <c r="E43" s="2">
        <v>44110.565254629626</v>
      </c>
      <c r="F43" s="2">
        <v>44110.571122685185</v>
      </c>
      <c r="G43" s="3">
        <v>5.8680555594037287E-3</v>
      </c>
      <c r="H43" s="3">
        <v>510.08827880769542</v>
      </c>
      <c r="I43" s="3">
        <v>8.5014713134615896</v>
      </c>
      <c r="J43" s="3">
        <v>0.14169118855769317</v>
      </c>
      <c r="K43" t="s">
        <v>40</v>
      </c>
    </row>
    <row r="44" spans="1:11" x14ac:dyDescent="0.35">
      <c r="A44">
        <v>43</v>
      </c>
      <c r="B44" t="s">
        <v>16</v>
      </c>
      <c r="C44" t="s">
        <v>16</v>
      </c>
      <c r="D44" t="s">
        <v>140</v>
      </c>
      <c r="E44" s="2">
        <v>44110.571215277778</v>
      </c>
      <c r="F44" s="2">
        <v>44110.579444444447</v>
      </c>
      <c r="G44" s="3">
        <v>8.2291666694800369E-3</v>
      </c>
      <c r="H44" s="3">
        <v>715.33089964186684</v>
      </c>
      <c r="I44" s="3">
        <v>11.922181660697781</v>
      </c>
      <c r="J44" s="3">
        <v>0.19870302767829634</v>
      </c>
    </row>
    <row r="45" spans="1:11" x14ac:dyDescent="0.35">
      <c r="A45">
        <v>44</v>
      </c>
      <c r="B45" t="s">
        <v>2</v>
      </c>
      <c r="C45" t="s">
        <v>132</v>
      </c>
      <c r="D45" t="s">
        <v>140</v>
      </c>
      <c r="E45" s="2">
        <v>44110.579560185186</v>
      </c>
      <c r="F45" s="2">
        <v>44110.591770833336</v>
      </c>
      <c r="G45" s="3">
        <v>1.2210648150357883E-2</v>
      </c>
      <c r="H45" s="3">
        <v>1061.4262995790928</v>
      </c>
      <c r="I45" s="3">
        <v>17.690438326318212</v>
      </c>
      <c r="J45" s="3">
        <v>0.2948406387719702</v>
      </c>
      <c r="K45" t="s">
        <v>40</v>
      </c>
    </row>
    <row r="46" spans="1:11" x14ac:dyDescent="0.35">
      <c r="A46">
        <v>45</v>
      </c>
      <c r="B46" t="s">
        <v>16</v>
      </c>
      <c r="C46" t="s">
        <v>16</v>
      </c>
      <c r="D46" t="s">
        <v>140</v>
      </c>
      <c r="E46" s="2">
        <v>44110.591874999998</v>
      </c>
      <c r="F46" s="2">
        <v>44110.604004629633</v>
      </c>
      <c r="G46" s="3">
        <v>1.212962963472819E-2</v>
      </c>
      <c r="H46" s="3">
        <v>1054.3836608769288</v>
      </c>
      <c r="I46" s="3">
        <v>17.57306101461548</v>
      </c>
      <c r="J46" s="3">
        <v>0.29288435024359133</v>
      </c>
    </row>
    <row r="47" spans="1:11" x14ac:dyDescent="0.35">
      <c r="A47">
        <v>46</v>
      </c>
      <c r="B47" t="s">
        <v>2</v>
      </c>
      <c r="C47" t="s">
        <v>132</v>
      </c>
      <c r="D47" t="s">
        <v>140</v>
      </c>
      <c r="E47" s="2">
        <v>44110.604351851849</v>
      </c>
      <c r="F47" s="2">
        <v>44110.613310185188</v>
      </c>
      <c r="G47" s="3">
        <v>8.9583333392511122E-3</v>
      </c>
      <c r="H47" s="3">
        <v>778.71465049123015</v>
      </c>
      <c r="I47" s="3">
        <v>12.978577508187168</v>
      </c>
      <c r="J47" s="3">
        <v>0.2163096251364528</v>
      </c>
      <c r="K47" t="s">
        <v>40</v>
      </c>
    </row>
    <row r="48" spans="1:11" x14ac:dyDescent="0.35">
      <c r="A48">
        <v>47</v>
      </c>
      <c r="B48" t="s">
        <v>11</v>
      </c>
      <c r="C48" t="s">
        <v>11</v>
      </c>
      <c r="D48" t="s">
        <v>140</v>
      </c>
      <c r="E48" s="2">
        <v>44110.613541666666</v>
      </c>
      <c r="F48" s="2">
        <v>44110.623599537037</v>
      </c>
      <c r="G48" s="3">
        <v>1.0057870371383615E-2</v>
      </c>
      <c r="H48" s="3">
        <v>874.29332157367992</v>
      </c>
      <c r="I48" s="3">
        <v>14.571555359561332</v>
      </c>
      <c r="J48" s="3">
        <v>0.24285925599268887</v>
      </c>
    </row>
    <row r="49" spans="1:11" x14ac:dyDescent="0.35">
      <c r="A49">
        <v>48</v>
      </c>
      <c r="B49" t="s">
        <v>2</v>
      </c>
      <c r="C49" t="s">
        <v>96</v>
      </c>
      <c r="D49" t="s">
        <v>140</v>
      </c>
      <c r="E49" s="2">
        <v>44110.623749999999</v>
      </c>
      <c r="F49" s="2">
        <v>44110.658819444441</v>
      </c>
      <c r="G49" s="3">
        <v>3.5069444442342501E-2</v>
      </c>
      <c r="H49" s="3">
        <v>3048.4565753079364</v>
      </c>
      <c r="I49" s="3">
        <v>50.80760958846561</v>
      </c>
      <c r="J49" s="3">
        <v>0.84679349314109353</v>
      </c>
    </row>
    <row r="50" spans="1:11" x14ac:dyDescent="0.35">
      <c r="A50">
        <v>49</v>
      </c>
      <c r="B50" t="s">
        <v>11</v>
      </c>
      <c r="C50" t="s">
        <v>11</v>
      </c>
      <c r="D50" t="s">
        <v>140</v>
      </c>
      <c r="E50" s="2">
        <v>44110.659178240741</v>
      </c>
      <c r="F50" s="2">
        <v>44110.681504629632</v>
      </c>
      <c r="G50" s="3">
        <v>2.2326388891087845E-2</v>
      </c>
      <c r="H50" s="3">
        <v>1940.7500774589573</v>
      </c>
      <c r="I50" s="3">
        <v>32.345834624315955</v>
      </c>
      <c r="J50" s="3">
        <v>0.53909724373859924</v>
      </c>
    </row>
    <row r="51" spans="1:11" x14ac:dyDescent="0.35">
      <c r="A51">
        <v>50</v>
      </c>
      <c r="B51" t="s">
        <v>16</v>
      </c>
      <c r="C51" t="s">
        <v>16</v>
      </c>
      <c r="D51" t="s">
        <v>140</v>
      </c>
      <c r="E51" s="2">
        <v>44110.681597222225</v>
      </c>
      <c r="F51" s="2">
        <v>44110.683055555557</v>
      </c>
      <c r="G51" s="3">
        <v>1.4583333322661929E-3</v>
      </c>
      <c r="H51" s="3">
        <v>126.7675010662546</v>
      </c>
      <c r="I51" s="3">
        <v>2.1127916844375765</v>
      </c>
      <c r="J51" s="3">
        <v>3.5213194740626272E-2</v>
      </c>
    </row>
    <row r="52" spans="1:11" x14ac:dyDescent="0.35">
      <c r="A52">
        <v>51</v>
      </c>
      <c r="B52" t="s">
        <v>11</v>
      </c>
      <c r="C52" t="s">
        <v>11</v>
      </c>
      <c r="D52" t="s">
        <v>140</v>
      </c>
      <c r="E52" s="2">
        <v>44110.683298611111</v>
      </c>
      <c r="F52" s="2">
        <v>44110.732083333336</v>
      </c>
      <c r="G52" s="3">
        <v>4.8784722224809229E-2</v>
      </c>
      <c r="H52" s="3">
        <v>4240.6747413777148</v>
      </c>
      <c r="I52" s="3">
        <v>70.677912356295252</v>
      </c>
      <c r="J52" s="3">
        <v>1.1779652059382542</v>
      </c>
    </row>
    <row r="53" spans="1:11" x14ac:dyDescent="0.35">
      <c r="A53">
        <v>52</v>
      </c>
      <c r="B53" t="s">
        <v>11</v>
      </c>
      <c r="C53" t="s">
        <v>11</v>
      </c>
      <c r="D53" t="s">
        <v>140</v>
      </c>
      <c r="E53" s="2">
        <v>44110.818113425928</v>
      </c>
      <c r="F53" s="2">
        <v>44110.83861111111</v>
      </c>
      <c r="G53" s="3">
        <v>2.0497685181908309E-2</v>
      </c>
      <c r="H53" s="3">
        <v>1781.7876548946722</v>
      </c>
      <c r="I53" s="3">
        <v>29.696460914911203</v>
      </c>
      <c r="J53" s="3">
        <v>0.49494101524852002</v>
      </c>
    </row>
    <row r="54" spans="1:11" x14ac:dyDescent="0.35">
      <c r="A54">
        <v>53</v>
      </c>
      <c r="B54" t="s">
        <v>11</v>
      </c>
      <c r="C54" t="s">
        <v>11</v>
      </c>
      <c r="D54" t="s">
        <v>140</v>
      </c>
      <c r="E54" s="2">
        <v>44110.858217592591</v>
      </c>
      <c r="F54" s="2">
        <v>44110.859791666669</v>
      </c>
      <c r="G54" s="3">
        <v>1.5740740782348439E-3</v>
      </c>
      <c r="H54" s="3">
        <v>136.8284143110956</v>
      </c>
      <c r="I54" s="3">
        <v>2.2804735718515934</v>
      </c>
      <c r="J54" s="3">
        <v>3.8007892864193225E-2</v>
      </c>
    </row>
    <row r="55" spans="1:11" x14ac:dyDescent="0.35">
      <c r="A55">
        <v>54</v>
      </c>
      <c r="B55" t="s">
        <v>11</v>
      </c>
      <c r="C55" t="s">
        <v>11</v>
      </c>
      <c r="D55" t="s">
        <v>140</v>
      </c>
      <c r="E55" s="2">
        <v>44110.882557870369</v>
      </c>
      <c r="F55" s="2">
        <v>44110.884120370371</v>
      </c>
      <c r="G55" s="3">
        <v>1.5625000014551915E-3</v>
      </c>
      <c r="H55" s="3">
        <v>135.82232279686991</v>
      </c>
      <c r="I55" s="3">
        <v>2.2637053799478317</v>
      </c>
      <c r="J55" s="3">
        <v>3.7728422999130526E-2</v>
      </c>
    </row>
    <row r="56" spans="1:11" x14ac:dyDescent="0.35">
      <c r="A56">
        <v>55</v>
      </c>
      <c r="B56" t="s">
        <v>2</v>
      </c>
      <c r="C56" t="s">
        <v>72</v>
      </c>
      <c r="D56" t="s">
        <v>140</v>
      </c>
      <c r="E56" s="2">
        <v>44111.333622685182</v>
      </c>
      <c r="F56" s="2">
        <v>44111.346828703703</v>
      </c>
      <c r="G56" s="3">
        <v>1.3206018520577345E-2</v>
      </c>
      <c r="H56" s="3">
        <v>1147.9501495633992</v>
      </c>
      <c r="I56" s="3">
        <v>19.132502492723322</v>
      </c>
      <c r="J56" s="3">
        <v>0.3188750415453887</v>
      </c>
      <c r="K56" t="s">
        <v>73</v>
      </c>
    </row>
    <row r="57" spans="1:11" x14ac:dyDescent="0.35">
      <c r="A57">
        <v>56</v>
      </c>
      <c r="B57" t="s">
        <v>16</v>
      </c>
      <c r="C57" t="s">
        <v>16</v>
      </c>
      <c r="D57" t="s">
        <v>140</v>
      </c>
      <c r="E57" s="2">
        <v>44111.346932870372</v>
      </c>
      <c r="F57" s="2">
        <v>44111.350046296298</v>
      </c>
      <c r="G57" s="3">
        <v>3.1134259261307307E-3</v>
      </c>
      <c r="H57" s="3">
        <v>270.63855407951411</v>
      </c>
      <c r="I57" s="3">
        <v>4.5106425679919022</v>
      </c>
      <c r="J57" s="3">
        <v>7.5177376133198373E-2</v>
      </c>
    </row>
    <row r="58" spans="1:11" x14ac:dyDescent="0.35">
      <c r="A58">
        <v>57</v>
      </c>
      <c r="B58" t="s">
        <v>11</v>
      </c>
      <c r="C58" t="s">
        <v>11</v>
      </c>
      <c r="D58" t="s">
        <v>140</v>
      </c>
      <c r="E58" s="2">
        <v>44111.350138888891</v>
      </c>
      <c r="F58" s="2">
        <v>44111.358055555553</v>
      </c>
      <c r="G58" s="3">
        <v>7.916666661913041E-3</v>
      </c>
      <c r="H58" s="3">
        <v>688.16643445002092</v>
      </c>
      <c r="I58" s="3">
        <v>11.469440574167015</v>
      </c>
      <c r="J58" s="3">
        <v>0.19115734290278358</v>
      </c>
    </row>
    <row r="59" spans="1:11" x14ac:dyDescent="0.35">
      <c r="A59">
        <v>58</v>
      </c>
      <c r="B59" t="s">
        <v>16</v>
      </c>
      <c r="C59" t="s">
        <v>16</v>
      </c>
      <c r="D59" t="s">
        <v>140</v>
      </c>
      <c r="E59" s="2">
        <v>44111.358506944445</v>
      </c>
      <c r="F59" s="2">
        <v>44111.369467592594</v>
      </c>
      <c r="G59" s="3">
        <v>1.096064814919373E-2</v>
      </c>
      <c r="H59" s="3">
        <v>952.76844134159683</v>
      </c>
      <c r="I59" s="3">
        <v>15.879474022359947</v>
      </c>
      <c r="J59" s="3">
        <v>0.26465790037266579</v>
      </c>
    </row>
    <row r="60" spans="1:11" x14ac:dyDescent="0.35">
      <c r="A60">
        <v>59</v>
      </c>
      <c r="B60" t="s">
        <v>11</v>
      </c>
      <c r="C60" t="s">
        <v>11</v>
      </c>
      <c r="D60" t="s">
        <v>140</v>
      </c>
      <c r="E60" s="2">
        <v>44111.369664351849</v>
      </c>
      <c r="F60" s="2">
        <v>44111.379201388889</v>
      </c>
      <c r="G60" s="3">
        <v>9.5370370399905369E-3</v>
      </c>
      <c r="H60" s="3">
        <v>829.0192141855473</v>
      </c>
      <c r="I60" s="3">
        <v>13.816986903092454</v>
      </c>
      <c r="J60" s="3">
        <v>0.23028311505154089</v>
      </c>
    </row>
    <row r="61" spans="1:11" x14ac:dyDescent="0.35">
      <c r="A61">
        <v>60</v>
      </c>
      <c r="B61" t="s">
        <v>11</v>
      </c>
      <c r="C61" t="s">
        <v>11</v>
      </c>
      <c r="D61" t="s">
        <v>140</v>
      </c>
      <c r="E61" s="2">
        <v>44111.379328703704</v>
      </c>
      <c r="F61" s="2">
        <v>44111.381018518521</v>
      </c>
      <c r="G61" s="3">
        <v>1.6898148169275373E-3</v>
      </c>
      <c r="H61" s="3">
        <v>146.88932692346464</v>
      </c>
      <c r="I61" s="3">
        <v>2.4481554487244108</v>
      </c>
      <c r="J61" s="3">
        <v>4.0802590812073512E-2</v>
      </c>
    </row>
    <row r="62" spans="1:11" x14ac:dyDescent="0.35">
      <c r="A62">
        <v>61</v>
      </c>
      <c r="B62" t="s">
        <v>2</v>
      </c>
      <c r="C62" t="s">
        <v>132</v>
      </c>
      <c r="D62" t="s">
        <v>140</v>
      </c>
      <c r="E62" s="2">
        <v>44111.381111111114</v>
      </c>
      <c r="F62" s="2">
        <v>44111.385115740741</v>
      </c>
      <c r="G62" s="3">
        <v>4.0046296271611936E-3</v>
      </c>
      <c r="H62" s="3">
        <v>348.10758233320524</v>
      </c>
      <c r="I62" s="3">
        <v>5.8017930388867542</v>
      </c>
      <c r="J62" s="3">
        <v>9.669655064811257E-2</v>
      </c>
      <c r="K62" t="s">
        <v>41</v>
      </c>
    </row>
    <row r="63" spans="1:11" x14ac:dyDescent="0.35">
      <c r="A63">
        <v>62</v>
      </c>
      <c r="B63" t="s">
        <v>11</v>
      </c>
      <c r="C63" t="s">
        <v>11</v>
      </c>
      <c r="D63" t="s">
        <v>140</v>
      </c>
      <c r="E63" s="2">
        <v>44111.385266203702</v>
      </c>
      <c r="F63" s="2">
        <v>44111.419606481482</v>
      </c>
      <c r="G63" s="3">
        <v>3.4340277779847383E-2</v>
      </c>
      <c r="H63" s="3">
        <v>2985.0728250910452</v>
      </c>
      <c r="I63" s="3">
        <v>49.751213751517419</v>
      </c>
      <c r="J63" s="3">
        <v>0.8291868958586236</v>
      </c>
    </row>
    <row r="64" spans="1:11" x14ac:dyDescent="0.35">
      <c r="A64">
        <v>63</v>
      </c>
      <c r="B64" t="s">
        <v>16</v>
      </c>
      <c r="C64" t="s">
        <v>16</v>
      </c>
      <c r="D64" t="s">
        <v>140</v>
      </c>
      <c r="E64" s="2">
        <v>44111.419687499998</v>
      </c>
      <c r="F64" s="2">
        <v>44111.423298611109</v>
      </c>
      <c r="G64" s="3">
        <v>3.6111111112404615E-3</v>
      </c>
      <c r="H64" s="3">
        <v>313.90047907166735</v>
      </c>
      <c r="I64" s="3">
        <v>5.2316746511944556</v>
      </c>
      <c r="J64" s="3">
        <v>8.7194577519907598E-2</v>
      </c>
    </row>
    <row r="65" spans="1:11" x14ac:dyDescent="0.35">
      <c r="A65">
        <v>64</v>
      </c>
      <c r="B65" t="s">
        <v>11</v>
      </c>
      <c r="C65" t="s">
        <v>11</v>
      </c>
      <c r="D65" t="s">
        <v>140</v>
      </c>
      <c r="E65" s="2">
        <v>44111.423483796294</v>
      </c>
      <c r="F65" s="2">
        <v>44111.429398148146</v>
      </c>
      <c r="G65" s="3">
        <v>5.914351851970423E-3</v>
      </c>
      <c r="H65" s="3">
        <v>514.11264359965423</v>
      </c>
      <c r="I65" s="3">
        <v>8.5685440599942364</v>
      </c>
      <c r="J65" s="3">
        <v>0.14280906766657062</v>
      </c>
    </row>
    <row r="66" spans="1:11" x14ac:dyDescent="0.35">
      <c r="A66">
        <v>65</v>
      </c>
      <c r="B66" t="s">
        <v>11</v>
      </c>
      <c r="C66" t="s">
        <v>11</v>
      </c>
      <c r="D66" t="s">
        <v>140</v>
      </c>
      <c r="E66" s="2">
        <v>44111.429502314815</v>
      </c>
      <c r="F66" s="2">
        <v>44111.436226851853</v>
      </c>
      <c r="G66" s="3">
        <v>6.7245370373711921E-3</v>
      </c>
      <c r="H66" s="3">
        <v>584.53903315118146</v>
      </c>
      <c r="I66" s="3">
        <v>9.7423172191863578</v>
      </c>
      <c r="J66" s="3">
        <v>0.16237195365310597</v>
      </c>
    </row>
    <row r="67" spans="1:11" x14ac:dyDescent="0.35">
      <c r="A67">
        <v>66</v>
      </c>
      <c r="B67" t="s">
        <v>11</v>
      </c>
      <c r="C67" t="s">
        <v>11</v>
      </c>
      <c r="D67" t="s">
        <v>140</v>
      </c>
      <c r="E67" s="2">
        <v>44111.436296296299</v>
      </c>
      <c r="F67" s="2">
        <v>44111.446018518516</v>
      </c>
      <c r="G67" s="3">
        <v>9.7222222175332718E-3</v>
      </c>
      <c r="H67" s="3">
        <v>845.11667398585462</v>
      </c>
      <c r="I67" s="3">
        <v>14.085277899764243</v>
      </c>
      <c r="J67" s="3">
        <v>0.23475463166273738</v>
      </c>
    </row>
    <row r="68" spans="1:11" x14ac:dyDescent="0.35">
      <c r="A68">
        <v>67</v>
      </c>
      <c r="B68" t="s">
        <v>2</v>
      </c>
      <c r="C68" t="s">
        <v>96</v>
      </c>
      <c r="D68" t="s">
        <v>140</v>
      </c>
      <c r="E68" s="2">
        <v>44111.446192129632</v>
      </c>
      <c r="F68" s="2">
        <v>44111.450601851851</v>
      </c>
      <c r="G68" s="3">
        <v>4.4097222198615782E-3</v>
      </c>
      <c r="H68" s="3">
        <v>383.32077710896885</v>
      </c>
      <c r="I68" s="3">
        <v>6.3886796184828141</v>
      </c>
      <c r="J68" s="3">
        <v>0.10647799364138023</v>
      </c>
    </row>
    <row r="69" spans="1:11" x14ac:dyDescent="0.35">
      <c r="A69">
        <v>68</v>
      </c>
      <c r="B69" t="s">
        <v>2</v>
      </c>
      <c r="C69" t="s">
        <v>96</v>
      </c>
      <c r="D69" t="s">
        <v>140</v>
      </c>
      <c r="E69" s="2">
        <v>44111.450833333336</v>
      </c>
      <c r="F69" s="2">
        <v>44111.463900462964</v>
      </c>
      <c r="G69" s="3">
        <v>1.3067129628325347E-2</v>
      </c>
      <c r="H69" s="3">
        <v>1135.8770539225789</v>
      </c>
      <c r="I69" s="3">
        <v>18.93128423204298</v>
      </c>
      <c r="J69" s="3">
        <v>0.31552140386738298</v>
      </c>
    </row>
    <row r="70" spans="1:11" x14ac:dyDescent="0.35">
      <c r="A70">
        <v>69</v>
      </c>
      <c r="B70" t="s">
        <v>11</v>
      </c>
      <c r="C70" t="s">
        <v>11</v>
      </c>
      <c r="D70" t="s">
        <v>140</v>
      </c>
      <c r="E70" s="2">
        <v>44111.464016203703</v>
      </c>
      <c r="F70" s="2">
        <v>44111.467129629629</v>
      </c>
      <c r="G70" s="3">
        <v>3.1134259261307307E-3</v>
      </c>
      <c r="H70" s="3">
        <v>270.63855407951411</v>
      </c>
      <c r="I70" s="3">
        <v>4.5106425679919022</v>
      </c>
      <c r="J70" s="3">
        <v>7.5177376133198373E-2</v>
      </c>
    </row>
    <row r="71" spans="1:11" x14ac:dyDescent="0.35">
      <c r="A71">
        <v>70</v>
      </c>
      <c r="B71" t="s">
        <v>11</v>
      </c>
      <c r="C71" t="s">
        <v>11</v>
      </c>
      <c r="D71" t="s">
        <v>140</v>
      </c>
      <c r="E71" s="2">
        <v>44111.467592592591</v>
      </c>
      <c r="F71" s="2">
        <v>44111.481180555558</v>
      </c>
      <c r="G71" s="3">
        <v>1.3587962966994382E-2</v>
      </c>
      <c r="H71" s="3">
        <v>1181.1511619431833</v>
      </c>
      <c r="I71" s="3">
        <v>19.685852699053054</v>
      </c>
      <c r="J71" s="3">
        <v>0.32809754498421756</v>
      </c>
    </row>
    <row r="72" spans="1:11" x14ac:dyDescent="0.35">
      <c r="A72">
        <v>71</v>
      </c>
      <c r="B72" t="s">
        <v>16</v>
      </c>
      <c r="C72" t="s">
        <v>16</v>
      </c>
      <c r="D72" t="s">
        <v>140</v>
      </c>
      <c r="E72" s="2">
        <v>44111.481296296297</v>
      </c>
      <c r="F72" s="2">
        <v>44111.492372685185</v>
      </c>
      <c r="G72" s="3">
        <v>1.1076388887886424E-2</v>
      </c>
      <c r="H72" s="3">
        <v>962.82935395396589</v>
      </c>
      <c r="I72" s="3">
        <v>16.047155899232767</v>
      </c>
      <c r="J72" s="3">
        <v>0.26745259832054613</v>
      </c>
    </row>
    <row r="73" spans="1:11" x14ac:dyDescent="0.35">
      <c r="A73">
        <v>72</v>
      </c>
      <c r="B73" t="s">
        <v>11</v>
      </c>
      <c r="C73" t="s">
        <v>11</v>
      </c>
      <c r="D73" t="s">
        <v>140</v>
      </c>
      <c r="E73" s="2">
        <v>44111.492569444446</v>
      </c>
      <c r="F73" s="2">
        <v>44111.500636574077</v>
      </c>
      <c r="G73" s="3">
        <v>8.0671296309446916E-3</v>
      </c>
      <c r="H73" s="3">
        <v>701.24562160506707</v>
      </c>
      <c r="I73" s="3">
        <v>11.687427026751118</v>
      </c>
      <c r="J73" s="3">
        <v>0.19479045044585197</v>
      </c>
    </row>
    <row r="74" spans="1:11" x14ac:dyDescent="0.35">
      <c r="A74">
        <v>73</v>
      </c>
      <c r="B74" t="s">
        <v>16</v>
      </c>
      <c r="C74" t="s">
        <v>16</v>
      </c>
      <c r="D74" t="s">
        <v>140</v>
      </c>
      <c r="E74" s="2">
        <v>44111.500787037039</v>
      </c>
      <c r="F74" s="2">
        <v>44111.501550925925</v>
      </c>
      <c r="G74" s="3">
        <v>7.6388888555811718E-4</v>
      </c>
      <c r="H74" s="3">
        <v>66.402024127096411</v>
      </c>
      <c r="I74" s="3">
        <v>1.1067004021182736</v>
      </c>
      <c r="J74" s="3">
        <v>1.8445006701971228E-2</v>
      </c>
    </row>
    <row r="75" spans="1:11" x14ac:dyDescent="0.35">
      <c r="A75">
        <v>74</v>
      </c>
      <c r="B75" t="s">
        <v>11</v>
      </c>
      <c r="C75" t="s">
        <v>11</v>
      </c>
      <c r="D75" t="s">
        <v>140</v>
      </c>
      <c r="E75" s="2">
        <v>44111.501770833333</v>
      </c>
      <c r="F75" s="2">
        <v>44111.5075</v>
      </c>
      <c r="G75" s="3">
        <v>5.7291666671517305E-3</v>
      </c>
      <c r="H75" s="3">
        <v>498.01518316687503</v>
      </c>
      <c r="I75" s="3">
        <v>8.300253052781251</v>
      </c>
      <c r="J75" s="3">
        <v>0.13833755087968752</v>
      </c>
    </row>
    <row r="76" spans="1:11" x14ac:dyDescent="0.35">
      <c r="A76">
        <v>75</v>
      </c>
      <c r="B76" t="s">
        <v>2</v>
      </c>
      <c r="C76" t="s">
        <v>132</v>
      </c>
      <c r="D76" t="s">
        <v>140</v>
      </c>
      <c r="E76" s="2">
        <v>44111.507627314815</v>
      </c>
      <c r="F76" s="2">
        <v>44111.515347222223</v>
      </c>
      <c r="G76" s="3">
        <v>7.7199074075906537E-3</v>
      </c>
      <c r="H76" s="3">
        <v>671.06288313548794</v>
      </c>
      <c r="I76" s="3">
        <v>11.184381385591466</v>
      </c>
      <c r="J76" s="3">
        <v>0.18640635642652445</v>
      </c>
      <c r="K76" t="s">
        <v>40</v>
      </c>
    </row>
    <row r="77" spans="1:11" x14ac:dyDescent="0.35">
      <c r="A77">
        <v>76</v>
      </c>
      <c r="B77" t="s">
        <v>2</v>
      </c>
      <c r="C77" t="s">
        <v>132</v>
      </c>
      <c r="D77" t="s">
        <v>140</v>
      </c>
      <c r="E77" s="2">
        <v>44111.515613425923</v>
      </c>
      <c r="F77" s="2">
        <v>44111.519282407404</v>
      </c>
      <c r="G77" s="3">
        <v>3.6689814805868082E-3</v>
      </c>
      <c r="H77" s="3">
        <v>318.93093537785188</v>
      </c>
      <c r="I77" s="3">
        <v>5.3155155896308646</v>
      </c>
      <c r="J77" s="3">
        <v>8.8591926493847742E-2</v>
      </c>
      <c r="K77" t="s">
        <v>40</v>
      </c>
    </row>
    <row r="78" spans="1:11" x14ac:dyDescent="0.35">
      <c r="A78">
        <v>77</v>
      </c>
      <c r="B78" t="s">
        <v>2</v>
      </c>
      <c r="C78" t="s">
        <v>132</v>
      </c>
      <c r="D78" t="s">
        <v>140</v>
      </c>
      <c r="E78" s="2">
        <v>44111.519791666666</v>
      </c>
      <c r="F78" s="2">
        <v>44111.531388888892</v>
      </c>
      <c r="G78" s="3">
        <v>1.1597222226555459E-2</v>
      </c>
      <c r="H78" s="3">
        <v>1008.1034619745705</v>
      </c>
      <c r="I78" s="3">
        <v>16.801724366242841</v>
      </c>
      <c r="J78" s="3">
        <v>0.28002873943738066</v>
      </c>
      <c r="K78" t="s">
        <v>42</v>
      </c>
    </row>
    <row r="79" spans="1:11" x14ac:dyDescent="0.35">
      <c r="A79">
        <v>78</v>
      </c>
      <c r="B79" t="s">
        <v>11</v>
      </c>
      <c r="C79" t="s">
        <v>11</v>
      </c>
      <c r="D79" t="s">
        <v>140</v>
      </c>
      <c r="E79" s="2">
        <v>44111.531828703701</v>
      </c>
      <c r="F79" s="2">
        <v>44111.535046296296</v>
      </c>
      <c r="G79" s="3">
        <v>3.2175925953197293E-3</v>
      </c>
      <c r="H79" s="3">
        <v>279.69337581012945</v>
      </c>
      <c r="I79" s="3">
        <v>4.6615562635021579</v>
      </c>
      <c r="J79" s="3">
        <v>7.7692604391702627E-2</v>
      </c>
    </row>
    <row r="80" spans="1:11" x14ac:dyDescent="0.35">
      <c r="A80">
        <v>79</v>
      </c>
      <c r="B80" t="s">
        <v>2</v>
      </c>
      <c r="C80" t="s">
        <v>96</v>
      </c>
      <c r="D80" t="s">
        <v>140</v>
      </c>
      <c r="E80" s="2">
        <v>44111.535208333335</v>
      </c>
      <c r="F80" s="2">
        <v>44111.552881944444</v>
      </c>
      <c r="G80" s="3">
        <v>1.767361110978527E-2</v>
      </c>
      <c r="H80" s="3">
        <v>1536.3013829785525</v>
      </c>
      <c r="I80" s="3">
        <v>25.605023049642543</v>
      </c>
      <c r="J80" s="3">
        <v>0.42675038416070904</v>
      </c>
    </row>
    <row r="81" spans="1:11" x14ac:dyDescent="0.35">
      <c r="A81">
        <v>80</v>
      </c>
      <c r="B81" t="s">
        <v>11</v>
      </c>
      <c r="C81" t="s">
        <v>11</v>
      </c>
      <c r="D81" t="s">
        <v>140</v>
      </c>
      <c r="E81" s="2">
        <v>44111.553090277775</v>
      </c>
      <c r="F81" s="2">
        <v>44111.557685185187</v>
      </c>
      <c r="G81" s="3">
        <v>4.5949074119562283E-3</v>
      </c>
      <c r="H81" s="3">
        <v>399.41823817422011</v>
      </c>
      <c r="I81" s="3">
        <v>6.656970636237002</v>
      </c>
      <c r="J81" s="3">
        <v>0.11094951060395003</v>
      </c>
    </row>
    <row r="82" spans="1:11" x14ac:dyDescent="0.35">
      <c r="A82">
        <v>81</v>
      </c>
      <c r="B82" t="s">
        <v>11</v>
      </c>
      <c r="C82" t="s">
        <v>11</v>
      </c>
      <c r="D82" t="s">
        <v>140</v>
      </c>
      <c r="E82" s="2">
        <v>44111.557824074072</v>
      </c>
      <c r="F82" s="2">
        <v>44111.576851851853</v>
      </c>
      <c r="G82" s="3">
        <v>1.9027777780138422E-2</v>
      </c>
      <c r="H82" s="3">
        <v>1654.0140629466639</v>
      </c>
      <c r="I82" s="3">
        <v>27.566901049111063</v>
      </c>
      <c r="J82" s="3">
        <v>0.4594483508185177</v>
      </c>
    </row>
    <row r="83" spans="1:11" x14ac:dyDescent="0.35">
      <c r="A83">
        <v>82</v>
      </c>
      <c r="B83" t="s">
        <v>16</v>
      </c>
      <c r="C83" t="s">
        <v>16</v>
      </c>
      <c r="D83" t="s">
        <v>140</v>
      </c>
      <c r="E83" s="2">
        <v>44111.576956018522</v>
      </c>
      <c r="F83" s="2">
        <v>44111.582939814813</v>
      </c>
      <c r="G83" s="3">
        <v>5.9837962908204645E-3</v>
      </c>
      <c r="H83" s="3">
        <v>520.14919078759249</v>
      </c>
      <c r="I83" s="3">
        <v>8.6691531797932075</v>
      </c>
      <c r="J83" s="3">
        <v>0.14448588632988679</v>
      </c>
    </row>
    <row r="84" spans="1:11" x14ac:dyDescent="0.35">
      <c r="A84">
        <v>83</v>
      </c>
      <c r="B84" t="s">
        <v>11</v>
      </c>
      <c r="C84" t="s">
        <v>11</v>
      </c>
      <c r="D84" t="s">
        <v>140</v>
      </c>
      <c r="E84" s="2">
        <v>44111.58315972222</v>
      </c>
      <c r="F84" s="2">
        <v>44111.589131944442</v>
      </c>
      <c r="G84" s="3">
        <v>5.9722222213167697E-3</v>
      </c>
      <c r="H84" s="3">
        <v>519.14309990583877</v>
      </c>
      <c r="I84" s="3">
        <v>8.6523849984306462</v>
      </c>
      <c r="J84" s="3">
        <v>0.14420641664051076</v>
      </c>
    </row>
    <row r="85" spans="1:11" x14ac:dyDescent="0.35">
      <c r="A85">
        <v>84</v>
      </c>
      <c r="B85" t="s">
        <v>2</v>
      </c>
      <c r="C85" t="s">
        <v>132</v>
      </c>
      <c r="D85" t="s">
        <v>140</v>
      </c>
      <c r="E85" s="2">
        <v>44111.589305555557</v>
      </c>
      <c r="F85" s="2">
        <v>44111.590902777774</v>
      </c>
      <c r="G85" s="3">
        <v>1.5972222172422335E-3</v>
      </c>
      <c r="H85" s="3">
        <v>138.84059607460304</v>
      </c>
      <c r="I85" s="3">
        <v>2.3140099345767173</v>
      </c>
      <c r="J85" s="3">
        <v>3.8566832242945291E-2</v>
      </c>
      <c r="K85" t="s">
        <v>64</v>
      </c>
    </row>
    <row r="86" spans="1:11" x14ac:dyDescent="0.35">
      <c r="A86">
        <v>85</v>
      </c>
      <c r="B86" t="s">
        <v>11</v>
      </c>
      <c r="C86" t="s">
        <v>11</v>
      </c>
      <c r="D86" t="s">
        <v>140</v>
      </c>
      <c r="E86" s="2">
        <v>44111.591215277775</v>
      </c>
      <c r="F86" s="2">
        <v>44111.615243055552</v>
      </c>
      <c r="G86" s="3">
        <v>2.4027777777519077E-2</v>
      </c>
      <c r="H86" s="3">
        <v>2088.6454952641757</v>
      </c>
      <c r="I86" s="3">
        <v>34.810758254402927</v>
      </c>
      <c r="J86" s="3">
        <v>0.58017930424004882</v>
      </c>
    </row>
    <row r="87" spans="1:11" x14ac:dyDescent="0.35">
      <c r="A87">
        <v>86</v>
      </c>
      <c r="B87" t="s">
        <v>2</v>
      </c>
      <c r="C87" t="s">
        <v>132</v>
      </c>
      <c r="D87" t="s">
        <v>140</v>
      </c>
      <c r="E87" s="2">
        <v>44111.615393518521</v>
      </c>
      <c r="F87" s="2">
        <v>44111.61991898148</v>
      </c>
      <c r="G87" s="3">
        <v>4.5254629585542716E-3</v>
      </c>
      <c r="H87" s="3">
        <v>393.38168972133792</v>
      </c>
      <c r="I87" s="3">
        <v>6.556361495355632</v>
      </c>
      <c r="J87" s="3">
        <v>0.10927269158926053</v>
      </c>
      <c r="K87" t="s">
        <v>42</v>
      </c>
    </row>
    <row r="88" spans="1:11" x14ac:dyDescent="0.35">
      <c r="A88">
        <v>87</v>
      </c>
      <c r="B88" t="s">
        <v>11</v>
      </c>
      <c r="C88" t="s">
        <v>11</v>
      </c>
      <c r="D88" t="s">
        <v>140</v>
      </c>
      <c r="E88" s="2">
        <v>44111.620057870372</v>
      </c>
      <c r="F88" s="2">
        <v>44111.623379629629</v>
      </c>
      <c r="G88" s="3">
        <v>3.3217592572327703E-3</v>
      </c>
      <c r="H88" s="3">
        <v>288.7481969082728</v>
      </c>
      <c r="I88" s="3">
        <v>4.8124699484712137</v>
      </c>
      <c r="J88" s="3">
        <v>8.0207832474520221E-2</v>
      </c>
    </row>
    <row r="89" spans="1:11" x14ac:dyDescent="0.35">
      <c r="A89">
        <v>88</v>
      </c>
      <c r="B89" t="s">
        <v>11</v>
      </c>
      <c r="C89" t="s">
        <v>11</v>
      </c>
      <c r="D89" t="s">
        <v>140</v>
      </c>
      <c r="E89" s="2">
        <v>44111.623483796298</v>
      </c>
      <c r="F89" s="2">
        <v>44111.628125000003</v>
      </c>
      <c r="G89" s="3">
        <v>4.6412037045229226E-3</v>
      </c>
      <c r="H89" s="3">
        <v>403.44260296617892</v>
      </c>
      <c r="I89" s="3">
        <v>6.7240433827696489</v>
      </c>
      <c r="J89" s="3">
        <v>0.11206738971282748</v>
      </c>
    </row>
    <row r="90" spans="1:11" x14ac:dyDescent="0.35">
      <c r="A90">
        <v>89</v>
      </c>
      <c r="B90" t="s">
        <v>11</v>
      </c>
      <c r="C90" t="s">
        <v>11</v>
      </c>
      <c r="D90" t="s">
        <v>140</v>
      </c>
      <c r="E90" s="2">
        <v>44111.628275462965</v>
      </c>
      <c r="F90" s="2">
        <v>44111.681504629632</v>
      </c>
      <c r="G90" s="3">
        <v>5.3229166667733807E-2</v>
      </c>
      <c r="H90" s="3">
        <v>4627.0137923968887</v>
      </c>
      <c r="I90" s="3">
        <v>77.116896539948144</v>
      </c>
      <c r="J90" s="3">
        <v>1.2852816089991357</v>
      </c>
    </row>
    <row r="91" spans="1:11" x14ac:dyDescent="0.35">
      <c r="A91">
        <v>90</v>
      </c>
      <c r="B91" t="s">
        <v>11</v>
      </c>
      <c r="C91" t="s">
        <v>11</v>
      </c>
      <c r="D91" t="s">
        <v>140</v>
      </c>
      <c r="E91" s="2">
        <v>44111.681585648148</v>
      </c>
      <c r="F91" s="2">
        <v>44111.68173611111</v>
      </c>
      <c r="G91" s="3">
        <v>1.5046296175569296E-4</v>
      </c>
      <c r="H91" s="3">
        <v>13.079186522574144</v>
      </c>
      <c r="I91" s="3">
        <v>0.21798644204290241</v>
      </c>
      <c r="J91" s="3">
        <v>3.6331073673817067E-3</v>
      </c>
    </row>
    <row r="92" spans="1:11" x14ac:dyDescent="0.35">
      <c r="A92">
        <v>91</v>
      </c>
      <c r="B92" t="s">
        <v>11</v>
      </c>
      <c r="C92" t="s">
        <v>11</v>
      </c>
      <c r="D92" t="s">
        <v>140</v>
      </c>
      <c r="E92" s="2">
        <v>44111.681828703702</v>
      </c>
      <c r="F92" s="2">
        <v>44111.710752314815</v>
      </c>
      <c r="G92" s="3">
        <v>2.8923611112986691E-2</v>
      </c>
      <c r="H92" s="3">
        <v>2514.2221064835439</v>
      </c>
      <c r="I92" s="3">
        <v>41.903701774725732</v>
      </c>
      <c r="J92" s="3">
        <v>0.69839502957876221</v>
      </c>
    </row>
    <row r="93" spans="1:11" x14ac:dyDescent="0.35">
      <c r="A93">
        <v>92</v>
      </c>
      <c r="B93" t="s">
        <v>11</v>
      </c>
      <c r="C93" t="s">
        <v>11</v>
      </c>
      <c r="D93" t="s">
        <v>140</v>
      </c>
      <c r="E93" s="2">
        <v>44111.710844907408</v>
      </c>
      <c r="F93" s="2">
        <v>44111.711018518516</v>
      </c>
      <c r="G93" s="3">
        <v>1.7361110803904012E-4</v>
      </c>
      <c r="H93" s="3">
        <v>15.091368918553556</v>
      </c>
      <c r="I93" s="3">
        <v>0.25152281530922593</v>
      </c>
      <c r="J93" s="3">
        <v>4.1920469218204321E-3</v>
      </c>
    </row>
    <row r="94" spans="1:11" x14ac:dyDescent="0.35">
      <c r="A94">
        <v>93</v>
      </c>
      <c r="B94" t="s">
        <v>11</v>
      </c>
      <c r="C94" t="s">
        <v>11</v>
      </c>
      <c r="D94" t="s">
        <v>140</v>
      </c>
      <c r="E94" s="2">
        <v>44111.711134259262</v>
      </c>
      <c r="F94" s="2">
        <v>44111.716087962966</v>
      </c>
      <c r="G94" s="3">
        <v>4.9537037048139609E-3</v>
      </c>
      <c r="H94" s="3">
        <v>430.60706752555291</v>
      </c>
      <c r="I94" s="3">
        <v>7.1767844587592151</v>
      </c>
      <c r="J94" s="3">
        <v>0.11961307431265358</v>
      </c>
    </row>
    <row r="95" spans="1:11" x14ac:dyDescent="0.35">
      <c r="A95">
        <v>94</v>
      </c>
      <c r="B95" t="s">
        <v>16</v>
      </c>
      <c r="C95" t="s">
        <v>16</v>
      </c>
      <c r="D95" t="s">
        <v>140</v>
      </c>
      <c r="E95" s="2">
        <v>44111.716145833336</v>
      </c>
      <c r="F95" s="2">
        <v>44111.721724537034</v>
      </c>
      <c r="G95" s="3">
        <v>5.5787036981200799E-3</v>
      </c>
      <c r="H95" s="3">
        <v>484.93599601182888</v>
      </c>
      <c r="I95" s="3">
        <v>8.0822666001971477</v>
      </c>
      <c r="J95" s="3">
        <v>0.13470444333661913</v>
      </c>
    </row>
    <row r="96" spans="1:11" x14ac:dyDescent="0.35">
      <c r="A96">
        <v>95</v>
      </c>
      <c r="B96" t="s">
        <v>11</v>
      </c>
      <c r="C96" t="s">
        <v>11</v>
      </c>
      <c r="D96" t="s">
        <v>140</v>
      </c>
      <c r="E96" s="2">
        <v>44111.721863425926</v>
      </c>
      <c r="F96" s="2">
        <v>44111.760335648149</v>
      </c>
      <c r="G96" s="3">
        <v>3.8472222222480923E-2</v>
      </c>
      <c r="H96" s="3">
        <v>3344.2474115508448</v>
      </c>
      <c r="I96" s="3">
        <v>55.737456859180746</v>
      </c>
      <c r="J96" s="3">
        <v>0.92895761431967905</v>
      </c>
    </row>
    <row r="97" spans="1:11" x14ac:dyDescent="0.35">
      <c r="A97">
        <v>96</v>
      </c>
      <c r="B97" t="s">
        <v>11</v>
      </c>
      <c r="C97" t="s">
        <v>11</v>
      </c>
      <c r="D97" t="s">
        <v>140</v>
      </c>
      <c r="E97" s="2">
        <v>44112.323067129626</v>
      </c>
      <c r="F97" s="2">
        <v>44112.334224537037</v>
      </c>
      <c r="G97" s="3">
        <v>1.1157407410792075E-2</v>
      </c>
      <c r="H97" s="3">
        <v>969.87199328860174</v>
      </c>
      <c r="I97" s="3">
        <v>16.164533221476695</v>
      </c>
      <c r="J97" s="3">
        <v>0.26940888702461158</v>
      </c>
    </row>
    <row r="98" spans="1:11" x14ac:dyDescent="0.35">
      <c r="A98">
        <v>97</v>
      </c>
      <c r="B98" t="s">
        <v>11</v>
      </c>
      <c r="C98" t="s">
        <v>11</v>
      </c>
      <c r="D98" t="s">
        <v>140</v>
      </c>
      <c r="E98" s="2">
        <v>44112.334305555552</v>
      </c>
      <c r="F98" s="2">
        <v>44112.336446759262</v>
      </c>
      <c r="G98" s="3">
        <v>2.1412037094705738E-3</v>
      </c>
      <c r="H98" s="3">
        <v>186.12688712365906</v>
      </c>
      <c r="I98" s="3">
        <v>3.1021147853943178</v>
      </c>
      <c r="J98" s="3">
        <v>5.1701913089905301E-2</v>
      </c>
    </row>
    <row r="99" spans="1:11" x14ac:dyDescent="0.35">
      <c r="A99">
        <v>98</v>
      </c>
      <c r="B99" t="s">
        <v>11</v>
      </c>
      <c r="C99" t="s">
        <v>11</v>
      </c>
      <c r="D99" t="s">
        <v>140</v>
      </c>
      <c r="E99" s="2">
        <v>44112.336504629631</v>
      </c>
      <c r="F99" s="2">
        <v>44112.343206018515</v>
      </c>
      <c r="G99" s="3">
        <v>6.7013888838118874E-3</v>
      </c>
      <c r="H99" s="3">
        <v>582.52685012273014</v>
      </c>
      <c r="I99" s="3">
        <v>9.7087808353788354</v>
      </c>
      <c r="J99" s="3">
        <v>0.16181301392298059</v>
      </c>
    </row>
    <row r="100" spans="1:11" x14ac:dyDescent="0.35">
      <c r="A100">
        <v>99</v>
      </c>
      <c r="B100" t="s">
        <v>11</v>
      </c>
      <c r="C100" t="s">
        <v>11</v>
      </c>
      <c r="D100" t="s">
        <v>140</v>
      </c>
      <c r="E100" s="2">
        <v>44112.343414351853</v>
      </c>
      <c r="F100" s="2">
        <v>44112.347025462965</v>
      </c>
      <c r="G100" s="3">
        <v>3.6111111112404615E-3</v>
      </c>
      <c r="H100" s="3">
        <v>313.90047907166735</v>
      </c>
      <c r="I100" s="3">
        <v>5.2316746511944556</v>
      </c>
      <c r="J100" s="3">
        <v>8.7194577519907598E-2</v>
      </c>
    </row>
    <row r="101" spans="1:11" x14ac:dyDescent="0.35">
      <c r="A101">
        <v>100</v>
      </c>
      <c r="B101" t="s">
        <v>2</v>
      </c>
      <c r="C101" t="s">
        <v>96</v>
      </c>
      <c r="D101" t="s">
        <v>140</v>
      </c>
      <c r="E101" s="2">
        <v>44112.347326388888</v>
      </c>
      <c r="F101" s="2">
        <v>44112.35837962963</v>
      </c>
      <c r="G101" s="3">
        <v>1.1053240741603076E-2</v>
      </c>
      <c r="H101" s="3">
        <v>960.8171715579864</v>
      </c>
      <c r="I101" s="3">
        <v>16.01361952596644</v>
      </c>
      <c r="J101" s="3">
        <v>0.26689365876610732</v>
      </c>
    </row>
    <row r="102" spans="1:11" x14ac:dyDescent="0.35">
      <c r="A102">
        <v>101</v>
      </c>
      <c r="B102" t="s">
        <v>11</v>
      </c>
      <c r="C102" t="s">
        <v>11</v>
      </c>
      <c r="D102" t="s">
        <v>140</v>
      </c>
      <c r="E102" s="2">
        <v>44112.358553240738</v>
      </c>
      <c r="F102" s="2">
        <v>44112.359444444446</v>
      </c>
      <c r="G102" s="3">
        <v>8.9120370830642059E-4</v>
      </c>
      <c r="H102" s="3">
        <v>77.469028886163116</v>
      </c>
      <c r="I102" s="3">
        <v>1.2911504814360519</v>
      </c>
      <c r="J102" s="3">
        <v>2.1519174690600867E-2</v>
      </c>
    </row>
    <row r="103" spans="1:11" x14ac:dyDescent="0.35">
      <c r="A103">
        <v>102</v>
      </c>
      <c r="B103" t="s">
        <v>11</v>
      </c>
      <c r="C103" t="s">
        <v>11</v>
      </c>
      <c r="D103" t="s">
        <v>140</v>
      </c>
      <c r="E103" s="2">
        <v>44112.359629629631</v>
      </c>
      <c r="F103" s="2">
        <v>44112.359675925924</v>
      </c>
      <c r="G103" s="3">
        <v>4.6296292566694319E-5</v>
      </c>
      <c r="H103" s="3">
        <v>4.0243647919588241</v>
      </c>
      <c r="I103" s="3">
        <v>6.7072746532647068E-2</v>
      </c>
      <c r="J103" s="3">
        <v>1.1178791088774511E-3</v>
      </c>
    </row>
    <row r="104" spans="1:11" x14ac:dyDescent="0.35">
      <c r="A104">
        <v>103</v>
      </c>
      <c r="B104" t="s">
        <v>11</v>
      </c>
      <c r="C104" t="s">
        <v>11</v>
      </c>
      <c r="D104" t="s">
        <v>140</v>
      </c>
      <c r="E104" s="2">
        <v>44112.359942129631</v>
      </c>
      <c r="F104" s="2">
        <v>44112.369675925926</v>
      </c>
      <c r="G104" s="3">
        <v>9.7337962943129241E-3</v>
      </c>
      <c r="H104" s="3">
        <v>846.12276550008028</v>
      </c>
      <c r="I104" s="3">
        <v>14.102046091668004</v>
      </c>
      <c r="J104" s="3">
        <v>0.23503410152780008</v>
      </c>
    </row>
    <row r="105" spans="1:11" x14ac:dyDescent="0.35">
      <c r="A105">
        <v>104</v>
      </c>
      <c r="B105" t="s">
        <v>2</v>
      </c>
      <c r="C105" t="s">
        <v>96</v>
      </c>
      <c r="D105" t="s">
        <v>140</v>
      </c>
      <c r="E105" s="2">
        <v>44112.370034722226</v>
      </c>
      <c r="F105" s="2">
        <v>44112.375451388885</v>
      </c>
      <c r="G105" s="3">
        <v>5.4166666595847346E-3</v>
      </c>
      <c r="H105" s="3">
        <v>470.85071797502906</v>
      </c>
      <c r="I105" s="3">
        <v>7.847511966250484</v>
      </c>
      <c r="J105" s="3">
        <v>0.13079186610417473</v>
      </c>
    </row>
    <row r="106" spans="1:11" x14ac:dyDescent="0.35">
      <c r="A106">
        <v>105</v>
      </c>
      <c r="B106" t="s">
        <v>2</v>
      </c>
      <c r="C106" t="s">
        <v>96</v>
      </c>
      <c r="D106" t="s">
        <v>140</v>
      </c>
      <c r="E106" s="2">
        <v>44112.375636574077</v>
      </c>
      <c r="F106" s="2">
        <v>44112.376956018517</v>
      </c>
      <c r="G106" s="3">
        <v>1.3194444400141947E-3</v>
      </c>
      <c r="H106" s="3">
        <v>114.69440542543417</v>
      </c>
      <c r="I106" s="3">
        <v>1.9115734237572362</v>
      </c>
      <c r="J106" s="3">
        <v>3.18595570626206E-2</v>
      </c>
    </row>
    <row r="107" spans="1:11" x14ac:dyDescent="0.35">
      <c r="A107">
        <v>106</v>
      </c>
      <c r="B107" t="s">
        <v>16</v>
      </c>
      <c r="C107" t="s">
        <v>16</v>
      </c>
      <c r="D107" t="s">
        <v>140</v>
      </c>
      <c r="E107" s="2">
        <v>44112.37709490741</v>
      </c>
      <c r="F107" s="2">
        <v>44112.382488425923</v>
      </c>
      <c r="G107" s="3">
        <v>5.3935185133013874E-3</v>
      </c>
      <c r="H107" s="3">
        <v>468.83853557904962</v>
      </c>
      <c r="I107" s="3">
        <v>7.8139755929841606</v>
      </c>
      <c r="J107" s="3">
        <v>0.13023292654973601</v>
      </c>
    </row>
    <row r="108" spans="1:11" x14ac:dyDescent="0.35">
      <c r="A108">
        <v>107</v>
      </c>
      <c r="B108" t="s">
        <v>2</v>
      </c>
      <c r="C108" t="s">
        <v>132</v>
      </c>
      <c r="D108" t="s">
        <v>140</v>
      </c>
      <c r="E108" s="2">
        <v>44112.382696759261</v>
      </c>
      <c r="F108" s="2">
        <v>44112.388460648152</v>
      </c>
      <c r="G108" s="3">
        <v>5.7638888902147301E-3</v>
      </c>
      <c r="H108" s="3">
        <v>501.03345707708013</v>
      </c>
      <c r="I108" s="3">
        <v>8.3505576179513348</v>
      </c>
      <c r="J108" s="3">
        <v>0.13917596029918891</v>
      </c>
      <c r="K108" t="s">
        <v>64</v>
      </c>
    </row>
    <row r="109" spans="1:11" x14ac:dyDescent="0.35">
      <c r="A109">
        <v>108</v>
      </c>
      <c r="B109" t="s">
        <v>2</v>
      </c>
      <c r="C109" t="s">
        <v>132</v>
      </c>
      <c r="D109" t="s">
        <v>140</v>
      </c>
      <c r="E109" s="2">
        <v>44112.38863425926</v>
      </c>
      <c r="F109" s="2">
        <v>44112.413726851853</v>
      </c>
      <c r="G109" s="3">
        <v>2.5092592593864538E-2</v>
      </c>
      <c r="H109" s="3">
        <v>2181.2058930688922</v>
      </c>
      <c r="I109" s="3">
        <v>36.353431551148205</v>
      </c>
      <c r="J109" s="3">
        <v>0.60589052585247005</v>
      </c>
      <c r="K109" t="s">
        <v>41</v>
      </c>
    </row>
    <row r="110" spans="1:11" x14ac:dyDescent="0.35">
      <c r="A110">
        <v>109</v>
      </c>
      <c r="B110" t="s">
        <v>16</v>
      </c>
      <c r="C110" t="s">
        <v>16</v>
      </c>
      <c r="D110" t="s">
        <v>140</v>
      </c>
      <c r="E110" s="2">
        <v>44112.413854166669</v>
      </c>
      <c r="F110" s="2">
        <v>44112.430532407408</v>
      </c>
      <c r="G110" s="3">
        <v>1.6678240739565808E-2</v>
      </c>
      <c r="H110" s="3">
        <v>1449.777532994246</v>
      </c>
      <c r="I110" s="3">
        <v>24.162958883237433</v>
      </c>
      <c r="J110" s="3">
        <v>0.40271598138729053</v>
      </c>
    </row>
    <row r="111" spans="1:11" x14ac:dyDescent="0.35">
      <c r="A111">
        <v>110</v>
      </c>
      <c r="B111" t="s">
        <v>2</v>
      </c>
      <c r="C111" t="s">
        <v>132</v>
      </c>
      <c r="D111" t="s">
        <v>140</v>
      </c>
      <c r="E111" s="2">
        <v>44112.430752314816</v>
      </c>
      <c r="F111" s="2">
        <v>44112.450104166666</v>
      </c>
      <c r="G111" s="3">
        <v>1.9351851849933155E-2</v>
      </c>
      <c r="H111" s="3">
        <v>1682.1846183877915</v>
      </c>
      <c r="I111" s="3">
        <v>28.036410306463193</v>
      </c>
      <c r="J111" s="3">
        <v>0.46727350510771987</v>
      </c>
      <c r="K111" t="s">
        <v>41</v>
      </c>
    </row>
    <row r="112" spans="1:11" x14ac:dyDescent="0.35">
      <c r="A112">
        <v>111</v>
      </c>
      <c r="B112" t="s">
        <v>16</v>
      </c>
      <c r="C112" t="s">
        <v>16</v>
      </c>
      <c r="D112" t="s">
        <v>140</v>
      </c>
      <c r="E112" s="2">
        <v>44112.450231481482</v>
      </c>
      <c r="F112" s="2">
        <v>44112.450324074074</v>
      </c>
      <c r="G112" s="3">
        <v>9.2592592409346253E-5</v>
      </c>
      <c r="H112" s="3">
        <v>8.0487302163896253</v>
      </c>
      <c r="I112" s="3">
        <v>0.13414550360649374</v>
      </c>
      <c r="J112" s="3">
        <v>2.2357583934415623E-3</v>
      </c>
    </row>
    <row r="113" spans="1:11" x14ac:dyDescent="0.35">
      <c r="A113">
        <v>112</v>
      </c>
      <c r="B113" t="s">
        <v>2</v>
      </c>
      <c r="C113" t="s">
        <v>132</v>
      </c>
      <c r="D113" t="s">
        <v>140</v>
      </c>
      <c r="E113" s="2">
        <v>44112.450416666667</v>
      </c>
      <c r="F113" s="2">
        <v>44112.456724537034</v>
      </c>
      <c r="G113" s="3">
        <v>6.3078703678911552E-3</v>
      </c>
      <c r="H113" s="3">
        <v>548.31974686119213</v>
      </c>
      <c r="I113" s="3">
        <v>9.138662447686535</v>
      </c>
      <c r="J113" s="3">
        <v>0.15231104079477559</v>
      </c>
      <c r="K113" t="s">
        <v>41</v>
      </c>
    </row>
    <row r="114" spans="1:11" x14ac:dyDescent="0.35">
      <c r="A114">
        <v>113</v>
      </c>
      <c r="B114" t="s">
        <v>11</v>
      </c>
      <c r="C114" t="s">
        <v>11</v>
      </c>
      <c r="D114" t="s">
        <v>140</v>
      </c>
      <c r="E114" s="2">
        <v>44112.456921296296</v>
      </c>
      <c r="F114" s="2">
        <v>44112.459826388891</v>
      </c>
      <c r="G114" s="3">
        <v>2.905092595028691E-3</v>
      </c>
      <c r="H114" s="3">
        <v>252.52891125075547</v>
      </c>
      <c r="I114" s="3">
        <v>4.2088151875125908</v>
      </c>
      <c r="J114" s="3">
        <v>7.0146919791876511E-2</v>
      </c>
    </row>
    <row r="115" spans="1:11" x14ac:dyDescent="0.35">
      <c r="A115">
        <v>114</v>
      </c>
      <c r="B115" t="s">
        <v>2</v>
      </c>
      <c r="C115" t="s">
        <v>132</v>
      </c>
      <c r="D115" t="s">
        <v>140</v>
      </c>
      <c r="E115" s="2">
        <v>44112.460127314815</v>
      </c>
      <c r="F115" s="2">
        <v>44112.461446759262</v>
      </c>
      <c r="G115" s="3">
        <v>1.3194444472901523E-3</v>
      </c>
      <c r="H115" s="3">
        <v>114.69440605790614</v>
      </c>
      <c r="I115" s="3">
        <v>1.9115734342984356</v>
      </c>
      <c r="J115" s="3">
        <v>3.1859557238307259E-2</v>
      </c>
      <c r="K115" t="s">
        <v>42</v>
      </c>
    </row>
    <row r="116" spans="1:11" x14ac:dyDescent="0.35">
      <c r="A116">
        <v>115</v>
      </c>
      <c r="B116" t="s">
        <v>2</v>
      </c>
      <c r="C116" t="s">
        <v>132</v>
      </c>
      <c r="D116" t="s">
        <v>140</v>
      </c>
      <c r="E116" s="2">
        <v>44112.461759259262</v>
      </c>
      <c r="F116" s="2">
        <v>44112.481134259258</v>
      </c>
      <c r="G116" s="3">
        <v>1.9374999996216502E-2</v>
      </c>
      <c r="H116" s="3">
        <v>1684.1968007837709</v>
      </c>
      <c r="I116" s="3">
        <v>28.069946679729515</v>
      </c>
      <c r="J116" s="3">
        <v>0.46783244466215856</v>
      </c>
      <c r="K116" t="s">
        <v>40</v>
      </c>
    </row>
    <row r="117" spans="1:11" x14ac:dyDescent="0.35">
      <c r="A117">
        <v>116</v>
      </c>
      <c r="B117" t="s">
        <v>16</v>
      </c>
      <c r="C117" t="s">
        <v>16</v>
      </c>
      <c r="D117" t="s">
        <v>140</v>
      </c>
      <c r="E117" s="2">
        <v>44112.481226851851</v>
      </c>
      <c r="F117" s="2">
        <v>44112.503692129627</v>
      </c>
      <c r="G117" s="3">
        <v>2.2465277776063886E-2</v>
      </c>
      <c r="H117" s="3">
        <v>1952.8231724673058</v>
      </c>
      <c r="I117" s="3">
        <v>32.547052874455098</v>
      </c>
      <c r="J117" s="3">
        <v>0.54245088124091834</v>
      </c>
    </row>
    <row r="118" spans="1:11" x14ac:dyDescent="0.35">
      <c r="A118">
        <v>117</v>
      </c>
      <c r="B118" t="s">
        <v>2</v>
      </c>
      <c r="C118" t="s">
        <v>96</v>
      </c>
      <c r="D118" t="s">
        <v>140</v>
      </c>
      <c r="E118" s="2">
        <v>44112.503912037035</v>
      </c>
      <c r="F118" s="2">
        <v>44112.504374999997</v>
      </c>
      <c r="G118" s="3">
        <v>4.6296296204673126E-4</v>
      </c>
      <c r="H118" s="3">
        <v>40.243651081948123</v>
      </c>
      <c r="I118" s="3">
        <v>0.67072751803246866</v>
      </c>
      <c r="J118" s="3">
        <v>1.1178791967207811E-2</v>
      </c>
    </row>
    <row r="119" spans="1:11" x14ac:dyDescent="0.35">
      <c r="A119">
        <v>118</v>
      </c>
      <c r="B119" t="s">
        <v>2</v>
      </c>
      <c r="C119" t="s">
        <v>132</v>
      </c>
      <c r="D119" t="s">
        <v>140</v>
      </c>
      <c r="E119" s="2">
        <v>44112.504537037035</v>
      </c>
      <c r="F119" s="2">
        <v>44112.508888888886</v>
      </c>
      <c r="G119" s="3">
        <v>4.3518518505152315E-3</v>
      </c>
      <c r="H119" s="3">
        <v>378.29032080278438</v>
      </c>
      <c r="I119" s="3">
        <v>6.304838680046406</v>
      </c>
      <c r="J119" s="3">
        <v>0.1050806446674401</v>
      </c>
      <c r="K119" t="s">
        <v>41</v>
      </c>
    </row>
    <row r="120" spans="1:11" x14ac:dyDescent="0.35">
      <c r="A120">
        <v>119</v>
      </c>
      <c r="B120" t="s">
        <v>2</v>
      </c>
      <c r="C120" t="s">
        <v>96</v>
      </c>
      <c r="D120" t="s">
        <v>140</v>
      </c>
      <c r="E120" s="2">
        <v>44112.509236111109</v>
      </c>
      <c r="F120" s="2">
        <v>44112.544988425929</v>
      </c>
      <c r="G120" s="3">
        <v>3.5752314819546882E-2</v>
      </c>
      <c r="H120" s="3">
        <v>3107.8159613653406</v>
      </c>
      <c r="I120" s="3">
        <v>51.796932689422341</v>
      </c>
      <c r="J120" s="3">
        <v>0.86328221149037232</v>
      </c>
    </row>
    <row r="121" spans="1:11" x14ac:dyDescent="0.35">
      <c r="A121">
        <v>120</v>
      </c>
      <c r="B121" t="s">
        <v>16</v>
      </c>
      <c r="C121" t="s">
        <v>16</v>
      </c>
      <c r="D121" t="s">
        <v>140</v>
      </c>
      <c r="E121" s="2">
        <v>44112.545081018521</v>
      </c>
      <c r="F121" s="2">
        <v>44112.548043981478</v>
      </c>
      <c r="G121" s="3">
        <v>2.9629629570990801E-3</v>
      </c>
      <c r="H121" s="3">
        <v>257.55936692446801</v>
      </c>
      <c r="I121" s="3">
        <v>4.2926561154077998</v>
      </c>
      <c r="J121" s="3">
        <v>7.1544268590129995E-2</v>
      </c>
    </row>
    <row r="122" spans="1:11" x14ac:dyDescent="0.35">
      <c r="A122">
        <v>121</v>
      </c>
      <c r="B122" t="s">
        <v>2</v>
      </c>
      <c r="C122" t="s">
        <v>96</v>
      </c>
      <c r="D122" t="s">
        <v>140</v>
      </c>
      <c r="E122" s="2">
        <v>44112.548148148147</v>
      </c>
      <c r="F122" s="2">
        <v>44112.565150462964</v>
      </c>
      <c r="G122" s="3">
        <v>1.7002314816636499E-2</v>
      </c>
      <c r="H122" s="3">
        <v>1477.9480890678458</v>
      </c>
      <c r="I122" s="3">
        <v>24.632468151130762</v>
      </c>
      <c r="J122" s="3">
        <v>0.41054113585217938</v>
      </c>
    </row>
    <row r="123" spans="1:11" x14ac:dyDescent="0.35">
      <c r="A123">
        <v>122</v>
      </c>
      <c r="B123" t="s">
        <v>11</v>
      </c>
      <c r="C123" t="s">
        <v>11</v>
      </c>
      <c r="D123" t="s">
        <v>140</v>
      </c>
      <c r="E123" s="2">
        <v>44112.565405092595</v>
      </c>
      <c r="F123" s="2">
        <v>44112.592777777776</v>
      </c>
      <c r="G123" s="3">
        <v>2.7372685181035195E-2</v>
      </c>
      <c r="H123" s="3">
        <v>2379.4058745684279</v>
      </c>
      <c r="I123" s="3">
        <v>39.656764576140468</v>
      </c>
      <c r="J123" s="3">
        <v>0.66094607626900781</v>
      </c>
    </row>
    <row r="124" spans="1:11" x14ac:dyDescent="0.35">
      <c r="A124">
        <v>123</v>
      </c>
      <c r="B124" t="s">
        <v>11</v>
      </c>
      <c r="C124" t="s">
        <v>11</v>
      </c>
      <c r="D124" t="s">
        <v>140</v>
      </c>
      <c r="E124" s="2">
        <v>44112.592893518522</v>
      </c>
      <c r="F124" s="2">
        <v>44112.596365740741</v>
      </c>
      <c r="G124" s="3">
        <v>3.4722222189884633E-3</v>
      </c>
      <c r="H124" s="3">
        <v>301.82738343084691</v>
      </c>
      <c r="I124" s="3">
        <v>5.0304563905141153</v>
      </c>
      <c r="J124" s="3">
        <v>8.3840939841901926E-2</v>
      </c>
    </row>
    <row r="125" spans="1:11" x14ac:dyDescent="0.35">
      <c r="A125">
        <v>124</v>
      </c>
      <c r="B125" t="s">
        <v>2</v>
      </c>
      <c r="C125" t="s">
        <v>132</v>
      </c>
      <c r="D125" t="s">
        <v>140</v>
      </c>
      <c r="E125" s="2">
        <v>44112.59646990741</v>
      </c>
      <c r="F125" s="2">
        <v>44112.597581018519</v>
      </c>
      <c r="G125" s="3">
        <v>1.111111108912155E-3</v>
      </c>
      <c r="H125" s="3">
        <v>96.584762596675503</v>
      </c>
      <c r="I125" s="3">
        <v>1.6097460432779251</v>
      </c>
      <c r="J125" s="3">
        <v>2.6829100721298751E-2</v>
      </c>
      <c r="K125" t="s">
        <v>41</v>
      </c>
    </row>
    <row r="126" spans="1:11" x14ac:dyDescent="0.35">
      <c r="A126">
        <v>125</v>
      </c>
      <c r="B126" t="s">
        <v>16</v>
      </c>
      <c r="C126" t="s">
        <v>16</v>
      </c>
      <c r="D126" t="s">
        <v>140</v>
      </c>
      <c r="E126" s="2">
        <v>44112.597719907404</v>
      </c>
      <c r="F126" s="2">
        <v>44112.607708333337</v>
      </c>
      <c r="G126" s="3">
        <v>9.9884259325335734E-3</v>
      </c>
      <c r="H126" s="3">
        <v>868.25677438574178</v>
      </c>
      <c r="I126" s="3">
        <v>14.470946239762362</v>
      </c>
      <c r="J126" s="3">
        <v>0.2411824373293727</v>
      </c>
    </row>
    <row r="127" spans="1:11" x14ac:dyDescent="0.35">
      <c r="A127">
        <v>126</v>
      </c>
      <c r="B127" t="s">
        <v>11</v>
      </c>
      <c r="C127" t="s">
        <v>11</v>
      </c>
      <c r="D127" t="s">
        <v>140</v>
      </c>
      <c r="E127" s="2">
        <v>44112.607974537037</v>
      </c>
      <c r="F127" s="2">
        <v>44112.623761574076</v>
      </c>
      <c r="G127" s="3">
        <v>1.5787037038535345E-2</v>
      </c>
      <c r="H127" s="3">
        <v>1372.308504740555</v>
      </c>
      <c r="I127" s="3">
        <v>22.871808412342585</v>
      </c>
      <c r="J127" s="3">
        <v>0.38119680687237639</v>
      </c>
    </row>
    <row r="128" spans="1:11" x14ac:dyDescent="0.35">
      <c r="A128">
        <v>127</v>
      </c>
      <c r="B128" t="s">
        <v>2</v>
      </c>
      <c r="C128" t="s">
        <v>132</v>
      </c>
      <c r="D128" t="s">
        <v>140</v>
      </c>
      <c r="E128" s="2">
        <v>44112.62395833333</v>
      </c>
      <c r="F128" s="2">
        <v>44112.659803240742</v>
      </c>
      <c r="G128" s="3">
        <v>3.5844907411956228E-2</v>
      </c>
      <c r="H128" s="3">
        <v>3115.8646915817303</v>
      </c>
      <c r="I128" s="3">
        <v>51.931078193028839</v>
      </c>
      <c r="J128" s="3">
        <v>0.86551796988381402</v>
      </c>
      <c r="K128" t="s">
        <v>42</v>
      </c>
    </row>
    <row r="129" spans="1:11" x14ac:dyDescent="0.35">
      <c r="A129">
        <v>128</v>
      </c>
      <c r="B129" t="s">
        <v>2</v>
      </c>
      <c r="C129" t="s">
        <v>132</v>
      </c>
      <c r="D129" t="s">
        <v>140</v>
      </c>
      <c r="E129" s="2">
        <v>44112.660081018519</v>
      </c>
      <c r="F129" s="2">
        <v>44112.754699074074</v>
      </c>
      <c r="G129" s="3">
        <v>9.4618055554747116E-2</v>
      </c>
      <c r="H129" s="3">
        <v>8224.796206080242</v>
      </c>
      <c r="I129" s="3">
        <v>137.07993676800405</v>
      </c>
      <c r="J129" s="3">
        <v>2.2846656128000675</v>
      </c>
      <c r="K129" t="s">
        <v>42</v>
      </c>
    </row>
    <row r="130" spans="1:11" x14ac:dyDescent="0.35">
      <c r="A130">
        <v>129</v>
      </c>
      <c r="B130" t="s">
        <v>11</v>
      </c>
      <c r="C130" t="s">
        <v>11</v>
      </c>
      <c r="D130" t="s">
        <v>140</v>
      </c>
      <c r="E130" s="2">
        <v>44113.342847222222</v>
      </c>
      <c r="F130" s="2">
        <v>44113.356249999997</v>
      </c>
      <c r="G130" s="3">
        <v>1.3402777774899732E-2</v>
      </c>
      <c r="H130" s="3">
        <v>1165.0537008779322</v>
      </c>
      <c r="I130" s="3">
        <v>19.417561681298871</v>
      </c>
      <c r="J130" s="3">
        <v>0.32362602802164786</v>
      </c>
    </row>
    <row r="131" spans="1:11" x14ac:dyDescent="0.35">
      <c r="A131">
        <v>130</v>
      </c>
      <c r="B131" t="s">
        <v>2</v>
      </c>
      <c r="C131" t="s">
        <v>96</v>
      </c>
      <c r="D131" t="s">
        <v>140</v>
      </c>
      <c r="E131" s="2">
        <v>44113.356481481482</v>
      </c>
      <c r="F131" s="2">
        <v>44113.366956018515</v>
      </c>
      <c r="G131" s="3">
        <v>1.0474537033587694E-2</v>
      </c>
      <c r="H131" s="3">
        <v>910.51260723119731</v>
      </c>
      <c r="I131" s="3">
        <v>15.175210120519955</v>
      </c>
      <c r="J131" s="3">
        <v>0.25292016867533257</v>
      </c>
    </row>
    <row r="132" spans="1:11" x14ac:dyDescent="0.35">
      <c r="A132">
        <v>131</v>
      </c>
      <c r="B132" t="s">
        <v>16</v>
      </c>
      <c r="C132" t="s">
        <v>16</v>
      </c>
      <c r="D132" t="s">
        <v>140</v>
      </c>
      <c r="E132" s="2">
        <v>44113.367083333331</v>
      </c>
      <c r="F132" s="2">
        <v>44113.371134259258</v>
      </c>
      <c r="G132" s="3">
        <v>4.0509259270038456E-3</v>
      </c>
      <c r="H132" s="3">
        <v>352.13194775763606</v>
      </c>
      <c r="I132" s="3">
        <v>5.868865795960601</v>
      </c>
      <c r="J132" s="3">
        <v>9.781442993267668E-2</v>
      </c>
    </row>
    <row r="133" spans="1:11" x14ac:dyDescent="0.35">
      <c r="A133">
        <v>132</v>
      </c>
      <c r="B133" t="s">
        <v>2</v>
      </c>
      <c r="C133" t="s">
        <v>72</v>
      </c>
      <c r="D133" t="s">
        <v>140</v>
      </c>
      <c r="E133" s="2">
        <v>44113.371261574073</v>
      </c>
      <c r="F133" s="2">
        <v>44113.402719907404</v>
      </c>
      <c r="G133" s="3">
        <v>3.145833333110204E-2</v>
      </c>
      <c r="H133" s="3">
        <v>2734.5560962362688</v>
      </c>
      <c r="I133" s="3">
        <v>45.57593493727115</v>
      </c>
      <c r="J133" s="3">
        <v>0.75959891562118587</v>
      </c>
      <c r="K133" t="s">
        <v>73</v>
      </c>
    </row>
    <row r="134" spans="1:11" x14ac:dyDescent="0.35">
      <c r="A134">
        <v>133</v>
      </c>
      <c r="B134" t="s">
        <v>11</v>
      </c>
      <c r="C134" t="s">
        <v>11</v>
      </c>
      <c r="D134" t="s">
        <v>140</v>
      </c>
      <c r="E134" s="2">
        <v>44113.402858796297</v>
      </c>
      <c r="F134" s="2">
        <v>44113.405370370368</v>
      </c>
      <c r="G134" s="3">
        <v>2.5115740718320012E-3</v>
      </c>
      <c r="H134" s="3">
        <v>218.32180735674558</v>
      </c>
      <c r="I134" s="3">
        <v>3.6386967892790931</v>
      </c>
      <c r="J134" s="3">
        <v>6.0644946487984887E-2</v>
      </c>
    </row>
    <row r="135" spans="1:11" x14ac:dyDescent="0.35">
      <c r="A135">
        <v>134</v>
      </c>
      <c r="B135" t="s">
        <v>11</v>
      </c>
      <c r="C135" t="s">
        <v>11</v>
      </c>
      <c r="D135" t="s">
        <v>140</v>
      </c>
      <c r="E135" s="2">
        <v>44113.40552083333</v>
      </c>
      <c r="F135" s="2">
        <v>44113.408495370371</v>
      </c>
      <c r="G135" s="3">
        <v>2.9745370411546901E-3</v>
      </c>
      <c r="H135" s="3">
        <v>258.56545907116566</v>
      </c>
      <c r="I135" s="3">
        <v>4.3094243178527609</v>
      </c>
      <c r="J135" s="3">
        <v>7.1823738630879347E-2</v>
      </c>
    </row>
    <row r="136" spans="1:11" x14ac:dyDescent="0.35">
      <c r="A136">
        <v>135</v>
      </c>
      <c r="B136" t="s">
        <v>2</v>
      </c>
      <c r="C136" t="s">
        <v>96</v>
      </c>
      <c r="D136" t="s">
        <v>140</v>
      </c>
      <c r="E136" s="2">
        <v>44113.408831018518</v>
      </c>
      <c r="F136" s="2">
        <v>44113.409733796296</v>
      </c>
      <c r="G136" s="3">
        <v>9.0277777781011537E-4</v>
      </c>
      <c r="H136" s="3">
        <v>78.475119767916837</v>
      </c>
      <c r="I136" s="3">
        <v>1.3079186627986139</v>
      </c>
      <c r="J136" s="3">
        <v>2.17986443799769E-2</v>
      </c>
    </row>
    <row r="137" spans="1:11" x14ac:dyDescent="0.35">
      <c r="A137">
        <v>136</v>
      </c>
      <c r="B137" t="s">
        <v>16</v>
      </c>
      <c r="C137" t="s">
        <v>16</v>
      </c>
      <c r="D137" t="s">
        <v>140</v>
      </c>
      <c r="E137" s="2">
        <v>44113.409791666665</v>
      </c>
      <c r="F137" s="2">
        <v>44113.413865740738</v>
      </c>
      <c r="G137" s="3">
        <v>4.0740740732871927E-3</v>
      </c>
      <c r="H137" s="3">
        <v>354.14413015361549</v>
      </c>
      <c r="I137" s="3">
        <v>5.9024021692269253</v>
      </c>
      <c r="J137" s="3">
        <v>9.837336948711542E-2</v>
      </c>
    </row>
    <row r="138" spans="1:11" x14ac:dyDescent="0.35">
      <c r="A138">
        <v>137</v>
      </c>
      <c r="B138" t="s">
        <v>2</v>
      </c>
      <c r="C138" t="s">
        <v>96</v>
      </c>
      <c r="D138" t="s">
        <v>140</v>
      </c>
      <c r="E138" s="2">
        <v>44113.414259259262</v>
      </c>
      <c r="F138" s="2">
        <v>44113.429930555554</v>
      </c>
      <c r="G138" s="3">
        <v>1.5671296292566694E-2</v>
      </c>
      <c r="H138" s="3">
        <v>1362.247591495714</v>
      </c>
      <c r="I138" s="3">
        <v>22.704126524928565</v>
      </c>
      <c r="J138" s="3">
        <v>0.37840210874880942</v>
      </c>
    </row>
    <row r="139" spans="1:11" x14ac:dyDescent="0.35">
      <c r="A139">
        <v>138</v>
      </c>
      <c r="B139" t="s">
        <v>2</v>
      </c>
      <c r="C139" t="s">
        <v>96</v>
      </c>
      <c r="D139" t="s">
        <v>140</v>
      </c>
      <c r="E139" s="2">
        <v>44113.43037037037</v>
      </c>
      <c r="F139" s="2">
        <v>44113.434803240743</v>
      </c>
      <c r="G139" s="3">
        <v>4.432870373420883E-3</v>
      </c>
      <c r="H139" s="3">
        <v>385.33296013742029</v>
      </c>
      <c r="I139" s="3">
        <v>6.4222160022903383</v>
      </c>
      <c r="J139" s="3">
        <v>0.10703693337150563</v>
      </c>
    </row>
    <row r="140" spans="1:11" x14ac:dyDescent="0.35">
      <c r="A140">
        <v>139</v>
      </c>
      <c r="B140" t="s">
        <v>2</v>
      </c>
      <c r="C140" t="s">
        <v>132</v>
      </c>
      <c r="D140" t="s">
        <v>140</v>
      </c>
      <c r="E140" s="2">
        <v>44113.435069444444</v>
      </c>
      <c r="F140" s="2">
        <v>44113.470763888887</v>
      </c>
      <c r="G140" s="3">
        <v>3.5694444442924578E-2</v>
      </c>
      <c r="H140" s="3">
        <v>3102.7855044266844</v>
      </c>
      <c r="I140" s="3">
        <v>51.713091740444739</v>
      </c>
      <c r="J140" s="3">
        <v>0.86188486234074568</v>
      </c>
      <c r="K140" t="s">
        <v>42</v>
      </c>
    </row>
    <row r="141" spans="1:11" x14ac:dyDescent="0.35">
      <c r="A141">
        <v>140</v>
      </c>
      <c r="B141" t="s">
        <v>11</v>
      </c>
      <c r="C141" t="s">
        <v>11</v>
      </c>
      <c r="D141" t="s">
        <v>140</v>
      </c>
      <c r="E141" s="2">
        <v>44113.470914351848</v>
      </c>
      <c r="F141" s="2">
        <v>44113.47252314815</v>
      </c>
      <c r="G141" s="3">
        <v>1.6087963012978435E-3</v>
      </c>
      <c r="H141" s="3">
        <v>139.84668822130072</v>
      </c>
      <c r="I141" s="3">
        <v>2.3307781370216789</v>
      </c>
      <c r="J141" s="3">
        <v>3.884630228369465E-2</v>
      </c>
    </row>
    <row r="142" spans="1:11" x14ac:dyDescent="0.35">
      <c r="A142">
        <v>141</v>
      </c>
      <c r="B142" t="s">
        <v>16</v>
      </c>
      <c r="C142" t="s">
        <v>16</v>
      </c>
      <c r="D142" t="s">
        <v>140</v>
      </c>
      <c r="E142" s="2">
        <v>44113.472581018519</v>
      </c>
      <c r="F142" s="2">
        <v>44113.506331018521</v>
      </c>
      <c r="G142" s="3">
        <v>3.3750000002328306E-2</v>
      </c>
      <c r="H142" s="3">
        <v>2933.7621698825023</v>
      </c>
      <c r="I142" s="3">
        <v>48.89603616470837</v>
      </c>
      <c r="J142" s="3">
        <v>0.81493393607847286</v>
      </c>
    </row>
    <row r="143" spans="1:11" x14ac:dyDescent="0.35">
      <c r="A143">
        <v>142</v>
      </c>
      <c r="B143" t="s">
        <v>2</v>
      </c>
      <c r="C143" t="s">
        <v>96</v>
      </c>
      <c r="D143" t="s">
        <v>140</v>
      </c>
      <c r="E143" s="2">
        <v>44113.506550925929</v>
      </c>
      <c r="F143" s="2">
        <v>44113.511921296296</v>
      </c>
      <c r="G143" s="3">
        <v>5.3703703670180403E-3</v>
      </c>
      <c r="H143" s="3">
        <v>466.82635318307024</v>
      </c>
      <c r="I143" s="3">
        <v>7.7804392197178371</v>
      </c>
      <c r="J143" s="3">
        <v>0.12967398699529728</v>
      </c>
    </row>
    <row r="144" spans="1:11" x14ac:dyDescent="0.35">
      <c r="A144">
        <v>143</v>
      </c>
      <c r="B144" t="s">
        <v>16</v>
      </c>
      <c r="C144" t="s">
        <v>16</v>
      </c>
      <c r="D144" t="s">
        <v>140</v>
      </c>
      <c r="E144" s="2">
        <v>44113.511979166666</v>
      </c>
      <c r="F144" s="2">
        <v>44113.512731481482</v>
      </c>
      <c r="G144" s="3">
        <v>7.5231481605442241E-4</v>
      </c>
      <c r="H144" s="3">
        <v>65.39593324534269</v>
      </c>
      <c r="I144" s="3">
        <v>1.0899322207557114</v>
      </c>
      <c r="J144" s="3">
        <v>1.8165537012595191E-2</v>
      </c>
    </row>
    <row r="145" spans="1:11" x14ac:dyDescent="0.35">
      <c r="A145">
        <v>144</v>
      </c>
      <c r="B145" t="s">
        <v>2</v>
      </c>
      <c r="C145" t="s">
        <v>96</v>
      </c>
      <c r="D145" t="s">
        <v>140</v>
      </c>
      <c r="E145" s="2">
        <v>44113.512916666667</v>
      </c>
      <c r="F145" s="2">
        <v>44113.566921296297</v>
      </c>
      <c r="G145" s="3">
        <v>5.4004629630071577E-2</v>
      </c>
      <c r="H145" s="3">
        <v>4694.4219080382109</v>
      </c>
      <c r="I145" s="3">
        <v>78.240365133970187</v>
      </c>
      <c r="J145" s="3">
        <v>1.3040060855661697</v>
      </c>
    </row>
    <row r="146" spans="1:11" x14ac:dyDescent="0.35">
      <c r="A146">
        <v>145</v>
      </c>
      <c r="B146" t="s">
        <v>16</v>
      </c>
      <c r="C146" t="s">
        <v>16</v>
      </c>
      <c r="D146" t="s">
        <v>140</v>
      </c>
      <c r="E146" s="2">
        <v>44113.567106481481</v>
      </c>
      <c r="F146" s="2">
        <v>44113.575162037036</v>
      </c>
      <c r="G146" s="3">
        <v>8.0555555541650392E-3</v>
      </c>
      <c r="H146" s="3">
        <v>700.2395300908413</v>
      </c>
      <c r="I146" s="3">
        <v>11.670658834847355</v>
      </c>
      <c r="J146" s="3">
        <v>0.19451098058078925</v>
      </c>
    </row>
    <row r="147" spans="1:11" x14ac:dyDescent="0.35">
      <c r="A147">
        <v>146</v>
      </c>
      <c r="B147" t="s">
        <v>2</v>
      </c>
      <c r="C147" t="s">
        <v>96</v>
      </c>
      <c r="D147" t="s">
        <v>140</v>
      </c>
      <c r="E147" s="2">
        <v>44113.575266203705</v>
      </c>
      <c r="F147" s="2">
        <v>44113.600763888891</v>
      </c>
      <c r="G147" s="3">
        <v>2.5497685186564922E-2</v>
      </c>
      <c r="H147" s="3">
        <v>2216.4190878446557</v>
      </c>
      <c r="I147" s="3">
        <v>36.940318130744259</v>
      </c>
      <c r="J147" s="3">
        <v>0.6156719688457376</v>
      </c>
    </row>
    <row r="148" spans="1:11" x14ac:dyDescent="0.35">
      <c r="A148">
        <v>147</v>
      </c>
      <c r="B148" t="s">
        <v>11</v>
      </c>
      <c r="C148" t="s">
        <v>11</v>
      </c>
      <c r="D148" t="s">
        <v>140</v>
      </c>
      <c r="E148" s="2">
        <v>44113.600902777776</v>
      </c>
      <c r="F148" s="2">
        <v>44113.637361111112</v>
      </c>
      <c r="G148" s="3">
        <v>3.6458333335758653E-2</v>
      </c>
      <c r="H148" s="3">
        <v>3169.1875291862525</v>
      </c>
      <c r="I148" s="3">
        <v>52.81979215310421</v>
      </c>
      <c r="J148" s="3">
        <v>0.8803298692184035</v>
      </c>
    </row>
    <row r="149" spans="1:11" x14ac:dyDescent="0.35">
      <c r="A149">
        <v>148</v>
      </c>
      <c r="B149" t="s">
        <v>16</v>
      </c>
      <c r="C149" t="s">
        <v>16</v>
      </c>
      <c r="D149" t="s">
        <v>140</v>
      </c>
      <c r="E149" s="2">
        <v>44113.637488425928</v>
      </c>
      <c r="F149" s="2">
        <v>44113.643252314818</v>
      </c>
      <c r="G149" s="3">
        <v>5.7638888902147301E-3</v>
      </c>
      <c r="H149" s="3">
        <v>501.03345707708013</v>
      </c>
      <c r="I149" s="3">
        <v>8.3505576179513348</v>
      </c>
      <c r="J149" s="3">
        <v>0.13917596029918891</v>
      </c>
    </row>
    <row r="150" spans="1:11" x14ac:dyDescent="0.35">
      <c r="A150">
        <v>149</v>
      </c>
      <c r="B150" t="s">
        <v>11</v>
      </c>
      <c r="C150" t="s">
        <v>11</v>
      </c>
      <c r="D150" t="s">
        <v>140</v>
      </c>
      <c r="E150" s="2">
        <v>44113.643379629626</v>
      </c>
      <c r="F150" s="2">
        <v>44113.643680555557</v>
      </c>
      <c r="G150" s="3">
        <v>3.0092593078734353E-4</v>
      </c>
      <c r="H150" s="3">
        <v>26.158373677620265</v>
      </c>
      <c r="I150" s="3">
        <v>0.43597289462700439</v>
      </c>
      <c r="J150" s="3">
        <v>7.266214910450073E-3</v>
      </c>
    </row>
    <row r="151" spans="1:11" x14ac:dyDescent="0.35">
      <c r="A151">
        <v>150</v>
      </c>
      <c r="B151" t="s">
        <v>2</v>
      </c>
      <c r="C151" t="s">
        <v>72</v>
      </c>
      <c r="D151" t="s">
        <v>140</v>
      </c>
      <c r="E151" s="2">
        <v>44113.643831018519</v>
      </c>
      <c r="F151" s="2">
        <v>44113.652511574073</v>
      </c>
      <c r="G151" s="3">
        <v>8.6805555547471158E-3</v>
      </c>
      <c r="H151" s="3">
        <v>754.56845920958926</v>
      </c>
      <c r="I151" s="3">
        <v>12.576140986826488</v>
      </c>
      <c r="J151" s="3">
        <v>0.20960234978044145</v>
      </c>
      <c r="K151" t="s">
        <v>73</v>
      </c>
    </row>
    <row r="152" spans="1:11" x14ac:dyDescent="0.35">
      <c r="A152">
        <v>151</v>
      </c>
      <c r="B152" t="s">
        <v>16</v>
      </c>
      <c r="C152" t="s">
        <v>16</v>
      </c>
      <c r="D152" t="s">
        <v>140</v>
      </c>
      <c r="E152" s="2">
        <v>44113.652650462966</v>
      </c>
      <c r="F152" s="2">
        <v>44113.657141203701</v>
      </c>
      <c r="G152" s="3">
        <v>4.4907407354912721E-3</v>
      </c>
      <c r="H152" s="3">
        <v>390.36341581113282</v>
      </c>
      <c r="I152" s="3">
        <v>6.5060569301855473</v>
      </c>
      <c r="J152" s="3">
        <v>0.10843428216975912</v>
      </c>
    </row>
    <row r="153" spans="1:11" x14ac:dyDescent="0.35">
      <c r="A153">
        <v>152</v>
      </c>
      <c r="B153" t="s">
        <v>11</v>
      </c>
      <c r="C153" t="s">
        <v>11</v>
      </c>
      <c r="D153" t="s">
        <v>140</v>
      </c>
      <c r="E153" s="2">
        <v>44113.657337962963</v>
      </c>
      <c r="F153" s="2">
        <v>44113.701226851852</v>
      </c>
      <c r="G153" s="3">
        <v>4.3888888889341615E-2</v>
      </c>
      <c r="H153" s="3">
        <v>3815.0981301583461</v>
      </c>
      <c r="I153" s="3">
        <v>63.584968835972433</v>
      </c>
      <c r="J153" s="3">
        <v>1.0597494805995404</v>
      </c>
    </row>
    <row r="154" spans="1:11" x14ac:dyDescent="0.35">
      <c r="A154">
        <v>153</v>
      </c>
      <c r="B154" t="s">
        <v>2</v>
      </c>
      <c r="C154" t="s">
        <v>132</v>
      </c>
      <c r="D154" t="s">
        <v>140</v>
      </c>
      <c r="E154" s="2">
        <v>44113.701643518521</v>
      </c>
      <c r="F154" s="2">
        <v>44113.71533564815</v>
      </c>
      <c r="G154" s="3">
        <v>1.3692129628907423E-2</v>
      </c>
      <c r="H154" s="3">
        <v>1190.2059830413268</v>
      </c>
      <c r="I154" s="3">
        <v>19.836766384022113</v>
      </c>
      <c r="J154" s="3">
        <v>0.33061277306703524</v>
      </c>
      <c r="K154" t="s">
        <v>40</v>
      </c>
    </row>
    <row r="155" spans="1:11" x14ac:dyDescent="0.35">
      <c r="A155">
        <v>154</v>
      </c>
      <c r="B155" t="s">
        <v>11</v>
      </c>
      <c r="C155" t="s">
        <v>11</v>
      </c>
      <c r="D155" t="s">
        <v>140</v>
      </c>
      <c r="E155" s="2">
        <v>44113.715428240743</v>
      </c>
      <c r="F155" s="2">
        <v>44113.716134259259</v>
      </c>
      <c r="G155" s="3">
        <v>7.0601851621177047E-4</v>
      </c>
      <c r="H155" s="3">
        <v>61.371567820911892</v>
      </c>
      <c r="I155" s="3">
        <v>1.0228594636818649</v>
      </c>
      <c r="J155" s="3">
        <v>1.7047657728031081E-2</v>
      </c>
    </row>
    <row r="156" spans="1:11" x14ac:dyDescent="0.35">
      <c r="A156">
        <v>155</v>
      </c>
      <c r="B156" t="s">
        <v>2</v>
      </c>
      <c r="C156" t="s">
        <v>132</v>
      </c>
      <c r="D156" t="s">
        <v>140</v>
      </c>
      <c r="E156" s="2">
        <v>44113.716273148151</v>
      </c>
      <c r="F156" s="2">
        <v>44113.719247685185</v>
      </c>
      <c r="G156" s="3">
        <v>2.9745370338787325E-3</v>
      </c>
      <c r="H156" s="3">
        <v>258.56545843869372</v>
      </c>
      <c r="I156" s="3">
        <v>4.3094243073115619</v>
      </c>
      <c r="J156" s="3">
        <v>7.1823738455192701E-2</v>
      </c>
      <c r="K156" t="s">
        <v>40</v>
      </c>
    </row>
    <row r="157" spans="1:11" x14ac:dyDescent="0.35">
      <c r="A157">
        <v>156</v>
      </c>
      <c r="B157" t="s">
        <v>11</v>
      </c>
      <c r="C157" t="s">
        <v>11</v>
      </c>
      <c r="D157" t="s">
        <v>140</v>
      </c>
      <c r="E157" s="2">
        <v>44113.719305555554</v>
      </c>
      <c r="F157" s="2">
        <v>44113.723587962966</v>
      </c>
      <c r="G157" s="3">
        <v>4.28240741166519E-3</v>
      </c>
      <c r="H157" s="3">
        <v>372.25377361484612</v>
      </c>
      <c r="I157" s="3">
        <v>6.2042295602474358</v>
      </c>
      <c r="J157" s="3">
        <v>0.10340382600412393</v>
      </c>
    </row>
    <row r="158" spans="1:11" x14ac:dyDescent="0.35">
      <c r="A158">
        <v>157</v>
      </c>
      <c r="B158" t="s">
        <v>2</v>
      </c>
      <c r="C158" t="s">
        <v>132</v>
      </c>
      <c r="D158" t="s">
        <v>140</v>
      </c>
      <c r="E158" s="2">
        <v>44113.723749999997</v>
      </c>
      <c r="F158" s="2">
        <v>44113.724849537037</v>
      </c>
      <c r="G158" s="3">
        <v>1.0995370394084603E-3</v>
      </c>
      <c r="H158" s="3">
        <v>95.578671714921782</v>
      </c>
      <c r="I158" s="3">
        <v>1.5929778619153629</v>
      </c>
      <c r="J158" s="3">
        <v>2.6549631031922715E-2</v>
      </c>
      <c r="K158" t="s">
        <v>40</v>
      </c>
    </row>
    <row r="159" spans="1:11" x14ac:dyDescent="0.35">
      <c r="A159">
        <v>158</v>
      </c>
      <c r="B159" t="s">
        <v>16</v>
      </c>
      <c r="C159" t="s">
        <v>16</v>
      </c>
      <c r="D159" t="s">
        <v>140</v>
      </c>
      <c r="E159" s="2">
        <v>44114.44326388889</v>
      </c>
      <c r="F159" s="2">
        <v>44114.445717592593</v>
      </c>
      <c r="G159" s="3">
        <v>2.4537037024856545E-3</v>
      </c>
      <c r="H159" s="3">
        <v>213.29135105056105</v>
      </c>
      <c r="I159" s="3">
        <v>3.5548558508426842</v>
      </c>
      <c r="J159" s="3">
        <v>5.9247597514044736E-2</v>
      </c>
    </row>
    <row r="160" spans="1:11" x14ac:dyDescent="0.35">
      <c r="A160">
        <v>159</v>
      </c>
      <c r="B160" t="s">
        <v>11</v>
      </c>
      <c r="C160" t="s">
        <v>11</v>
      </c>
      <c r="D160" t="s">
        <v>140</v>
      </c>
      <c r="E160" s="2">
        <v>44116.341631944444</v>
      </c>
      <c r="F160" s="2">
        <v>44116.351921296293</v>
      </c>
      <c r="G160" s="3">
        <v>1.0289351848769002E-2</v>
      </c>
      <c r="H160" s="3">
        <v>894.41514679841805</v>
      </c>
      <c r="I160" s="3">
        <v>14.906919113306968</v>
      </c>
      <c r="J160" s="3">
        <v>0.24844865188844947</v>
      </c>
    </row>
    <row r="161" spans="1:11" x14ac:dyDescent="0.35">
      <c r="A161">
        <v>160</v>
      </c>
      <c r="B161" t="s">
        <v>2</v>
      </c>
      <c r="C161" t="s">
        <v>96</v>
      </c>
      <c r="D161" t="s">
        <v>140</v>
      </c>
      <c r="E161" s="2">
        <v>44116.352060185185</v>
      </c>
      <c r="F161" s="2">
        <v>44116.355624999997</v>
      </c>
      <c r="G161" s="3">
        <v>3.5648148113978095E-3</v>
      </c>
      <c r="H161" s="3">
        <v>309.87611364723654</v>
      </c>
      <c r="I161" s="3">
        <v>5.1646018941206089</v>
      </c>
      <c r="J161" s="3">
        <v>8.6076698235343488E-2</v>
      </c>
    </row>
    <row r="162" spans="1:11" x14ac:dyDescent="0.35">
      <c r="A162">
        <v>161</v>
      </c>
      <c r="B162" t="s">
        <v>11</v>
      </c>
      <c r="C162" t="s">
        <v>11</v>
      </c>
      <c r="D162" t="s">
        <v>140</v>
      </c>
      <c r="E162" s="2">
        <v>44116.355798611112</v>
      </c>
      <c r="F162" s="2">
        <v>44116.358101851853</v>
      </c>
      <c r="G162" s="3">
        <v>2.3032407407299615E-3</v>
      </c>
      <c r="H162" s="3">
        <v>200.21216452798691</v>
      </c>
      <c r="I162" s="3">
        <v>3.3368694087997821</v>
      </c>
      <c r="J162" s="3">
        <v>5.5614490146663038E-2</v>
      </c>
    </row>
    <row r="163" spans="1:11" x14ac:dyDescent="0.35">
      <c r="A163">
        <v>162</v>
      </c>
      <c r="B163" t="s">
        <v>2</v>
      </c>
      <c r="C163" t="s">
        <v>132</v>
      </c>
      <c r="D163" t="s">
        <v>140</v>
      </c>
      <c r="E163" s="2">
        <v>44116.358240740738</v>
      </c>
      <c r="F163" s="2">
        <v>44116.364247685182</v>
      </c>
      <c r="G163" s="3">
        <v>6.0069444443797693E-3</v>
      </c>
      <c r="H163" s="3">
        <v>522.16137381604392</v>
      </c>
      <c r="I163" s="3">
        <v>8.7026895636007318</v>
      </c>
      <c r="J163" s="3">
        <v>0.14504482606001221</v>
      </c>
      <c r="K163" t="s">
        <v>40</v>
      </c>
    </row>
    <row r="164" spans="1:11" x14ac:dyDescent="0.35">
      <c r="A164">
        <v>163</v>
      </c>
      <c r="B164" t="s">
        <v>16</v>
      </c>
      <c r="C164" t="s">
        <v>16</v>
      </c>
      <c r="D164" t="s">
        <v>140</v>
      </c>
      <c r="E164" s="2">
        <v>44116.364398148151</v>
      </c>
      <c r="F164" s="2">
        <v>44116.368217592593</v>
      </c>
      <c r="G164" s="3">
        <v>3.8194444423425011E-3</v>
      </c>
      <c r="H164" s="3">
        <v>332.01012190042604</v>
      </c>
      <c r="I164" s="3">
        <v>5.5335020316737671</v>
      </c>
      <c r="J164" s="3">
        <v>9.2225033861229447E-2</v>
      </c>
    </row>
    <row r="165" spans="1:11" x14ac:dyDescent="0.35">
      <c r="A165">
        <v>164</v>
      </c>
      <c r="B165" t="s">
        <v>11</v>
      </c>
      <c r="C165" t="s">
        <v>11</v>
      </c>
      <c r="D165" t="s">
        <v>140</v>
      </c>
      <c r="E165" s="2">
        <v>44116.368391203701</v>
      </c>
      <c r="F165" s="2">
        <v>44116.370023148149</v>
      </c>
      <c r="G165" s="3">
        <v>1.6319444475811906E-3</v>
      </c>
      <c r="H165" s="3">
        <v>141.85887061728013</v>
      </c>
      <c r="I165" s="3">
        <v>2.3643145102880023</v>
      </c>
      <c r="J165" s="3">
        <v>3.9405241838133369E-2</v>
      </c>
    </row>
    <row r="166" spans="1:11" x14ac:dyDescent="0.35">
      <c r="A166">
        <v>165</v>
      </c>
      <c r="B166" t="s">
        <v>11</v>
      </c>
      <c r="C166" t="s">
        <v>11</v>
      </c>
      <c r="D166" t="s">
        <v>140</v>
      </c>
      <c r="E166" s="2">
        <v>44116.370127314818</v>
      </c>
      <c r="F166" s="2">
        <v>44116.371550925927</v>
      </c>
      <c r="G166" s="3">
        <v>1.4236111092031933E-3</v>
      </c>
      <c r="H166" s="3">
        <v>123.74922715604949</v>
      </c>
      <c r="I166" s="3">
        <v>2.0624871192674914</v>
      </c>
      <c r="J166" s="3">
        <v>3.4374785321124854E-2</v>
      </c>
    </row>
    <row r="167" spans="1:11" x14ac:dyDescent="0.35">
      <c r="A167">
        <v>166</v>
      </c>
      <c r="B167" t="s">
        <v>2</v>
      </c>
      <c r="C167" t="s">
        <v>132</v>
      </c>
      <c r="D167" t="s">
        <v>140</v>
      </c>
      <c r="E167" s="2">
        <v>44116.37164351852</v>
      </c>
      <c r="F167" s="2">
        <v>44116.374826388892</v>
      </c>
      <c r="G167" s="3">
        <v>3.1828703722567298E-3</v>
      </c>
      <c r="H167" s="3">
        <v>276.67510189992436</v>
      </c>
      <c r="I167" s="3">
        <v>4.6112516983320724</v>
      </c>
      <c r="J167" s="3">
        <v>7.6854194972201209E-2</v>
      </c>
      <c r="K167" t="s">
        <v>42</v>
      </c>
    </row>
    <row r="168" spans="1:11" x14ac:dyDescent="0.35">
      <c r="A168">
        <v>167</v>
      </c>
      <c r="B168" t="s">
        <v>2</v>
      </c>
      <c r="C168" t="s">
        <v>132</v>
      </c>
      <c r="D168" t="s">
        <v>140</v>
      </c>
      <c r="E168" s="2">
        <v>44116.375138888892</v>
      </c>
      <c r="F168" s="2">
        <v>44116.385648148149</v>
      </c>
      <c r="G168" s="3">
        <v>1.0509259256650694E-2</v>
      </c>
      <c r="H168" s="3">
        <v>913.53088114140235</v>
      </c>
      <c r="I168" s="3">
        <v>15.225514685690039</v>
      </c>
      <c r="J168" s="3">
        <v>0.25375857809483399</v>
      </c>
      <c r="K168" t="s">
        <v>42</v>
      </c>
    </row>
    <row r="169" spans="1:11" x14ac:dyDescent="0.35">
      <c r="A169">
        <v>168</v>
      </c>
      <c r="B169" t="s">
        <v>11</v>
      </c>
      <c r="C169" t="s">
        <v>11</v>
      </c>
      <c r="D169" t="s">
        <v>140</v>
      </c>
      <c r="E169" s="2">
        <v>44116.385752314818</v>
      </c>
      <c r="F169" s="2">
        <v>44116.386134259257</v>
      </c>
      <c r="G169" s="3">
        <v>3.8194443914107978E-4</v>
      </c>
      <c r="H169" s="3">
        <v>33.201011747312215</v>
      </c>
      <c r="I169" s="3">
        <v>0.55335019578853695</v>
      </c>
      <c r="J169" s="3">
        <v>9.2225032631422822E-3</v>
      </c>
    </row>
    <row r="170" spans="1:11" x14ac:dyDescent="0.35">
      <c r="A170">
        <v>169</v>
      </c>
      <c r="B170" t="s">
        <v>2</v>
      </c>
      <c r="C170" t="s">
        <v>132</v>
      </c>
      <c r="D170" t="s">
        <v>140</v>
      </c>
      <c r="E170" s="2">
        <v>44116.386388888888</v>
      </c>
      <c r="F170" s="2">
        <v>44116.388993055552</v>
      </c>
      <c r="G170" s="3">
        <v>2.6041666642413475E-3</v>
      </c>
      <c r="H170" s="3">
        <v>226.37053757313521</v>
      </c>
      <c r="I170" s="3">
        <v>3.7728422928855867</v>
      </c>
      <c r="J170" s="3">
        <v>6.2880704881426441E-2</v>
      </c>
      <c r="K170" t="s">
        <v>42</v>
      </c>
    </row>
    <row r="171" spans="1:11" x14ac:dyDescent="0.35">
      <c r="A171">
        <v>170</v>
      </c>
      <c r="B171" t="s">
        <v>11</v>
      </c>
      <c r="C171" t="s">
        <v>11</v>
      </c>
      <c r="D171" t="s">
        <v>140</v>
      </c>
      <c r="E171" s="2">
        <v>44116.389097222222</v>
      </c>
      <c r="F171" s="2">
        <v>44116.390023148146</v>
      </c>
      <c r="G171" s="3">
        <v>9.2592592409346253E-4</v>
      </c>
      <c r="H171" s="3">
        <v>80.487302163896246</v>
      </c>
      <c r="I171" s="3">
        <v>1.3414550360649373</v>
      </c>
      <c r="J171" s="3">
        <v>2.2357583934415622E-2</v>
      </c>
    </row>
    <row r="172" spans="1:11" x14ac:dyDescent="0.35">
      <c r="A172">
        <v>171</v>
      </c>
      <c r="B172" t="s">
        <v>2</v>
      </c>
      <c r="C172" t="s">
        <v>132</v>
      </c>
      <c r="D172" t="s">
        <v>140</v>
      </c>
      <c r="E172" s="2">
        <v>44116.390324074076</v>
      </c>
      <c r="F172" s="2">
        <v>44116.392962962964</v>
      </c>
      <c r="G172" s="3">
        <v>2.638888887304347E-3</v>
      </c>
      <c r="H172" s="3">
        <v>229.38881148334031</v>
      </c>
      <c r="I172" s="3">
        <v>3.8231468580556718</v>
      </c>
      <c r="J172" s="3">
        <v>6.3719114300927859E-2</v>
      </c>
      <c r="K172" t="s">
        <v>42</v>
      </c>
    </row>
    <row r="173" spans="1:11" x14ac:dyDescent="0.35">
      <c r="A173">
        <v>172</v>
      </c>
      <c r="B173" t="s">
        <v>11</v>
      </c>
      <c r="C173" t="s">
        <v>11</v>
      </c>
      <c r="D173" t="s">
        <v>140</v>
      </c>
      <c r="E173" s="2">
        <v>44116.393020833333</v>
      </c>
      <c r="F173" s="2">
        <v>44116.394884259258</v>
      </c>
      <c r="G173" s="3">
        <v>1.8634259249665774E-3</v>
      </c>
      <c r="H173" s="3">
        <v>161.98069584201821</v>
      </c>
      <c r="I173" s="3">
        <v>2.6996782640336368</v>
      </c>
      <c r="J173" s="3">
        <v>4.4994637733893943E-2</v>
      </c>
    </row>
    <row r="174" spans="1:11" x14ac:dyDescent="0.35">
      <c r="A174">
        <v>173</v>
      </c>
      <c r="B174" t="s">
        <v>2</v>
      </c>
      <c r="C174" t="s">
        <v>96</v>
      </c>
      <c r="D174" t="s">
        <v>140</v>
      </c>
      <c r="E174" s="2">
        <v>44116.39503472222</v>
      </c>
      <c r="F174" s="2">
        <v>44116.438333333332</v>
      </c>
      <c r="G174" s="3">
        <v>4.3298611111822538E-2</v>
      </c>
      <c r="H174" s="3">
        <v>3763.7874749498033</v>
      </c>
      <c r="I174" s="3">
        <v>62.729791249163391</v>
      </c>
      <c r="J174" s="3">
        <v>1.0454965208193898</v>
      </c>
    </row>
    <row r="175" spans="1:11" x14ac:dyDescent="0.35">
      <c r="A175">
        <v>174</v>
      </c>
      <c r="B175" t="s">
        <v>2</v>
      </c>
      <c r="C175" t="s">
        <v>132</v>
      </c>
      <c r="D175" t="s">
        <v>140</v>
      </c>
      <c r="E175" s="2">
        <v>44116.438506944447</v>
      </c>
      <c r="F175" s="2">
        <v>44116.478020833332</v>
      </c>
      <c r="G175" s="3">
        <v>3.9513888885267079E-2</v>
      </c>
      <c r="H175" s="3">
        <v>3434.7956263271103</v>
      </c>
      <c r="I175" s="3">
        <v>57.246593772118509</v>
      </c>
      <c r="J175" s="3">
        <v>0.95410989620197517</v>
      </c>
      <c r="K175" t="s">
        <v>64</v>
      </c>
    </row>
    <row r="176" spans="1:11" x14ac:dyDescent="0.35">
      <c r="A176">
        <v>175</v>
      </c>
      <c r="B176" t="s">
        <v>16</v>
      </c>
      <c r="C176" t="s">
        <v>16</v>
      </c>
      <c r="D176" t="s">
        <v>140</v>
      </c>
      <c r="E176" s="2">
        <v>44116.478159722225</v>
      </c>
      <c r="F176" s="2">
        <v>44116.488715277781</v>
      </c>
      <c r="G176" s="3">
        <v>1.0555555556493346E-2</v>
      </c>
      <c r="H176" s="3">
        <v>917.55524656583316</v>
      </c>
      <c r="I176" s="3">
        <v>15.292587442763885</v>
      </c>
      <c r="J176" s="3">
        <v>0.25487645737939807</v>
      </c>
    </row>
    <row r="177" spans="1:11" x14ac:dyDescent="0.35">
      <c r="A177">
        <v>176</v>
      </c>
      <c r="B177" t="s">
        <v>2</v>
      </c>
      <c r="C177" t="s">
        <v>132</v>
      </c>
      <c r="D177" t="s">
        <v>140</v>
      </c>
      <c r="E177" s="2">
        <v>44116.489039351851</v>
      </c>
      <c r="F177" s="2">
        <v>44116.494618055556</v>
      </c>
      <c r="G177" s="3">
        <v>5.5787037053960375E-3</v>
      </c>
      <c r="H177" s="3">
        <v>484.93599664430087</v>
      </c>
      <c r="I177" s="3">
        <v>8.0822666107383476</v>
      </c>
      <c r="J177" s="3">
        <v>0.13470444351230579</v>
      </c>
      <c r="K177" t="s">
        <v>42</v>
      </c>
    </row>
    <row r="178" spans="1:11" x14ac:dyDescent="0.35">
      <c r="A178">
        <v>177</v>
      </c>
      <c r="B178" t="s">
        <v>2</v>
      </c>
      <c r="C178" t="s">
        <v>96</v>
      </c>
      <c r="D178" t="s">
        <v>140</v>
      </c>
      <c r="E178" s="2">
        <v>44116.495057870372</v>
      </c>
      <c r="F178" s="2">
        <v>44116.499259259261</v>
      </c>
      <c r="G178" s="3">
        <v>4.2013888887595385E-3</v>
      </c>
      <c r="H178" s="3">
        <v>365.21113428021022</v>
      </c>
      <c r="I178" s="3">
        <v>6.0868522380035035</v>
      </c>
      <c r="J178" s="3">
        <v>0.10144753730005839</v>
      </c>
    </row>
    <row r="179" spans="1:11" x14ac:dyDescent="0.35">
      <c r="A179">
        <v>178</v>
      </c>
      <c r="B179" t="s">
        <v>11</v>
      </c>
      <c r="C179" t="s">
        <v>11</v>
      </c>
      <c r="D179" t="s">
        <v>140</v>
      </c>
      <c r="E179" s="2">
        <v>44116.499340277776</v>
      </c>
      <c r="F179" s="2">
        <v>44116.5000462963</v>
      </c>
      <c r="G179" s="3">
        <v>7.0601852348772809E-4</v>
      </c>
      <c r="H179" s="3">
        <v>61.371568453383873</v>
      </c>
      <c r="I179" s="3">
        <v>1.0228594742230646</v>
      </c>
      <c r="J179" s="3">
        <v>1.7047657903717744E-2</v>
      </c>
    </row>
    <row r="180" spans="1:11" x14ac:dyDescent="0.35">
      <c r="A180">
        <v>179</v>
      </c>
      <c r="B180" t="s">
        <v>11</v>
      </c>
      <c r="C180" t="s">
        <v>11</v>
      </c>
      <c r="D180" t="s">
        <v>140</v>
      </c>
      <c r="E180" s="2">
        <v>44116.500462962962</v>
      </c>
      <c r="F180" s="2">
        <v>44116.535034722219</v>
      </c>
      <c r="G180" s="3">
        <v>3.457175925723277E-2</v>
      </c>
      <c r="H180" s="3">
        <v>3005.1946503157833</v>
      </c>
      <c r="I180" s="3">
        <v>50.086577505263058</v>
      </c>
      <c r="J180" s="3">
        <v>0.83477629175438428</v>
      </c>
    </row>
    <row r="181" spans="1:11" x14ac:dyDescent="0.35">
      <c r="A181">
        <v>180</v>
      </c>
      <c r="B181" t="s">
        <v>11</v>
      </c>
      <c r="C181" t="s">
        <v>11</v>
      </c>
      <c r="D181" t="s">
        <v>140</v>
      </c>
      <c r="E181" s="2">
        <v>44116.535416666666</v>
      </c>
      <c r="F181" s="2">
        <v>44116.537835648145</v>
      </c>
      <c r="G181" s="3">
        <v>2.418981479422655E-3</v>
      </c>
      <c r="H181" s="3">
        <v>210.27307714035595</v>
      </c>
      <c r="I181" s="3">
        <v>3.5045512856725991</v>
      </c>
      <c r="J181" s="3">
        <v>5.8409188094543318E-2</v>
      </c>
    </row>
    <row r="182" spans="1:11" x14ac:dyDescent="0.35">
      <c r="A182">
        <v>181</v>
      </c>
      <c r="B182" t="s">
        <v>2</v>
      </c>
      <c r="C182" t="s">
        <v>132</v>
      </c>
      <c r="D182" t="s">
        <v>140</v>
      </c>
      <c r="E182" s="2">
        <v>44116.538055555553</v>
      </c>
      <c r="F182" s="2">
        <v>44116.53837962963</v>
      </c>
      <c r="G182" s="3">
        <v>3.2407407707069069E-4</v>
      </c>
      <c r="H182" s="3">
        <v>28.170556073599677</v>
      </c>
      <c r="I182" s="3">
        <v>0.46950926789332798</v>
      </c>
      <c r="J182" s="3">
        <v>7.8251544648888002E-3</v>
      </c>
      <c r="K182" t="s">
        <v>42</v>
      </c>
    </row>
    <row r="183" spans="1:11" x14ac:dyDescent="0.35">
      <c r="A183">
        <v>182</v>
      </c>
      <c r="B183" t="s">
        <v>16</v>
      </c>
      <c r="C183" t="s">
        <v>16</v>
      </c>
      <c r="D183" t="s">
        <v>140</v>
      </c>
      <c r="E183" s="2">
        <v>44116.538449074076</v>
      </c>
      <c r="F183" s="2">
        <v>44116.546527777777</v>
      </c>
      <c r="G183" s="3">
        <v>8.0787037004483864E-3</v>
      </c>
      <c r="H183" s="3">
        <v>702.25171248682079</v>
      </c>
      <c r="I183" s="3">
        <v>11.70419520811368</v>
      </c>
      <c r="J183" s="3">
        <v>0.195069920135228</v>
      </c>
    </row>
    <row r="184" spans="1:11" x14ac:dyDescent="0.35">
      <c r="A184">
        <v>183</v>
      </c>
      <c r="B184" t="s">
        <v>16</v>
      </c>
      <c r="C184" t="s">
        <v>16</v>
      </c>
      <c r="D184" t="s">
        <v>140</v>
      </c>
      <c r="E184" s="2">
        <v>44116.546620370369</v>
      </c>
      <c r="F184" s="2">
        <v>44116.550011574072</v>
      </c>
      <c r="G184" s="3">
        <v>3.3912037033587694E-3</v>
      </c>
      <c r="H184" s="3">
        <v>294.78474472868299</v>
      </c>
      <c r="I184" s="3">
        <v>4.9130790788113829</v>
      </c>
      <c r="J184" s="3">
        <v>8.1884651313523044E-2</v>
      </c>
    </row>
    <row r="185" spans="1:11" x14ac:dyDescent="0.35">
      <c r="A185">
        <v>184</v>
      </c>
      <c r="B185" t="s">
        <v>2</v>
      </c>
      <c r="C185" t="s">
        <v>96</v>
      </c>
      <c r="D185" t="s">
        <v>140</v>
      </c>
      <c r="E185" s="2">
        <v>44116.55059027778</v>
      </c>
      <c r="F185" s="2">
        <v>44116.555266203701</v>
      </c>
      <c r="G185" s="3">
        <v>4.6759259203099646E-3</v>
      </c>
      <c r="H185" s="3">
        <v>406.46087624391208</v>
      </c>
      <c r="I185" s="3">
        <v>6.7743479373985345</v>
      </c>
      <c r="J185" s="3">
        <v>0.11290579895664224</v>
      </c>
    </row>
    <row r="186" spans="1:11" x14ac:dyDescent="0.35">
      <c r="A186">
        <v>185</v>
      </c>
      <c r="B186" t="s">
        <v>2</v>
      </c>
      <c r="C186" t="s">
        <v>132</v>
      </c>
      <c r="D186" t="s">
        <v>140</v>
      </c>
      <c r="E186" s="2">
        <v>44116.555567129632</v>
      </c>
      <c r="F186" s="2">
        <v>44116.573206018518</v>
      </c>
      <c r="G186" s="3">
        <v>1.763888888672227E-2</v>
      </c>
      <c r="H186" s="3">
        <v>1533.2831090683476</v>
      </c>
      <c r="I186" s="3">
        <v>25.55471848447246</v>
      </c>
      <c r="J186" s="3">
        <v>0.42591197474120768</v>
      </c>
      <c r="K186" t="s">
        <v>42</v>
      </c>
    </row>
    <row r="187" spans="1:11" x14ac:dyDescent="0.35">
      <c r="A187">
        <v>186</v>
      </c>
      <c r="B187" t="s">
        <v>11</v>
      </c>
      <c r="C187" t="s">
        <v>11</v>
      </c>
      <c r="D187" t="s">
        <v>140</v>
      </c>
      <c r="E187" s="2">
        <v>44116.573333333334</v>
      </c>
      <c r="F187" s="2">
        <v>44116.576111111113</v>
      </c>
      <c r="G187" s="3">
        <v>2.7777777795563452E-3</v>
      </c>
      <c r="H187" s="3">
        <v>241.46190712416072</v>
      </c>
      <c r="I187" s="3">
        <v>4.0243651187360117</v>
      </c>
      <c r="J187" s="3">
        <v>6.7072751978933531E-2</v>
      </c>
    </row>
    <row r="188" spans="1:11" x14ac:dyDescent="0.35">
      <c r="A188">
        <v>187</v>
      </c>
      <c r="B188" t="s">
        <v>2</v>
      </c>
      <c r="C188" t="s">
        <v>96</v>
      </c>
      <c r="D188" t="s">
        <v>140</v>
      </c>
      <c r="E188" s="2">
        <v>44116.576215277775</v>
      </c>
      <c r="F188" s="2">
        <v>44116.61078703704</v>
      </c>
      <c r="G188" s="3">
        <v>3.4571759264508728E-2</v>
      </c>
      <c r="H188" s="3">
        <v>3005.194650948255</v>
      </c>
      <c r="I188" s="3">
        <v>50.086577515804251</v>
      </c>
      <c r="J188" s="3">
        <v>0.83477629193007086</v>
      </c>
    </row>
    <row r="189" spans="1:11" x14ac:dyDescent="0.35">
      <c r="A189">
        <v>188</v>
      </c>
      <c r="B189" t="s">
        <v>16</v>
      </c>
      <c r="C189" t="s">
        <v>16</v>
      </c>
      <c r="D189" t="s">
        <v>140</v>
      </c>
      <c r="E189" s="2">
        <v>44116.610914351855</v>
      </c>
      <c r="F189" s="2">
        <v>44116.618726851855</v>
      </c>
      <c r="G189" s="3">
        <v>7.8125E-3</v>
      </c>
      <c r="H189" s="3">
        <v>679.11161335187762</v>
      </c>
      <c r="I189" s="3">
        <v>11.31852688919796</v>
      </c>
      <c r="J189" s="3">
        <v>0.18864211481996601</v>
      </c>
    </row>
    <row r="190" spans="1:11" x14ac:dyDescent="0.35">
      <c r="A190">
        <v>189</v>
      </c>
      <c r="B190" t="s">
        <v>11</v>
      </c>
      <c r="C190" t="s">
        <v>11</v>
      </c>
      <c r="D190" t="s">
        <v>140</v>
      </c>
      <c r="E190" s="2">
        <v>44116.61922453704</v>
      </c>
      <c r="F190" s="2">
        <v>44116.626157407409</v>
      </c>
      <c r="G190" s="3">
        <v>6.9328703684732318E-3</v>
      </c>
      <c r="H190" s="3">
        <v>602.64867597994009</v>
      </c>
      <c r="I190" s="3">
        <v>10.044144599665668</v>
      </c>
      <c r="J190" s="3">
        <v>0.16740240999442779</v>
      </c>
    </row>
    <row r="191" spans="1:11" x14ac:dyDescent="0.35">
      <c r="A191">
        <v>190</v>
      </c>
      <c r="B191" t="s">
        <v>11</v>
      </c>
      <c r="C191" t="s">
        <v>11</v>
      </c>
      <c r="D191" t="s">
        <v>140</v>
      </c>
      <c r="E191" s="2">
        <v>44116.62636574074</v>
      </c>
      <c r="F191" s="2">
        <v>44116.657569444447</v>
      </c>
      <c r="G191" s="3">
        <v>3.1203703707433306E-2</v>
      </c>
      <c r="H191" s="3">
        <v>2712.4220886155513</v>
      </c>
      <c r="I191" s="3">
        <v>45.207034810259188</v>
      </c>
      <c r="J191" s="3">
        <v>0.75345058017098643</v>
      </c>
    </row>
    <row r="192" spans="1:11" x14ac:dyDescent="0.35">
      <c r="A192">
        <v>191</v>
      </c>
      <c r="B192" t="s">
        <v>2</v>
      </c>
      <c r="C192" t="s">
        <v>96</v>
      </c>
      <c r="D192" t="s">
        <v>140</v>
      </c>
      <c r="E192" s="2">
        <v>44116.657800925925</v>
      </c>
      <c r="F192" s="2">
        <v>44116.669965277775</v>
      </c>
      <c r="G192" s="3">
        <v>1.2164351850515231E-2</v>
      </c>
      <c r="H192" s="3">
        <v>1057.4019341546621</v>
      </c>
      <c r="I192" s="3">
        <v>17.623365569244367</v>
      </c>
      <c r="J192" s="3">
        <v>0.29372275948740612</v>
      </c>
    </row>
    <row r="193" spans="1:11" x14ac:dyDescent="0.35">
      <c r="A193">
        <v>192</v>
      </c>
      <c r="B193" t="s">
        <v>11</v>
      </c>
      <c r="C193" t="s">
        <v>11</v>
      </c>
      <c r="D193" t="s">
        <v>140</v>
      </c>
      <c r="E193" s="2">
        <v>44116.670474537037</v>
      </c>
      <c r="F193" s="2">
        <v>44116.68818287037</v>
      </c>
      <c r="G193" s="3">
        <v>1.7708333332848269E-2</v>
      </c>
      <c r="H193" s="3">
        <v>1539.3196568887579</v>
      </c>
      <c r="I193" s="3">
        <v>25.655327614812631</v>
      </c>
      <c r="J193" s="3">
        <v>0.42758879358021051</v>
      </c>
    </row>
    <row r="194" spans="1:11" x14ac:dyDescent="0.35">
      <c r="A194">
        <v>193</v>
      </c>
      <c r="B194" t="s">
        <v>2</v>
      </c>
      <c r="C194" t="s">
        <v>96</v>
      </c>
      <c r="D194" t="s">
        <v>140</v>
      </c>
      <c r="E194" s="2">
        <v>44116.688321759262</v>
      </c>
      <c r="F194" s="2">
        <v>44116.68886574074</v>
      </c>
      <c r="G194" s="3">
        <v>5.4398147767642513E-4</v>
      </c>
      <c r="H194" s="3">
        <v>47.286289784112057</v>
      </c>
      <c r="I194" s="3">
        <v>0.78810482973520091</v>
      </c>
      <c r="J194" s="3">
        <v>1.3135080495586681E-2</v>
      </c>
    </row>
    <row r="195" spans="1:11" x14ac:dyDescent="0.35">
      <c r="A195">
        <v>194</v>
      </c>
      <c r="B195" t="s">
        <v>2</v>
      </c>
      <c r="C195" t="s">
        <v>96</v>
      </c>
      <c r="D195" t="s">
        <v>140</v>
      </c>
      <c r="E195" s="2">
        <v>44116.689293981479</v>
      </c>
      <c r="F195" s="2">
        <v>44116.693009259259</v>
      </c>
      <c r="G195" s="3">
        <v>3.7152777804294601E-3</v>
      </c>
      <c r="H195" s="3">
        <v>322.95530080228269</v>
      </c>
      <c r="I195" s="3">
        <v>5.3825883467047113</v>
      </c>
      <c r="J195" s="3">
        <v>8.9709805778411852E-2</v>
      </c>
    </row>
    <row r="196" spans="1:11" x14ac:dyDescent="0.35">
      <c r="A196">
        <v>195</v>
      </c>
      <c r="B196" t="s">
        <v>2</v>
      </c>
      <c r="C196" t="s">
        <v>132</v>
      </c>
      <c r="D196" t="s">
        <v>140</v>
      </c>
      <c r="E196" s="2">
        <v>44116.693148148152</v>
      </c>
      <c r="F196" s="2">
        <v>44116.737974537034</v>
      </c>
      <c r="G196" s="3">
        <v>4.4826388882938772E-2</v>
      </c>
      <c r="H196" s="3">
        <v>3896.5915232039961</v>
      </c>
      <c r="I196" s="3">
        <v>64.94319205339994</v>
      </c>
      <c r="J196" s="3">
        <v>1.0823865342233323</v>
      </c>
      <c r="K196" t="s">
        <v>42</v>
      </c>
    </row>
    <row r="197" spans="1:11" x14ac:dyDescent="0.35">
      <c r="A197">
        <v>196</v>
      </c>
      <c r="B197" t="s">
        <v>11</v>
      </c>
      <c r="C197" t="s">
        <v>11</v>
      </c>
      <c r="D197" t="s">
        <v>140</v>
      </c>
      <c r="E197" s="2">
        <v>44116.73809027778</v>
      </c>
      <c r="F197" s="2">
        <v>44116.739525462966</v>
      </c>
      <c r="G197" s="3">
        <v>1.4351851859828457E-3</v>
      </c>
      <c r="H197" s="3">
        <v>124.75531867027517</v>
      </c>
      <c r="I197" s="3">
        <v>2.0792553111712531</v>
      </c>
      <c r="J197" s="3">
        <v>3.4654255186187553E-2</v>
      </c>
    </row>
    <row r="198" spans="1:11" x14ac:dyDescent="0.35">
      <c r="A198">
        <v>197</v>
      </c>
      <c r="B198" t="s">
        <v>11</v>
      </c>
      <c r="C198" t="s">
        <v>11</v>
      </c>
      <c r="D198" t="s">
        <v>140</v>
      </c>
      <c r="E198" s="2">
        <v>44116.74046296296</v>
      </c>
      <c r="F198" s="2">
        <v>44116.747384259259</v>
      </c>
      <c r="G198" s="3">
        <v>6.921296298969537E-3</v>
      </c>
      <c r="H198" s="3">
        <v>601.64258509818637</v>
      </c>
      <c r="I198" s="3">
        <v>10.027376418303106</v>
      </c>
      <c r="J198" s="3">
        <v>0.16712294030505176</v>
      </c>
    </row>
    <row r="199" spans="1:11" x14ac:dyDescent="0.35">
      <c r="A199">
        <v>198</v>
      </c>
      <c r="B199" t="s">
        <v>2</v>
      </c>
      <c r="C199" t="s">
        <v>96</v>
      </c>
      <c r="D199" t="s">
        <v>140</v>
      </c>
      <c r="E199" s="2">
        <v>44116.747754629629</v>
      </c>
      <c r="F199" s="2">
        <v>44116.752986111111</v>
      </c>
      <c r="G199" s="3">
        <v>5.2314814820419997E-3</v>
      </c>
      <c r="H199" s="3">
        <v>454.75325817472179</v>
      </c>
      <c r="I199" s="3">
        <v>7.5792209695786967</v>
      </c>
      <c r="J199" s="3">
        <v>0.12632034949297827</v>
      </c>
    </row>
    <row r="200" spans="1:11" x14ac:dyDescent="0.35">
      <c r="A200">
        <v>199</v>
      </c>
      <c r="B200" t="s">
        <v>11</v>
      </c>
      <c r="C200" t="s">
        <v>11</v>
      </c>
      <c r="D200" t="s">
        <v>140</v>
      </c>
      <c r="E200" s="2">
        <v>44117.332800925928</v>
      </c>
      <c r="F200" s="2">
        <v>44117.342974537038</v>
      </c>
      <c r="G200" s="3">
        <v>1.0173611110076308E-2</v>
      </c>
      <c r="H200" s="3">
        <v>884.35423418604898</v>
      </c>
      <c r="I200" s="3">
        <v>14.73923723643415</v>
      </c>
      <c r="J200" s="3">
        <v>0.24565395394056916</v>
      </c>
    </row>
    <row r="201" spans="1:11" x14ac:dyDescent="0.35">
      <c r="A201">
        <v>200</v>
      </c>
      <c r="B201" t="s">
        <v>2</v>
      </c>
      <c r="C201" t="s">
        <v>96</v>
      </c>
      <c r="D201" t="s">
        <v>140</v>
      </c>
      <c r="E201" s="2">
        <v>44117.343113425923</v>
      </c>
      <c r="F201" s="2">
        <v>44117.345000000001</v>
      </c>
      <c r="G201" s="3">
        <v>1.8865740785258822E-3</v>
      </c>
      <c r="H201" s="3">
        <v>163.99287887046958</v>
      </c>
      <c r="I201" s="3">
        <v>2.7332146478411596</v>
      </c>
      <c r="J201" s="3">
        <v>4.5553577464019328E-2</v>
      </c>
    </row>
    <row r="202" spans="1:11" x14ac:dyDescent="0.35">
      <c r="A202">
        <v>201</v>
      </c>
      <c r="B202" t="s">
        <v>2</v>
      </c>
      <c r="C202" t="s">
        <v>132</v>
      </c>
      <c r="D202" t="s">
        <v>140</v>
      </c>
      <c r="E202" s="2">
        <v>44117.345196759263</v>
      </c>
      <c r="F202" s="2">
        <v>44117.351851851854</v>
      </c>
      <c r="G202" s="3">
        <v>6.655092591245193E-3</v>
      </c>
      <c r="H202" s="3">
        <v>578.50248533077126</v>
      </c>
      <c r="I202" s="3">
        <v>9.6417080888461886</v>
      </c>
      <c r="J202" s="3">
        <v>0.16069513481410314</v>
      </c>
      <c r="K202" t="s">
        <v>42</v>
      </c>
    </row>
    <row r="203" spans="1:11" x14ac:dyDescent="0.35">
      <c r="A203">
        <v>202</v>
      </c>
      <c r="B203" t="s">
        <v>11</v>
      </c>
      <c r="C203" t="s">
        <v>11</v>
      </c>
      <c r="D203" t="s">
        <v>140</v>
      </c>
      <c r="E203" s="2">
        <v>44117.352106481485</v>
      </c>
      <c r="F203" s="2">
        <v>44117.365555555552</v>
      </c>
      <c r="G203" s="3">
        <v>1.3449074067466427E-2</v>
      </c>
      <c r="H203" s="3">
        <v>1169.078065669891</v>
      </c>
      <c r="I203" s="3">
        <v>19.484634427831516</v>
      </c>
      <c r="J203" s="3">
        <v>0.32474390713052526</v>
      </c>
    </row>
    <row r="204" spans="1:11" x14ac:dyDescent="0.35">
      <c r="A204">
        <v>203</v>
      </c>
      <c r="B204" t="s">
        <v>2</v>
      </c>
      <c r="C204" t="s">
        <v>132</v>
      </c>
      <c r="D204" t="s">
        <v>140</v>
      </c>
      <c r="E204" s="2">
        <v>44117.365648148145</v>
      </c>
      <c r="F204" s="2">
        <v>44117.36928240741</v>
      </c>
      <c r="G204" s="3">
        <v>3.6342592647997662E-3</v>
      </c>
      <c r="H204" s="3">
        <v>315.91266210011872</v>
      </c>
      <c r="I204" s="3">
        <v>5.265211035001979</v>
      </c>
      <c r="J204" s="3">
        <v>8.7753517250032984E-2</v>
      </c>
      <c r="K204" t="s">
        <v>42</v>
      </c>
    </row>
    <row r="205" spans="1:11" x14ac:dyDescent="0.35">
      <c r="A205">
        <v>204</v>
      </c>
      <c r="B205" t="s">
        <v>11</v>
      </c>
      <c r="C205" t="s">
        <v>11</v>
      </c>
      <c r="D205" t="s">
        <v>140</v>
      </c>
      <c r="E205" s="2">
        <v>44117.369456018518</v>
      </c>
      <c r="F205" s="2">
        <v>44117.400358796294</v>
      </c>
      <c r="G205" s="3">
        <v>3.0902777776645962E-2</v>
      </c>
      <c r="H205" s="3">
        <v>2686.2637149379311</v>
      </c>
      <c r="I205" s="3">
        <v>44.771061915632188</v>
      </c>
      <c r="J205" s="3">
        <v>0.74618436526053644</v>
      </c>
    </row>
    <row r="206" spans="1:11" x14ac:dyDescent="0.35">
      <c r="A206">
        <v>205</v>
      </c>
      <c r="B206" t="s">
        <v>2</v>
      </c>
      <c r="C206" t="s">
        <v>132</v>
      </c>
      <c r="D206" t="s">
        <v>140</v>
      </c>
      <c r="E206" s="2">
        <v>44117.400578703702</v>
      </c>
      <c r="F206" s="2">
        <v>44117.402094907404</v>
      </c>
      <c r="G206" s="3">
        <v>1.5162037016125396E-3</v>
      </c>
      <c r="H206" s="3">
        <v>131.7979573724391</v>
      </c>
      <c r="I206" s="3">
        <v>2.196632622873985</v>
      </c>
      <c r="J206" s="3">
        <v>3.6610543714566415E-2</v>
      </c>
      <c r="K206" t="s">
        <v>64</v>
      </c>
    </row>
    <row r="207" spans="1:11" x14ac:dyDescent="0.35">
      <c r="A207">
        <v>206</v>
      </c>
      <c r="B207" t="s">
        <v>11</v>
      </c>
      <c r="C207" t="s">
        <v>11</v>
      </c>
      <c r="D207" t="s">
        <v>140</v>
      </c>
      <c r="E207" s="2">
        <v>44117.40221064815</v>
      </c>
      <c r="F207" s="2">
        <v>44117.434120370373</v>
      </c>
      <c r="G207" s="3">
        <v>3.1909722223645076E-2</v>
      </c>
      <c r="H207" s="3">
        <v>2773.7936564364632</v>
      </c>
      <c r="I207" s="3">
        <v>46.229894273941049</v>
      </c>
      <c r="J207" s="3">
        <v>0.7704982378990175</v>
      </c>
    </row>
    <row r="208" spans="1:11" x14ac:dyDescent="0.35">
      <c r="A208">
        <v>207</v>
      </c>
      <c r="B208" t="s">
        <v>16</v>
      </c>
      <c r="C208" t="s">
        <v>16</v>
      </c>
      <c r="D208" t="s">
        <v>140</v>
      </c>
      <c r="E208" s="2">
        <v>44117.434305555558</v>
      </c>
      <c r="F208" s="2">
        <v>44117.436886574076</v>
      </c>
      <c r="G208" s="3">
        <v>2.5810185179580003E-3</v>
      </c>
      <c r="H208" s="3">
        <v>224.35835517715577</v>
      </c>
      <c r="I208" s="3">
        <v>3.7393059196192628</v>
      </c>
      <c r="J208" s="3">
        <v>6.2321765326987716E-2</v>
      </c>
    </row>
    <row r="209" spans="1:11" x14ac:dyDescent="0.35">
      <c r="A209">
        <v>208</v>
      </c>
      <c r="B209" t="s">
        <v>11</v>
      </c>
      <c r="C209" t="s">
        <v>11</v>
      </c>
      <c r="D209" t="s">
        <v>140</v>
      </c>
      <c r="E209" s="2">
        <v>44117.437106481484</v>
      </c>
      <c r="F209" s="2">
        <v>44117.44935185185</v>
      </c>
      <c r="G209" s="3">
        <v>1.2245370366144925E-2</v>
      </c>
      <c r="H209" s="3">
        <v>1064.444572856826</v>
      </c>
      <c r="I209" s="3">
        <v>17.740742880947099</v>
      </c>
      <c r="J209" s="3">
        <v>0.29567904801578498</v>
      </c>
    </row>
    <row r="210" spans="1:11" x14ac:dyDescent="0.35">
      <c r="A210">
        <v>209</v>
      </c>
      <c r="B210" t="s">
        <v>2</v>
      </c>
      <c r="C210" t="s">
        <v>132</v>
      </c>
      <c r="D210" t="s">
        <v>140</v>
      </c>
      <c r="E210" s="2">
        <v>44117.450509259259</v>
      </c>
      <c r="F210" s="2">
        <v>44117.453842592593</v>
      </c>
      <c r="G210" s="3">
        <v>3.3333333340124227E-3</v>
      </c>
      <c r="H210" s="3">
        <v>289.75428842249846</v>
      </c>
      <c r="I210" s="3">
        <v>4.829238140374974</v>
      </c>
      <c r="J210" s="3">
        <v>8.04873023395829E-2</v>
      </c>
      <c r="K210" t="s">
        <v>42</v>
      </c>
    </row>
    <row r="211" spans="1:11" x14ac:dyDescent="0.35">
      <c r="A211">
        <v>210</v>
      </c>
      <c r="B211" t="s">
        <v>2</v>
      </c>
      <c r="C211" t="s">
        <v>96</v>
      </c>
      <c r="D211" t="s">
        <v>140</v>
      </c>
      <c r="E211" s="2">
        <v>44117.454085648147</v>
      </c>
      <c r="F211" s="2">
        <v>44117.459097222221</v>
      </c>
      <c r="G211" s="3">
        <v>5.0115740741603076E-3</v>
      </c>
      <c r="H211" s="3">
        <v>435.63752383173744</v>
      </c>
      <c r="I211" s="3">
        <v>7.2606253971956241</v>
      </c>
      <c r="J211" s="3">
        <v>0.12101042328659374</v>
      </c>
    </row>
    <row r="212" spans="1:11" x14ac:dyDescent="0.35">
      <c r="A212">
        <v>211</v>
      </c>
      <c r="B212" t="s">
        <v>2</v>
      </c>
      <c r="C212" t="s">
        <v>132</v>
      </c>
      <c r="D212" t="s">
        <v>140</v>
      </c>
      <c r="E212" s="2">
        <v>44117.459189814814</v>
      </c>
      <c r="F212" s="2">
        <v>44117.4608912037</v>
      </c>
      <c r="G212" s="3">
        <v>1.7013888864312321E-3</v>
      </c>
      <c r="H212" s="3">
        <v>147.89541780521836</v>
      </c>
      <c r="I212" s="3">
        <v>2.4649236300869726</v>
      </c>
      <c r="J212" s="3">
        <v>4.1082060501449545E-2</v>
      </c>
      <c r="K212" t="s">
        <v>41</v>
      </c>
    </row>
    <row r="213" spans="1:11" x14ac:dyDescent="0.35">
      <c r="A213">
        <v>212</v>
      </c>
      <c r="B213" t="s">
        <v>2</v>
      </c>
      <c r="C213" t="s">
        <v>96</v>
      </c>
      <c r="D213" t="s">
        <v>140</v>
      </c>
      <c r="E213" s="2">
        <v>44117.461122685185</v>
      </c>
      <c r="F213" s="2">
        <v>44117.461851851855</v>
      </c>
      <c r="G213" s="3">
        <v>7.2916666977107525E-4</v>
      </c>
      <c r="H213" s="3">
        <v>63.383750849363281</v>
      </c>
      <c r="I213" s="3">
        <v>1.056395847489388</v>
      </c>
      <c r="J213" s="3">
        <v>1.7606597458156466E-2</v>
      </c>
    </row>
    <row r="214" spans="1:11" x14ac:dyDescent="0.35">
      <c r="A214">
        <v>213</v>
      </c>
      <c r="B214" t="s">
        <v>2</v>
      </c>
      <c r="C214" t="s">
        <v>132</v>
      </c>
      <c r="D214" t="s">
        <v>140</v>
      </c>
      <c r="E214" s="2">
        <v>44117.461921296293</v>
      </c>
      <c r="F214" s="2">
        <v>44117.463067129633</v>
      </c>
      <c r="G214" s="3">
        <v>1.1458333392511122E-3</v>
      </c>
      <c r="H214" s="3">
        <v>99.60303713935258</v>
      </c>
      <c r="I214" s="3">
        <v>1.6600506189892097</v>
      </c>
      <c r="J214" s="3">
        <v>2.7667510316486829E-2</v>
      </c>
      <c r="K214" t="s">
        <v>41</v>
      </c>
    </row>
    <row r="215" spans="1:11" x14ac:dyDescent="0.35">
      <c r="A215">
        <v>214</v>
      </c>
      <c r="B215" t="s">
        <v>2</v>
      </c>
      <c r="C215" t="s">
        <v>96</v>
      </c>
      <c r="D215" t="s">
        <v>140</v>
      </c>
      <c r="E215" s="2">
        <v>44117.463148148148</v>
      </c>
      <c r="F215" s="2">
        <v>44117.479675925926</v>
      </c>
      <c r="G215" s="3">
        <v>1.6527777777810115E-2</v>
      </c>
      <c r="H215" s="3">
        <v>1436.698346471672</v>
      </c>
      <c r="I215" s="3">
        <v>23.944972441194533</v>
      </c>
      <c r="J215" s="3">
        <v>0.39908287401990888</v>
      </c>
    </row>
    <row r="216" spans="1:11" x14ac:dyDescent="0.35">
      <c r="A216">
        <v>215</v>
      </c>
      <c r="B216" t="s">
        <v>11</v>
      </c>
      <c r="C216" t="s">
        <v>11</v>
      </c>
      <c r="D216" t="s">
        <v>140</v>
      </c>
      <c r="E216" s="2">
        <v>44117.479907407411</v>
      </c>
      <c r="F216" s="2">
        <v>44117.482002314813</v>
      </c>
      <c r="G216" s="3">
        <v>2.0949074023519643E-3</v>
      </c>
      <c r="H216" s="3">
        <v>182.10252106675628</v>
      </c>
      <c r="I216" s="3">
        <v>3.0350420177792712</v>
      </c>
      <c r="J216" s="3">
        <v>5.0584033629654516E-2</v>
      </c>
    </row>
    <row r="217" spans="1:11" x14ac:dyDescent="0.35">
      <c r="A217">
        <v>216</v>
      </c>
      <c r="B217" t="s">
        <v>16</v>
      </c>
      <c r="C217" t="s">
        <v>16</v>
      </c>
      <c r="D217" t="s">
        <v>140</v>
      </c>
      <c r="E217" s="2">
        <v>44117.482164351852</v>
      </c>
      <c r="F217" s="2">
        <v>44117.499178240738</v>
      </c>
      <c r="G217" s="3">
        <v>1.7013888886140194E-2</v>
      </c>
      <c r="H217" s="3">
        <v>1478.9541799495996</v>
      </c>
      <c r="I217" s="3">
        <v>24.649236332493327</v>
      </c>
      <c r="J217" s="3">
        <v>0.41082060554155547</v>
      </c>
    </row>
    <row r="218" spans="1:11" x14ac:dyDescent="0.35">
      <c r="A218">
        <v>217</v>
      </c>
      <c r="B218" t="s">
        <v>11</v>
      </c>
      <c r="C218" t="s">
        <v>11</v>
      </c>
      <c r="D218" t="s">
        <v>140</v>
      </c>
      <c r="E218" s="2">
        <v>44117.499259259261</v>
      </c>
      <c r="F218" s="2">
        <v>44117.500335648147</v>
      </c>
      <c r="G218" s="3">
        <v>1.0763888858491555E-3</v>
      </c>
      <c r="H218" s="3">
        <v>93.566488686470393</v>
      </c>
      <c r="I218" s="3">
        <v>1.5594414781078398</v>
      </c>
      <c r="J218" s="3">
        <v>2.599069130179733E-2</v>
      </c>
    </row>
    <row r="219" spans="1:11" x14ac:dyDescent="0.35">
      <c r="A219">
        <v>218</v>
      </c>
      <c r="B219" t="s">
        <v>16</v>
      </c>
      <c r="C219" t="s">
        <v>16</v>
      </c>
      <c r="D219" t="s">
        <v>140</v>
      </c>
      <c r="E219" s="2">
        <v>44117.500844907408</v>
      </c>
      <c r="F219" s="2">
        <v>44117.505439814813</v>
      </c>
      <c r="G219" s="3">
        <v>4.5949074046802707E-3</v>
      </c>
      <c r="H219" s="3">
        <v>399.41823754174811</v>
      </c>
      <c r="I219" s="3">
        <v>6.6569706256958021</v>
      </c>
      <c r="J219" s="3">
        <v>0.11094951042826337</v>
      </c>
    </row>
    <row r="220" spans="1:11" x14ac:dyDescent="0.35">
      <c r="A220">
        <v>219</v>
      </c>
      <c r="B220" t="s">
        <v>2</v>
      </c>
      <c r="C220" t="s">
        <v>96</v>
      </c>
      <c r="D220" t="s">
        <v>140</v>
      </c>
      <c r="E220" s="2">
        <v>44117.506111111114</v>
      </c>
      <c r="F220" s="2">
        <v>44117.515879629631</v>
      </c>
      <c r="G220" s="3">
        <v>9.7685185173759237E-3</v>
      </c>
      <c r="H220" s="3">
        <v>849.14103941028543</v>
      </c>
      <c r="I220" s="3">
        <v>14.15235065683809</v>
      </c>
      <c r="J220" s="3">
        <v>0.23587251094730149</v>
      </c>
    </row>
    <row r="221" spans="1:11" x14ac:dyDescent="0.35">
      <c r="A221">
        <v>220</v>
      </c>
      <c r="B221" t="s">
        <v>11</v>
      </c>
      <c r="C221" t="s">
        <v>11</v>
      </c>
      <c r="D221" t="s">
        <v>140</v>
      </c>
      <c r="E221" s="2">
        <v>44117.516226851854</v>
      </c>
      <c r="F221" s="2">
        <v>44117.52752314815</v>
      </c>
      <c r="G221" s="3">
        <v>1.1296296295768116E-2</v>
      </c>
      <c r="H221" s="3">
        <v>981.94508829695019</v>
      </c>
      <c r="I221" s="3">
        <v>16.365751471615837</v>
      </c>
      <c r="J221" s="3">
        <v>0.27276252452693062</v>
      </c>
    </row>
    <row r="222" spans="1:11" x14ac:dyDescent="0.35">
      <c r="A222">
        <v>221</v>
      </c>
      <c r="B222" t="s">
        <v>11</v>
      </c>
      <c r="C222" t="s">
        <v>11</v>
      </c>
      <c r="D222" t="s">
        <v>140</v>
      </c>
      <c r="E222" s="2">
        <v>44117.528124999997</v>
      </c>
      <c r="F222" s="2">
        <v>44117.539444444446</v>
      </c>
      <c r="G222" s="3">
        <v>1.131944444932742E-2</v>
      </c>
      <c r="H222" s="3">
        <v>983.95727132540162</v>
      </c>
      <c r="I222" s="3">
        <v>16.39928785542336</v>
      </c>
      <c r="J222" s="3">
        <v>0.273321464257056</v>
      </c>
    </row>
    <row r="223" spans="1:11" x14ac:dyDescent="0.35">
      <c r="A223">
        <v>222</v>
      </c>
      <c r="B223" t="s">
        <v>2</v>
      </c>
      <c r="C223" t="s">
        <v>132</v>
      </c>
      <c r="D223" t="s">
        <v>140</v>
      </c>
      <c r="E223" s="2">
        <v>44117.539641203701</v>
      </c>
      <c r="F223" s="2">
        <v>44117.544340277775</v>
      </c>
      <c r="G223" s="3">
        <v>4.6990740738692693E-3</v>
      </c>
      <c r="H223" s="3">
        <v>408.47305927236346</v>
      </c>
      <c r="I223" s="3">
        <v>6.8078843212060578</v>
      </c>
      <c r="J223" s="3">
        <v>0.11346473868676762</v>
      </c>
      <c r="K223" t="s">
        <v>42</v>
      </c>
    </row>
    <row r="224" spans="1:11" x14ac:dyDescent="0.35">
      <c r="A224">
        <v>223</v>
      </c>
      <c r="B224" t="s">
        <v>16</v>
      </c>
      <c r="C224" t="s">
        <v>16</v>
      </c>
      <c r="D224" t="s">
        <v>140</v>
      </c>
      <c r="E224" s="2">
        <v>44117.544502314813</v>
      </c>
      <c r="F224" s="2">
        <v>44117.545405092591</v>
      </c>
      <c r="G224" s="3">
        <v>9.0277777781011537E-4</v>
      </c>
      <c r="H224" s="3">
        <v>78.475119767916837</v>
      </c>
      <c r="I224" s="3">
        <v>1.3079186627986139</v>
      </c>
      <c r="J224" s="3">
        <v>2.17986443799769E-2</v>
      </c>
    </row>
    <row r="225" spans="1:11" x14ac:dyDescent="0.35">
      <c r="A225">
        <v>224</v>
      </c>
      <c r="B225" t="s">
        <v>2</v>
      </c>
      <c r="C225" t="s">
        <v>132</v>
      </c>
      <c r="D225" t="s">
        <v>140</v>
      </c>
      <c r="E225" s="2">
        <v>44117.545567129629</v>
      </c>
      <c r="F225" s="2">
        <v>44117.588518518518</v>
      </c>
      <c r="G225" s="3">
        <v>4.29513888884685E-2</v>
      </c>
      <c r="H225" s="3">
        <v>3733.6047364802239</v>
      </c>
      <c r="I225" s="3">
        <v>62.226745608003732</v>
      </c>
      <c r="J225" s="3">
        <v>1.0371124268000622</v>
      </c>
      <c r="K225" t="s">
        <v>42</v>
      </c>
    </row>
    <row r="226" spans="1:11" x14ac:dyDescent="0.35">
      <c r="A226">
        <v>225</v>
      </c>
      <c r="B226" t="s">
        <v>16</v>
      </c>
      <c r="C226" t="s">
        <v>16</v>
      </c>
      <c r="D226" t="s">
        <v>140</v>
      </c>
      <c r="E226" s="2">
        <v>44117.588634259257</v>
      </c>
      <c r="F226" s="2">
        <v>44117.600358796299</v>
      </c>
      <c r="G226" s="3">
        <v>1.1724537042027805E-2</v>
      </c>
      <c r="H226" s="3">
        <v>1019.1704661011652</v>
      </c>
      <c r="I226" s="3">
        <v>16.986174435019418</v>
      </c>
      <c r="J226" s="3">
        <v>0.28310290725032361</v>
      </c>
    </row>
    <row r="227" spans="1:11" x14ac:dyDescent="0.35">
      <c r="A227">
        <v>226</v>
      </c>
      <c r="B227" t="s">
        <v>2</v>
      </c>
      <c r="C227" t="s">
        <v>132</v>
      </c>
      <c r="D227" t="s">
        <v>140</v>
      </c>
      <c r="E227" s="2">
        <v>44117.60050925926</v>
      </c>
      <c r="F227" s="2">
        <v>44117.622002314813</v>
      </c>
      <c r="G227" s="3">
        <v>2.1493055552127771E-2</v>
      </c>
      <c r="H227" s="3">
        <v>1868.3115048789787</v>
      </c>
      <c r="I227" s="3">
        <v>31.13852508131631</v>
      </c>
      <c r="J227" s="3">
        <v>0.51897541802193847</v>
      </c>
      <c r="K227" t="s">
        <v>42</v>
      </c>
    </row>
    <row r="228" spans="1:11" x14ac:dyDescent="0.35">
      <c r="A228">
        <v>227</v>
      </c>
      <c r="B228" t="s">
        <v>2</v>
      </c>
      <c r="C228" t="s">
        <v>96</v>
      </c>
      <c r="D228" t="s">
        <v>140</v>
      </c>
      <c r="E228" s="2">
        <v>44117.622118055559</v>
      </c>
      <c r="F228" s="2">
        <v>44117.67328703704</v>
      </c>
      <c r="G228" s="3">
        <v>5.1168981481168885E-2</v>
      </c>
      <c r="H228" s="3">
        <v>4447.929544607865</v>
      </c>
      <c r="I228" s="3">
        <v>74.132159076797748</v>
      </c>
      <c r="J228" s="3">
        <v>1.2355359846132958</v>
      </c>
    </row>
    <row r="229" spans="1:11" x14ac:dyDescent="0.35">
      <c r="A229">
        <v>228</v>
      </c>
      <c r="B229" t="s">
        <v>2</v>
      </c>
      <c r="C229" t="s">
        <v>132</v>
      </c>
      <c r="D229" t="s">
        <v>140</v>
      </c>
      <c r="E229" s="2">
        <v>44117.673530092594</v>
      </c>
      <c r="F229" s="2">
        <v>44117.696666666663</v>
      </c>
      <c r="G229" s="3">
        <v>2.3136574069212656E-2</v>
      </c>
      <c r="H229" s="3">
        <v>2011.1764663780125</v>
      </c>
      <c r="I229" s="3">
        <v>33.519607772966872</v>
      </c>
      <c r="J229" s="3">
        <v>0.55866012954944788</v>
      </c>
      <c r="K229" t="s">
        <v>42</v>
      </c>
    </row>
    <row r="230" spans="1:11" x14ac:dyDescent="0.35">
      <c r="A230">
        <v>229</v>
      </c>
      <c r="B230" t="s">
        <v>11</v>
      </c>
      <c r="C230" t="s">
        <v>11</v>
      </c>
      <c r="D230" t="s">
        <v>140</v>
      </c>
      <c r="E230" s="2">
        <v>44117.696909722225</v>
      </c>
      <c r="F230" s="2">
        <v>44117.753518518519</v>
      </c>
      <c r="G230" s="3">
        <v>5.6608796294312924E-2</v>
      </c>
      <c r="H230" s="3">
        <v>4920.792445611346</v>
      </c>
      <c r="I230" s="3">
        <v>82.013207426855772</v>
      </c>
      <c r="J230" s="3">
        <v>1.3668867904475961</v>
      </c>
    </row>
    <row r="231" spans="1:11" x14ac:dyDescent="0.35">
      <c r="A231">
        <v>230</v>
      </c>
      <c r="B231" t="s">
        <v>11</v>
      </c>
      <c r="C231" t="s">
        <v>11</v>
      </c>
      <c r="D231" t="s">
        <v>140</v>
      </c>
      <c r="E231" s="2">
        <v>44117.753692129627</v>
      </c>
      <c r="F231" s="2">
        <v>44117.768159722225</v>
      </c>
      <c r="G231" s="3">
        <v>1.4467592598521151E-2</v>
      </c>
      <c r="H231" s="3">
        <v>1257.6140993151207</v>
      </c>
      <c r="I231" s="3">
        <v>20.960234988585345</v>
      </c>
      <c r="J231" s="3">
        <v>0.34933724980975572</v>
      </c>
    </row>
    <row r="232" spans="1:11" x14ac:dyDescent="0.35">
      <c r="A232">
        <v>231</v>
      </c>
      <c r="B232" t="s">
        <v>2</v>
      </c>
      <c r="C232" t="s">
        <v>72</v>
      </c>
      <c r="D232" t="s">
        <v>140</v>
      </c>
      <c r="E232" s="2">
        <v>44118.330821759257</v>
      </c>
      <c r="F232" s="2">
        <v>44118.341469907406</v>
      </c>
      <c r="G232" s="3">
        <v>1.0648148148902692E-2</v>
      </c>
      <c r="H232" s="3">
        <v>925.60397678222284</v>
      </c>
      <c r="I232" s="3">
        <v>15.426732946370381</v>
      </c>
      <c r="J232" s="3">
        <v>0.25711221577283966</v>
      </c>
      <c r="K232" t="s">
        <v>73</v>
      </c>
    </row>
    <row r="233" spans="1:11" x14ac:dyDescent="0.35">
      <c r="A233">
        <v>232</v>
      </c>
      <c r="B233" t="s">
        <v>11</v>
      </c>
      <c r="C233" t="s">
        <v>11</v>
      </c>
      <c r="D233" t="s">
        <v>140</v>
      </c>
      <c r="E233" s="2">
        <v>44118.341562499998</v>
      </c>
      <c r="F233" s="2">
        <v>44118.352280092593</v>
      </c>
      <c r="G233" s="3">
        <v>1.0717592595028691E-2</v>
      </c>
      <c r="H233" s="3">
        <v>931.64052460263304</v>
      </c>
      <c r="I233" s="3">
        <v>15.52734207671055</v>
      </c>
      <c r="J233" s="3">
        <v>0.25878903461184249</v>
      </c>
    </row>
    <row r="234" spans="1:11" x14ac:dyDescent="0.35">
      <c r="A234">
        <v>233</v>
      </c>
      <c r="B234" t="s">
        <v>16</v>
      </c>
      <c r="C234" t="s">
        <v>16</v>
      </c>
      <c r="D234" t="s">
        <v>140</v>
      </c>
      <c r="E234" s="2">
        <v>44118.352384259262</v>
      </c>
      <c r="F234" s="2">
        <v>44118.357430555552</v>
      </c>
      <c r="G234" s="3">
        <v>5.0462962899473496E-3</v>
      </c>
      <c r="H234" s="3">
        <v>438.65579710947054</v>
      </c>
      <c r="I234" s="3">
        <v>7.3109299518245088</v>
      </c>
      <c r="J234" s="3">
        <v>0.12184883253040849</v>
      </c>
    </row>
    <row r="235" spans="1:11" x14ac:dyDescent="0.35">
      <c r="A235">
        <v>234</v>
      </c>
      <c r="B235" t="s">
        <v>16</v>
      </c>
      <c r="C235" t="s">
        <v>16</v>
      </c>
      <c r="D235" t="s">
        <v>140</v>
      </c>
      <c r="E235" s="2">
        <v>44118.357499999998</v>
      </c>
      <c r="F235" s="2">
        <v>44118.374907407408</v>
      </c>
      <c r="G235" s="3">
        <v>1.7407407409336884E-2</v>
      </c>
      <c r="H235" s="3">
        <v>1513.1612838436095</v>
      </c>
      <c r="I235" s="3">
        <v>25.219354730726824</v>
      </c>
      <c r="J235" s="3">
        <v>0.42032257884544705</v>
      </c>
    </row>
    <row r="236" spans="1:11" x14ac:dyDescent="0.35">
      <c r="A236">
        <v>235</v>
      </c>
      <c r="B236" t="s">
        <v>2</v>
      </c>
      <c r="C236" t="s">
        <v>96</v>
      </c>
      <c r="D236" t="s">
        <v>140</v>
      </c>
      <c r="E236" s="2">
        <v>44118.375081018516</v>
      </c>
      <c r="F236" s="2">
        <v>44118.379305555558</v>
      </c>
      <c r="G236" s="3">
        <v>4.2245370423188433E-3</v>
      </c>
      <c r="H236" s="3">
        <v>367.22331730866159</v>
      </c>
      <c r="I236" s="3">
        <v>6.1203886218110268</v>
      </c>
      <c r="J236" s="3">
        <v>0.10200647703018378</v>
      </c>
    </row>
    <row r="237" spans="1:11" x14ac:dyDescent="0.35">
      <c r="A237">
        <v>236</v>
      </c>
      <c r="B237" t="s">
        <v>2</v>
      </c>
      <c r="C237" t="s">
        <v>96</v>
      </c>
      <c r="D237" t="s">
        <v>140</v>
      </c>
      <c r="E237" s="2">
        <v>44118.379560185182</v>
      </c>
      <c r="F237" s="2">
        <v>44118.38354166667</v>
      </c>
      <c r="G237" s="3">
        <v>3.9814814881538041E-3</v>
      </c>
      <c r="H237" s="3">
        <v>346.09540056969786</v>
      </c>
      <c r="I237" s="3">
        <v>5.7682566761616307</v>
      </c>
      <c r="J237" s="3">
        <v>9.6137611269360518E-2</v>
      </c>
    </row>
    <row r="238" spans="1:11" x14ac:dyDescent="0.35">
      <c r="A238">
        <v>237</v>
      </c>
      <c r="B238" t="s">
        <v>2</v>
      </c>
      <c r="C238" t="s">
        <v>96</v>
      </c>
      <c r="D238" t="s">
        <v>140</v>
      </c>
      <c r="E238" s="2">
        <v>44118.383668981478</v>
      </c>
      <c r="F238" s="2">
        <v>44118.399618055555</v>
      </c>
      <c r="G238" s="3">
        <v>1.5949074077070691E-2</v>
      </c>
      <c r="H238" s="3">
        <v>1386.3937827773548</v>
      </c>
      <c r="I238" s="3">
        <v>23.106563046289246</v>
      </c>
      <c r="J238" s="3">
        <v>0.38510938410482076</v>
      </c>
    </row>
    <row r="239" spans="1:11" x14ac:dyDescent="0.35">
      <c r="A239">
        <v>238</v>
      </c>
      <c r="B239" t="s">
        <v>2</v>
      </c>
      <c r="C239" t="s">
        <v>132</v>
      </c>
      <c r="D239" t="s">
        <v>140</v>
      </c>
      <c r="E239" s="2">
        <v>44118.399837962963</v>
      </c>
      <c r="F239" s="2">
        <v>44118.434594907405</v>
      </c>
      <c r="G239" s="3">
        <v>3.4756944442051463E-2</v>
      </c>
      <c r="H239" s="3">
        <v>3021.2921107485622</v>
      </c>
      <c r="I239" s="3">
        <v>50.354868512476038</v>
      </c>
      <c r="J239" s="3">
        <v>0.83924780854126735</v>
      </c>
      <c r="K239" t="s">
        <v>42</v>
      </c>
    </row>
    <row r="240" spans="1:11" x14ac:dyDescent="0.35">
      <c r="A240">
        <v>239</v>
      </c>
      <c r="B240" t="s">
        <v>16</v>
      </c>
      <c r="C240" t="s">
        <v>16</v>
      </c>
      <c r="D240" t="s">
        <v>140</v>
      </c>
      <c r="E240" s="2">
        <v>44118.434699074074</v>
      </c>
      <c r="F240" s="2">
        <v>44118.437256944446</v>
      </c>
      <c r="G240" s="3">
        <v>2.5578703716746531E-3</v>
      </c>
      <c r="H240" s="3">
        <v>222.34617278117636</v>
      </c>
      <c r="I240" s="3">
        <v>3.7057695463529394</v>
      </c>
      <c r="J240" s="3">
        <v>6.176282577254899E-2</v>
      </c>
    </row>
    <row r="241" spans="1:11" x14ac:dyDescent="0.35">
      <c r="A241">
        <v>240</v>
      </c>
      <c r="B241" t="s">
        <v>2</v>
      </c>
      <c r="C241" t="s">
        <v>132</v>
      </c>
      <c r="D241" t="s">
        <v>140</v>
      </c>
      <c r="E241" s="2">
        <v>44118.437384259261</v>
      </c>
      <c r="F241" s="2">
        <v>44118.48400462963</v>
      </c>
      <c r="G241" s="3">
        <v>4.6620370369055308E-2</v>
      </c>
      <c r="H241" s="3">
        <v>4052.5356718580761</v>
      </c>
      <c r="I241" s="3">
        <v>67.542261197634602</v>
      </c>
      <c r="J241" s="3">
        <v>1.1257043532939099</v>
      </c>
      <c r="K241" t="s">
        <v>42</v>
      </c>
    </row>
    <row r="242" spans="1:11" x14ac:dyDescent="0.35">
      <c r="A242">
        <v>241</v>
      </c>
      <c r="B242" t="s">
        <v>16</v>
      </c>
      <c r="C242" t="s">
        <v>16</v>
      </c>
      <c r="D242" t="s">
        <v>140</v>
      </c>
      <c r="E242" s="2">
        <v>44118.484166666669</v>
      </c>
      <c r="F242" s="2">
        <v>44118.515231481484</v>
      </c>
      <c r="G242" s="3">
        <v>3.1064814815181307E-2</v>
      </c>
      <c r="H242" s="3">
        <v>2700.3489929747311</v>
      </c>
      <c r="I242" s="3">
        <v>45.005816549578853</v>
      </c>
      <c r="J242" s="3">
        <v>0.75009694249298087</v>
      </c>
    </row>
    <row r="243" spans="1:11" x14ac:dyDescent="0.35">
      <c r="A243">
        <v>242</v>
      </c>
      <c r="B243" t="s">
        <v>11</v>
      </c>
      <c r="C243" t="s">
        <v>11</v>
      </c>
      <c r="D243" t="s">
        <v>140</v>
      </c>
      <c r="E243" s="2">
        <v>44118.515451388892</v>
      </c>
      <c r="F243" s="2">
        <v>44118.517048611109</v>
      </c>
      <c r="G243" s="3">
        <v>1.5972222172422335E-3</v>
      </c>
      <c r="H243" s="3">
        <v>138.84059607460304</v>
      </c>
      <c r="I243" s="3">
        <v>2.3140099345767173</v>
      </c>
      <c r="J243" s="3">
        <v>3.8566832242945291E-2</v>
      </c>
    </row>
    <row r="244" spans="1:11" x14ac:dyDescent="0.35">
      <c r="A244">
        <v>243</v>
      </c>
      <c r="B244" t="s">
        <v>11</v>
      </c>
      <c r="C244" t="s">
        <v>11</v>
      </c>
      <c r="D244" t="s">
        <v>140</v>
      </c>
      <c r="E244" s="2">
        <v>44118.517222222225</v>
      </c>
      <c r="F244" s="2">
        <v>44118.519050925926</v>
      </c>
      <c r="G244" s="3">
        <v>1.8287037019035779E-3</v>
      </c>
      <c r="H244" s="3">
        <v>158.96242193181308</v>
      </c>
      <c r="I244" s="3">
        <v>2.6493736988635512</v>
      </c>
      <c r="J244" s="3">
        <v>4.4156228314392518E-2</v>
      </c>
    </row>
    <row r="245" spans="1:11" x14ac:dyDescent="0.35">
      <c r="A245">
        <v>244</v>
      </c>
      <c r="B245" t="s">
        <v>2</v>
      </c>
      <c r="C245" t="s">
        <v>132</v>
      </c>
      <c r="D245" t="s">
        <v>140</v>
      </c>
      <c r="E245" s="2">
        <v>44118.519444444442</v>
      </c>
      <c r="F245" s="2">
        <v>44118.528726851851</v>
      </c>
      <c r="G245" s="3">
        <v>9.2824074090458453E-3</v>
      </c>
      <c r="H245" s="3">
        <v>806.88520593235785</v>
      </c>
      <c r="I245" s="3">
        <v>13.448086765539298</v>
      </c>
      <c r="J245" s="3">
        <v>0.22413477942565496</v>
      </c>
      <c r="K245" t="s">
        <v>42</v>
      </c>
    </row>
    <row r="246" spans="1:11" x14ac:dyDescent="0.35">
      <c r="A246">
        <v>245</v>
      </c>
      <c r="B246" t="s">
        <v>11</v>
      </c>
      <c r="C246" t="s">
        <v>11</v>
      </c>
      <c r="D246" t="s">
        <v>140</v>
      </c>
      <c r="E246" s="2">
        <v>44118.528981481482</v>
      </c>
      <c r="F246" s="2">
        <v>44118.556712962964</v>
      </c>
      <c r="G246" s="3">
        <v>2.7731481481168885E-2</v>
      </c>
      <c r="H246" s="3">
        <v>2410.5947045522325</v>
      </c>
      <c r="I246" s="3">
        <v>40.176578409203877</v>
      </c>
      <c r="J246" s="3">
        <v>0.66960964015339797</v>
      </c>
    </row>
    <row r="247" spans="1:11" x14ac:dyDescent="0.35">
      <c r="A247">
        <v>246</v>
      </c>
      <c r="B247" t="s">
        <v>11</v>
      </c>
      <c r="C247" t="s">
        <v>11</v>
      </c>
      <c r="D247" t="s">
        <v>140</v>
      </c>
      <c r="E247" s="2">
        <v>44118.556828703702</v>
      </c>
      <c r="F247" s="2">
        <v>44118.610937500001</v>
      </c>
      <c r="G247" s="3">
        <v>5.4108796299260575E-2</v>
      </c>
      <c r="H247" s="3">
        <v>4703.4767297688259</v>
      </c>
      <c r="I247" s="3">
        <v>78.391278829480427</v>
      </c>
      <c r="J247" s="3">
        <v>1.3065213138246738</v>
      </c>
    </row>
    <row r="248" spans="1:11" x14ac:dyDescent="0.35">
      <c r="A248">
        <v>247</v>
      </c>
      <c r="B248" t="s">
        <v>16</v>
      </c>
      <c r="C248" t="s">
        <v>16</v>
      </c>
      <c r="D248" t="s">
        <v>140</v>
      </c>
      <c r="E248" s="2">
        <v>44118.611018518517</v>
      </c>
      <c r="F248" s="2">
        <v>44118.621770833335</v>
      </c>
      <c r="G248" s="3">
        <v>1.0752314818091691E-2</v>
      </c>
      <c r="H248" s="3">
        <v>934.65879851283819</v>
      </c>
      <c r="I248" s="3">
        <v>15.577646641880637</v>
      </c>
      <c r="J248" s="3">
        <v>0.25962744403134397</v>
      </c>
    </row>
    <row r="249" spans="1:11" x14ac:dyDescent="0.35">
      <c r="A249">
        <v>248</v>
      </c>
      <c r="B249" t="s">
        <v>2</v>
      </c>
      <c r="C249" t="s">
        <v>132</v>
      </c>
      <c r="D249" t="s">
        <v>140</v>
      </c>
      <c r="E249" s="2">
        <v>44118.62195601852</v>
      </c>
      <c r="F249" s="2">
        <v>44118.662928240738</v>
      </c>
      <c r="G249" s="3">
        <v>4.0972222217533272E-2</v>
      </c>
      <c r="H249" s="3">
        <v>3561.563127393365</v>
      </c>
      <c r="I249" s="3">
        <v>59.359385456556083</v>
      </c>
      <c r="J249" s="3">
        <v>0.9893230909426014</v>
      </c>
      <c r="K249" t="s">
        <v>64</v>
      </c>
    </row>
    <row r="250" spans="1:11" x14ac:dyDescent="0.35">
      <c r="A250">
        <v>249</v>
      </c>
      <c r="B250" t="s">
        <v>2</v>
      </c>
      <c r="C250" t="s">
        <v>96</v>
      </c>
      <c r="D250" t="s">
        <v>140</v>
      </c>
      <c r="E250" s="2">
        <v>44118.66306712963</v>
      </c>
      <c r="F250" s="2">
        <v>44118.678587962961</v>
      </c>
      <c r="G250" s="3">
        <v>1.5520833330811001E-2</v>
      </c>
      <c r="H250" s="3">
        <v>1349.1684049731398</v>
      </c>
      <c r="I250" s="3">
        <v>22.486140082885662</v>
      </c>
      <c r="J250" s="3">
        <v>0.37476900138142771</v>
      </c>
    </row>
    <row r="251" spans="1:11" x14ac:dyDescent="0.35">
      <c r="A251">
        <v>250</v>
      </c>
      <c r="B251" t="s">
        <v>11</v>
      </c>
      <c r="C251" t="s">
        <v>11</v>
      </c>
      <c r="D251" t="s">
        <v>140</v>
      </c>
      <c r="E251" s="2">
        <v>44118.67900462963</v>
      </c>
      <c r="F251" s="2">
        <v>44118.755393518521</v>
      </c>
      <c r="G251" s="3">
        <v>7.6388888890505768E-2</v>
      </c>
      <c r="H251" s="3">
        <v>6640.2024418033525</v>
      </c>
      <c r="I251" s="3">
        <v>110.67004069672254</v>
      </c>
      <c r="J251" s="3">
        <v>1.844500678278709</v>
      </c>
    </row>
    <row r="252" spans="1:11" x14ac:dyDescent="0.35">
      <c r="A252">
        <v>251</v>
      </c>
      <c r="B252" t="s">
        <v>11</v>
      </c>
      <c r="C252" t="s">
        <v>11</v>
      </c>
      <c r="D252" t="s">
        <v>140</v>
      </c>
      <c r="E252" s="2">
        <v>44118.7578125</v>
      </c>
      <c r="F252" s="2">
        <v>44118.761701388888</v>
      </c>
      <c r="G252" s="3">
        <v>3.8888888884685002E-3</v>
      </c>
      <c r="H252" s="3">
        <v>338.04666972083623</v>
      </c>
      <c r="I252" s="3">
        <v>5.6341111620139372</v>
      </c>
      <c r="J252" s="3">
        <v>9.3901852700232283E-2</v>
      </c>
    </row>
    <row r="253" spans="1:11" x14ac:dyDescent="0.35">
      <c r="A253">
        <v>252</v>
      </c>
      <c r="B253" t="s">
        <v>11</v>
      </c>
      <c r="C253" t="s">
        <v>11</v>
      </c>
      <c r="D253" t="s">
        <v>140</v>
      </c>
      <c r="E253" s="2">
        <v>44118.818842592591</v>
      </c>
      <c r="F253" s="2">
        <v>44118.836030092592</v>
      </c>
      <c r="G253" s="3">
        <v>1.7187500001455192E-2</v>
      </c>
      <c r="H253" s="3">
        <v>1494.0455495006252</v>
      </c>
      <c r="I253" s="3">
        <v>24.900759158343753</v>
      </c>
      <c r="J253" s="3">
        <v>0.41501265263906256</v>
      </c>
    </row>
    <row r="254" spans="1:11" x14ac:dyDescent="0.35">
      <c r="A254">
        <v>253</v>
      </c>
      <c r="B254" t="s">
        <v>2</v>
      </c>
      <c r="C254" t="s">
        <v>72</v>
      </c>
      <c r="D254" t="s">
        <v>140</v>
      </c>
      <c r="E254" s="2">
        <v>44119.26902777778</v>
      </c>
      <c r="F254" s="2">
        <v>44119.300995370373</v>
      </c>
      <c r="G254" s="3">
        <v>3.1967592592991423E-2</v>
      </c>
      <c r="H254" s="3">
        <v>2778.8241127426477</v>
      </c>
      <c r="I254" s="3">
        <v>46.313735212377459</v>
      </c>
      <c r="J254" s="3">
        <v>0.77189558687295767</v>
      </c>
      <c r="K254" t="s">
        <v>73</v>
      </c>
    </row>
    <row r="255" spans="1:11" x14ac:dyDescent="0.35">
      <c r="A255">
        <v>254</v>
      </c>
      <c r="B255" t="s">
        <v>11</v>
      </c>
      <c r="C255" t="s">
        <v>11</v>
      </c>
      <c r="D255" t="s">
        <v>140</v>
      </c>
      <c r="E255" s="2">
        <v>44119.322546296295</v>
      </c>
      <c r="F255" s="2">
        <v>44119.329745370371</v>
      </c>
      <c r="G255" s="3">
        <v>7.1990740761975758E-3</v>
      </c>
      <c r="H255" s="3">
        <v>625.78877574735532</v>
      </c>
      <c r="I255" s="3">
        <v>10.429812929122589</v>
      </c>
      <c r="J255" s="3">
        <v>0.17383021548537647</v>
      </c>
    </row>
    <row r="256" spans="1:11" x14ac:dyDescent="0.35">
      <c r="A256">
        <v>255</v>
      </c>
      <c r="B256" t="s">
        <v>2</v>
      </c>
      <c r="C256" t="s">
        <v>96</v>
      </c>
      <c r="D256" t="s">
        <v>140</v>
      </c>
      <c r="E256" s="2">
        <v>44119.329918981479</v>
      </c>
      <c r="F256" s="2">
        <v>44119.338043981479</v>
      </c>
      <c r="G256" s="3">
        <v>8.1250000002910383E-3</v>
      </c>
      <c r="H256" s="3">
        <v>706.2760779112516</v>
      </c>
      <c r="I256" s="3">
        <v>11.771267965187526</v>
      </c>
      <c r="J256" s="3">
        <v>0.19618779941979211</v>
      </c>
    </row>
    <row r="257" spans="1:11" x14ac:dyDescent="0.35">
      <c r="A257">
        <v>256</v>
      </c>
      <c r="B257" t="s">
        <v>2</v>
      </c>
      <c r="C257" t="s">
        <v>96</v>
      </c>
      <c r="D257" t="s">
        <v>140</v>
      </c>
      <c r="E257" s="2">
        <v>44119.338310185187</v>
      </c>
      <c r="F257" s="2">
        <v>44119.34306712963</v>
      </c>
      <c r="G257" s="3">
        <v>4.756944443215616E-3</v>
      </c>
      <c r="H257" s="3">
        <v>413.50351557854799</v>
      </c>
      <c r="I257" s="3">
        <v>6.8917252596424667</v>
      </c>
      <c r="J257" s="3">
        <v>0.11486208766070778</v>
      </c>
    </row>
    <row r="258" spans="1:11" x14ac:dyDescent="0.35">
      <c r="A258">
        <v>257</v>
      </c>
      <c r="B258" t="s">
        <v>2</v>
      </c>
      <c r="C258" t="s">
        <v>96</v>
      </c>
      <c r="D258" t="s">
        <v>140</v>
      </c>
      <c r="E258" s="2">
        <v>44119.343240740738</v>
      </c>
      <c r="F258" s="2">
        <v>44119.348680555559</v>
      </c>
      <c r="G258" s="3">
        <v>5.439814820419997E-3</v>
      </c>
      <c r="H258" s="3">
        <v>472.86290163595243</v>
      </c>
      <c r="I258" s="3">
        <v>7.8810483605992072</v>
      </c>
      <c r="J258" s="3">
        <v>0.13135080600998678</v>
      </c>
    </row>
    <row r="259" spans="1:11" x14ac:dyDescent="0.35">
      <c r="A259">
        <v>258</v>
      </c>
      <c r="B259" t="s">
        <v>11</v>
      </c>
      <c r="C259" t="s">
        <v>11</v>
      </c>
      <c r="D259" t="s">
        <v>140</v>
      </c>
      <c r="E259" s="2">
        <v>44119.348773148151</v>
      </c>
      <c r="F259" s="2">
        <v>44119.35659722222</v>
      </c>
      <c r="G259" s="3">
        <v>7.8240740695036948E-3</v>
      </c>
      <c r="H259" s="3">
        <v>680.11770423363134</v>
      </c>
      <c r="I259" s="3">
        <v>11.335295070560523</v>
      </c>
      <c r="J259" s="3">
        <v>0.18892158450934204</v>
      </c>
    </row>
    <row r="260" spans="1:11" x14ac:dyDescent="0.35">
      <c r="A260">
        <v>259</v>
      </c>
      <c r="B260" t="s">
        <v>11</v>
      </c>
      <c r="C260" t="s">
        <v>11</v>
      </c>
      <c r="D260" t="s">
        <v>140</v>
      </c>
      <c r="E260" s="2">
        <v>44119.357118055559</v>
      </c>
      <c r="F260" s="2">
        <v>44119.374618055554</v>
      </c>
      <c r="G260" s="3">
        <v>1.7499999994470272E-2</v>
      </c>
      <c r="H260" s="3">
        <v>1521.210013427527</v>
      </c>
      <c r="I260" s="3">
        <v>25.353500223792118</v>
      </c>
      <c r="J260" s="3">
        <v>0.42255833706320195</v>
      </c>
    </row>
    <row r="261" spans="1:11" x14ac:dyDescent="0.35">
      <c r="A261">
        <v>260</v>
      </c>
      <c r="B261" t="s">
        <v>2</v>
      </c>
      <c r="C261" t="s">
        <v>132</v>
      </c>
      <c r="D261" t="s">
        <v>140</v>
      </c>
      <c r="E261" s="2">
        <v>44119.374791666669</v>
      </c>
      <c r="F261" s="2">
        <v>44119.380543981482</v>
      </c>
      <c r="G261" s="3">
        <v>5.7523148134350777E-3</v>
      </c>
      <c r="H261" s="3">
        <v>500.02736556285441</v>
      </c>
      <c r="I261" s="3">
        <v>8.3337894260475736</v>
      </c>
      <c r="J261" s="3">
        <v>0.13889649043412622</v>
      </c>
      <c r="K261" t="s">
        <v>42</v>
      </c>
    </row>
    <row r="262" spans="1:11" x14ac:dyDescent="0.35">
      <c r="A262">
        <v>261</v>
      </c>
      <c r="B262" t="s">
        <v>16</v>
      </c>
      <c r="C262" t="s">
        <v>16</v>
      </c>
      <c r="D262" t="s">
        <v>140</v>
      </c>
      <c r="E262" s="2">
        <v>44119.380706018521</v>
      </c>
      <c r="F262" s="2">
        <v>44119.389131944445</v>
      </c>
      <c r="G262" s="3">
        <v>8.4259259238024242E-3</v>
      </c>
      <c r="H262" s="3">
        <v>732.43445095639981</v>
      </c>
      <c r="I262" s="3">
        <v>12.20724084927333</v>
      </c>
      <c r="J262" s="3">
        <v>0.2034540141545555</v>
      </c>
    </row>
    <row r="263" spans="1:11" x14ac:dyDescent="0.35">
      <c r="A263">
        <v>262</v>
      </c>
      <c r="B263" t="s">
        <v>16</v>
      </c>
      <c r="C263" t="s">
        <v>16</v>
      </c>
      <c r="D263" t="s">
        <v>140</v>
      </c>
      <c r="E263" s="2">
        <v>44119.38925925926</v>
      </c>
      <c r="F263" s="2">
        <v>44119.396493055552</v>
      </c>
      <c r="G263" s="3">
        <v>7.2337962919846177E-3</v>
      </c>
      <c r="H263" s="3">
        <v>628.80704902508842</v>
      </c>
      <c r="I263" s="3">
        <v>10.480117483751474</v>
      </c>
      <c r="J263" s="3">
        <v>0.17466862472919123</v>
      </c>
    </row>
    <row r="264" spans="1:11" x14ac:dyDescent="0.35">
      <c r="A264">
        <v>263</v>
      </c>
      <c r="B264" t="s">
        <v>2</v>
      </c>
      <c r="C264" t="s">
        <v>96</v>
      </c>
      <c r="D264" t="s">
        <v>140</v>
      </c>
      <c r="E264" s="2">
        <v>44119.396724537037</v>
      </c>
      <c r="F264" s="2">
        <v>44119.405821759261</v>
      </c>
      <c r="G264" s="3">
        <v>9.0972222242271528E-3</v>
      </c>
      <c r="H264" s="3">
        <v>790.78774549957859</v>
      </c>
      <c r="I264" s="3">
        <v>13.179795758326311</v>
      </c>
      <c r="J264" s="3">
        <v>0.21966326263877184</v>
      </c>
    </row>
    <row r="265" spans="1:11" x14ac:dyDescent="0.35">
      <c r="A265">
        <v>264</v>
      </c>
      <c r="B265" t="s">
        <v>2</v>
      </c>
      <c r="C265" t="s">
        <v>96</v>
      </c>
      <c r="D265" t="s">
        <v>140</v>
      </c>
      <c r="E265" s="2">
        <v>44119.405960648146</v>
      </c>
      <c r="F265" s="2">
        <v>44119.410752314812</v>
      </c>
      <c r="G265" s="3">
        <v>4.7916666662786156E-3</v>
      </c>
      <c r="H265" s="3">
        <v>416.52178948875309</v>
      </c>
      <c r="I265" s="3">
        <v>6.9420298248125514</v>
      </c>
      <c r="J265" s="3">
        <v>0.11570049708020919</v>
      </c>
    </row>
    <row r="266" spans="1:11" x14ac:dyDescent="0.35">
      <c r="A266">
        <v>265</v>
      </c>
      <c r="B266" t="s">
        <v>16</v>
      </c>
      <c r="C266" t="s">
        <v>16</v>
      </c>
      <c r="D266" t="s">
        <v>140</v>
      </c>
      <c r="E266" s="2">
        <v>44119.410833333335</v>
      </c>
      <c r="F266" s="2">
        <v>44119.413240740738</v>
      </c>
      <c r="G266" s="3">
        <v>2.4074074026430026E-3</v>
      </c>
      <c r="H266" s="3">
        <v>209.26698562613026</v>
      </c>
      <c r="I266" s="3">
        <v>3.4877830937688379</v>
      </c>
      <c r="J266" s="3">
        <v>5.8129718229480633E-2</v>
      </c>
    </row>
    <row r="267" spans="1:11" x14ac:dyDescent="0.35">
      <c r="A267">
        <v>266</v>
      </c>
      <c r="B267" t="s">
        <v>2</v>
      </c>
      <c r="C267" t="s">
        <v>96</v>
      </c>
      <c r="D267" t="s">
        <v>140</v>
      </c>
      <c r="E267" s="2">
        <v>44119.413356481484</v>
      </c>
      <c r="F267" s="2">
        <v>44119.458391203705</v>
      </c>
      <c r="G267" s="3">
        <v>4.503472222131677E-2</v>
      </c>
      <c r="H267" s="3">
        <v>3914.7011666652265</v>
      </c>
      <c r="I267" s="3">
        <v>65.245019444420436</v>
      </c>
      <c r="J267" s="3">
        <v>1.0874169907403406</v>
      </c>
    </row>
    <row r="268" spans="1:11" x14ac:dyDescent="0.35">
      <c r="A268">
        <v>267</v>
      </c>
      <c r="B268" t="s">
        <v>11</v>
      </c>
      <c r="C268" t="s">
        <v>11</v>
      </c>
      <c r="D268" t="s">
        <v>140</v>
      </c>
      <c r="E268" s="2">
        <v>44119.45857638889</v>
      </c>
      <c r="F268" s="2">
        <v>44119.460115740738</v>
      </c>
      <c r="G268" s="3">
        <v>1.5393518478958867E-3</v>
      </c>
      <c r="H268" s="3">
        <v>133.81013976841851</v>
      </c>
      <c r="I268" s="3">
        <v>2.2301689961403084</v>
      </c>
      <c r="J268" s="3">
        <v>3.7169483269005141E-2</v>
      </c>
    </row>
    <row r="269" spans="1:11" x14ac:dyDescent="0.35">
      <c r="A269">
        <v>268</v>
      </c>
      <c r="B269" t="s">
        <v>2</v>
      </c>
      <c r="C269" t="s">
        <v>96</v>
      </c>
      <c r="D269" t="s">
        <v>140</v>
      </c>
      <c r="E269" s="2">
        <v>44119.46020833333</v>
      </c>
      <c r="F269" s="2">
        <v>44119.472256944442</v>
      </c>
      <c r="G269" s="3">
        <v>1.2048611111822538E-2</v>
      </c>
      <c r="H269" s="3">
        <v>1047.341021542293</v>
      </c>
      <c r="I269" s="3">
        <v>17.455683692371551</v>
      </c>
      <c r="J269" s="3">
        <v>0.29092806153952583</v>
      </c>
      <c r="K269" t="s">
        <v>68</v>
      </c>
    </row>
    <row r="270" spans="1:11" x14ac:dyDescent="0.35">
      <c r="A270">
        <v>269</v>
      </c>
      <c r="B270" t="s">
        <v>2</v>
      </c>
      <c r="C270" t="s">
        <v>96</v>
      </c>
      <c r="D270" t="s">
        <v>140</v>
      </c>
      <c r="E270" s="2">
        <v>44119.472384259258</v>
      </c>
      <c r="F270" s="2">
        <v>44119.477314814816</v>
      </c>
      <c r="G270" s="3">
        <v>4.9305555585306138E-3</v>
      </c>
      <c r="H270" s="3">
        <v>428.59488512957347</v>
      </c>
      <c r="I270" s="3">
        <v>7.1432480854928908</v>
      </c>
      <c r="J270" s="3">
        <v>0.11905413475821484</v>
      </c>
      <c r="K270" t="s">
        <v>68</v>
      </c>
    </row>
    <row r="271" spans="1:11" x14ac:dyDescent="0.35">
      <c r="A271">
        <v>270</v>
      </c>
      <c r="B271" t="s">
        <v>2</v>
      </c>
      <c r="C271" t="s">
        <v>96</v>
      </c>
      <c r="D271" t="s">
        <v>140</v>
      </c>
      <c r="E271" s="2">
        <v>44119.477430555555</v>
      </c>
      <c r="F271" s="2">
        <v>44119.618888888886</v>
      </c>
      <c r="G271" s="3">
        <v>0.14145833333168412</v>
      </c>
      <c r="H271" s="3">
        <v>12296.447612281303</v>
      </c>
      <c r="I271" s="3">
        <v>204.94079353802172</v>
      </c>
      <c r="J271" s="3">
        <v>3.415679892300362</v>
      </c>
      <c r="K271" t="s">
        <v>68</v>
      </c>
    </row>
    <row r="272" spans="1:11" x14ac:dyDescent="0.35">
      <c r="A272">
        <v>271</v>
      </c>
      <c r="B272" t="s">
        <v>16</v>
      </c>
      <c r="C272" t="s">
        <v>16</v>
      </c>
      <c r="D272" t="s">
        <v>140</v>
      </c>
      <c r="E272" s="2">
        <v>44119.618969907409</v>
      </c>
      <c r="F272" s="2">
        <v>44119.632615740738</v>
      </c>
      <c r="G272" s="3">
        <v>1.3645833329064772E-2</v>
      </c>
      <c r="H272" s="3">
        <v>1186.1816176168959</v>
      </c>
      <c r="I272" s="3">
        <v>19.769693626948264</v>
      </c>
      <c r="J272" s="3">
        <v>0.32949489378247104</v>
      </c>
    </row>
    <row r="273" spans="1:11" x14ac:dyDescent="0.35">
      <c r="A273">
        <v>272</v>
      </c>
      <c r="B273" t="s">
        <v>2</v>
      </c>
      <c r="C273" t="s">
        <v>96</v>
      </c>
      <c r="D273" t="s">
        <v>140</v>
      </c>
      <c r="E273" s="2">
        <v>44119.632708333331</v>
      </c>
      <c r="F273" s="2">
        <v>44119.664375</v>
      </c>
      <c r="G273" s="3">
        <v>3.1666666669480037E-2</v>
      </c>
      <c r="H273" s="3">
        <v>2752.6657396974997</v>
      </c>
      <c r="I273" s="3">
        <v>45.877762328291659</v>
      </c>
      <c r="J273" s="3">
        <v>0.76462937213819437</v>
      </c>
      <c r="K273" t="s">
        <v>68</v>
      </c>
    </row>
    <row r="274" spans="1:11" x14ac:dyDescent="0.35">
      <c r="A274">
        <v>273</v>
      </c>
      <c r="B274" t="s">
        <v>16</v>
      </c>
      <c r="C274" t="s">
        <v>16</v>
      </c>
      <c r="D274" t="s">
        <v>140</v>
      </c>
      <c r="E274" s="2">
        <v>44119.664525462962</v>
      </c>
      <c r="F274" s="2">
        <v>44119.679224537038</v>
      </c>
      <c r="G274" s="3">
        <v>1.4699074075906537E-2</v>
      </c>
      <c r="H274" s="3">
        <v>1277.7359245398588</v>
      </c>
      <c r="I274" s="3">
        <v>21.295598742330981</v>
      </c>
      <c r="J274" s="3">
        <v>0.35492664570551635</v>
      </c>
    </row>
    <row r="275" spans="1:11" x14ac:dyDescent="0.35">
      <c r="A275">
        <v>274</v>
      </c>
      <c r="B275" t="s">
        <v>2</v>
      </c>
      <c r="C275" t="s">
        <v>132</v>
      </c>
      <c r="D275" t="s">
        <v>140</v>
      </c>
      <c r="E275" s="2">
        <v>44119.679363425923</v>
      </c>
      <c r="F275" s="2">
        <v>44119.684374999997</v>
      </c>
      <c r="G275" s="3">
        <v>5.0115740741603076E-3</v>
      </c>
      <c r="H275" s="3">
        <v>435.63752383173744</v>
      </c>
      <c r="I275" s="3">
        <v>7.2606253971956241</v>
      </c>
      <c r="J275" s="3">
        <v>0.12101042328659374</v>
      </c>
      <c r="K275" t="s">
        <v>41</v>
      </c>
    </row>
    <row r="276" spans="1:11" x14ac:dyDescent="0.35">
      <c r="A276">
        <v>275</v>
      </c>
      <c r="B276" t="s">
        <v>11</v>
      </c>
      <c r="C276" t="s">
        <v>11</v>
      </c>
      <c r="D276" t="s">
        <v>140</v>
      </c>
      <c r="E276" s="2">
        <v>44119.684942129628</v>
      </c>
      <c r="F276" s="2">
        <v>44119.687314814815</v>
      </c>
      <c r="G276" s="3">
        <v>2.3726851868559606E-3</v>
      </c>
      <c r="H276" s="3">
        <v>206.24871234839713</v>
      </c>
      <c r="I276" s="3">
        <v>3.4374785391399523</v>
      </c>
      <c r="J276" s="3">
        <v>5.7291308985665874E-2</v>
      </c>
    </row>
    <row r="277" spans="1:11" x14ac:dyDescent="0.35">
      <c r="A277">
        <v>276</v>
      </c>
      <c r="B277" t="s">
        <v>11</v>
      </c>
      <c r="C277" t="s">
        <v>11</v>
      </c>
      <c r="D277" t="s">
        <v>140</v>
      </c>
      <c r="E277" s="2">
        <v>44119.687384259261</v>
      </c>
      <c r="F277" s="2">
        <v>44119.690115740741</v>
      </c>
      <c r="G277" s="3">
        <v>2.7314814797136933E-3</v>
      </c>
      <c r="H277" s="3">
        <v>237.43754169972993</v>
      </c>
      <c r="I277" s="3">
        <v>3.9572923616621654</v>
      </c>
      <c r="J277" s="3">
        <v>6.5954872694369421E-2</v>
      </c>
    </row>
    <row r="278" spans="1:11" x14ac:dyDescent="0.35">
      <c r="A278">
        <v>277</v>
      </c>
      <c r="B278" t="s">
        <v>2</v>
      </c>
      <c r="C278" t="s">
        <v>96</v>
      </c>
      <c r="D278" t="s">
        <v>140</v>
      </c>
      <c r="E278" s="2">
        <v>44119.690300925926</v>
      </c>
      <c r="F278" s="2">
        <v>44119.699155092596</v>
      </c>
      <c r="G278" s="3">
        <v>8.8541666700621136E-3</v>
      </c>
      <c r="H278" s="3">
        <v>769.6598287606148</v>
      </c>
      <c r="I278" s="3">
        <v>12.827663812676914</v>
      </c>
      <c r="J278" s="3">
        <v>0.21379439687794857</v>
      </c>
    </row>
    <row r="279" spans="1:11" x14ac:dyDescent="0.35">
      <c r="A279">
        <v>278</v>
      </c>
      <c r="B279" t="s">
        <v>11</v>
      </c>
      <c r="C279" t="s">
        <v>11</v>
      </c>
      <c r="D279" t="s">
        <v>140</v>
      </c>
      <c r="E279" s="2">
        <v>44119.699664351851</v>
      </c>
      <c r="F279" s="2">
        <v>44119.703969907408</v>
      </c>
      <c r="G279" s="3">
        <v>4.3055555579485372E-3</v>
      </c>
      <c r="H279" s="3">
        <v>374.26595601082556</v>
      </c>
      <c r="I279" s="3">
        <v>6.2377659335137592</v>
      </c>
      <c r="J279" s="3">
        <v>0.10396276555856265</v>
      </c>
    </row>
    <row r="280" spans="1:11" x14ac:dyDescent="0.35">
      <c r="A280">
        <v>279</v>
      </c>
      <c r="B280" t="s">
        <v>16</v>
      </c>
      <c r="C280" t="s">
        <v>16</v>
      </c>
      <c r="D280" t="s">
        <v>140</v>
      </c>
      <c r="E280" s="2">
        <v>44119.704224537039</v>
      </c>
      <c r="F280" s="2">
        <v>44119.716458333336</v>
      </c>
      <c r="G280" s="3">
        <v>1.2233796296641231E-2</v>
      </c>
      <c r="H280" s="3">
        <v>1063.4384819750721</v>
      </c>
      <c r="I280" s="3">
        <v>17.723974699584534</v>
      </c>
      <c r="J280" s="3">
        <v>0.2953995783264089</v>
      </c>
    </row>
    <row r="281" spans="1:11" x14ac:dyDescent="0.35">
      <c r="A281">
        <v>280</v>
      </c>
      <c r="B281" t="s">
        <v>11</v>
      </c>
      <c r="C281" t="s">
        <v>11</v>
      </c>
      <c r="D281" t="s">
        <v>140</v>
      </c>
      <c r="E281" s="2">
        <v>44119.716793981483</v>
      </c>
      <c r="F281" s="2">
        <v>44119.722754629627</v>
      </c>
      <c r="G281" s="3">
        <v>5.9606481445371173E-3</v>
      </c>
      <c r="H281" s="3">
        <v>518.13700839161311</v>
      </c>
      <c r="I281" s="3">
        <v>8.635616806526885</v>
      </c>
      <c r="J281" s="3">
        <v>0.14392694677544809</v>
      </c>
    </row>
    <row r="282" spans="1:11" x14ac:dyDescent="0.35">
      <c r="A282">
        <v>281</v>
      </c>
      <c r="B282" t="s">
        <v>11</v>
      </c>
      <c r="C282" t="s">
        <v>11</v>
      </c>
      <c r="D282" t="s">
        <v>140</v>
      </c>
      <c r="E282" s="2">
        <v>44119.723495370374</v>
      </c>
      <c r="F282" s="2">
        <v>44119.725902777776</v>
      </c>
      <c r="G282" s="3">
        <v>2.4074074026430026E-3</v>
      </c>
      <c r="H282" s="3">
        <v>209.26698562613026</v>
      </c>
      <c r="I282" s="3">
        <v>3.4877830937688379</v>
      </c>
      <c r="J282" s="3">
        <v>5.8129718229480633E-2</v>
      </c>
    </row>
    <row r="283" spans="1:11" x14ac:dyDescent="0.35">
      <c r="A283">
        <v>282</v>
      </c>
      <c r="B283" t="s">
        <v>11</v>
      </c>
      <c r="C283" t="s">
        <v>11</v>
      </c>
      <c r="D283" t="s">
        <v>140</v>
      </c>
      <c r="E283" s="2">
        <v>44120.260347222225</v>
      </c>
      <c r="F283" s="2">
        <v>44120.262418981481</v>
      </c>
      <c r="G283" s="3">
        <v>2.0717592560686171E-3</v>
      </c>
      <c r="H283" s="3">
        <v>180.09033867077687</v>
      </c>
      <c r="I283" s="3">
        <v>3.0015056445129478</v>
      </c>
      <c r="J283" s="3">
        <v>5.0025094075215798E-2</v>
      </c>
    </row>
    <row r="284" spans="1:11" x14ac:dyDescent="0.35">
      <c r="A284">
        <v>283</v>
      </c>
      <c r="B284" t="s">
        <v>2</v>
      </c>
      <c r="C284" t="s">
        <v>72</v>
      </c>
      <c r="D284" t="s">
        <v>140</v>
      </c>
      <c r="E284" s="2">
        <v>44120.262627314813</v>
      </c>
      <c r="F284" s="2">
        <v>44120.293969907405</v>
      </c>
      <c r="G284" s="3">
        <v>3.1342592592409346E-2</v>
      </c>
      <c r="H284" s="3">
        <v>2724.4951836238997</v>
      </c>
      <c r="I284" s="3">
        <v>45.40825306039833</v>
      </c>
      <c r="J284" s="3">
        <v>0.75680421767330552</v>
      </c>
      <c r="K284" t="s">
        <v>73</v>
      </c>
    </row>
    <row r="285" spans="1:11" x14ac:dyDescent="0.35">
      <c r="A285">
        <v>284</v>
      </c>
      <c r="B285" t="s">
        <v>2</v>
      </c>
      <c r="C285" t="s">
        <v>132</v>
      </c>
      <c r="D285" t="s">
        <v>140</v>
      </c>
      <c r="E285" s="2">
        <v>44120.331122685187</v>
      </c>
      <c r="F285" s="2">
        <v>44120.351736111108</v>
      </c>
      <c r="G285" s="3">
        <v>2.0613425920601003E-2</v>
      </c>
      <c r="H285" s="3">
        <v>1791.8485675070413</v>
      </c>
      <c r="I285" s="3">
        <v>29.864142791784023</v>
      </c>
      <c r="J285" s="3">
        <v>0.49773571319640036</v>
      </c>
      <c r="K285" t="s">
        <v>41</v>
      </c>
    </row>
    <row r="286" spans="1:11" x14ac:dyDescent="0.35">
      <c r="A286">
        <v>285</v>
      </c>
      <c r="B286" t="s">
        <v>11</v>
      </c>
      <c r="C286" t="s">
        <v>11</v>
      </c>
      <c r="D286" t="s">
        <v>140</v>
      </c>
      <c r="E286" s="2">
        <v>44120.351863425924</v>
      </c>
      <c r="F286" s="2">
        <v>44120.356377314813</v>
      </c>
      <c r="G286" s="3">
        <v>4.5138888890505768E-3</v>
      </c>
      <c r="H286" s="3">
        <v>392.3755988395842</v>
      </c>
      <c r="I286" s="3">
        <v>6.5395933139930698</v>
      </c>
      <c r="J286" s="3">
        <v>0.1089932218998845</v>
      </c>
    </row>
    <row r="287" spans="1:11" x14ac:dyDescent="0.35">
      <c r="A287">
        <v>286</v>
      </c>
      <c r="B287" t="s">
        <v>2</v>
      </c>
      <c r="C287" t="s">
        <v>96</v>
      </c>
      <c r="D287" t="s">
        <v>140</v>
      </c>
      <c r="E287" s="2">
        <v>44120.356504629628</v>
      </c>
      <c r="F287" s="2">
        <v>44120.364618055559</v>
      </c>
      <c r="G287" s="3">
        <v>8.1134259307873435E-3</v>
      </c>
      <c r="H287" s="3">
        <v>705.26998702949788</v>
      </c>
      <c r="I287" s="3">
        <v>11.754499783824965</v>
      </c>
      <c r="J287" s="3">
        <v>0.19590832973041608</v>
      </c>
    </row>
    <row r="288" spans="1:11" x14ac:dyDescent="0.35">
      <c r="A288">
        <v>287</v>
      </c>
      <c r="B288" t="s">
        <v>2</v>
      </c>
      <c r="C288" t="s">
        <v>96</v>
      </c>
      <c r="D288" t="s">
        <v>140</v>
      </c>
      <c r="E288" s="2">
        <v>44120.364745370367</v>
      </c>
      <c r="F288" s="2">
        <v>44120.366493055553</v>
      </c>
      <c r="G288" s="3">
        <v>1.747685186273884E-3</v>
      </c>
      <c r="H288" s="3">
        <v>151.91978322964917</v>
      </c>
      <c r="I288" s="3">
        <v>2.5319963871608193</v>
      </c>
      <c r="J288" s="3">
        <v>4.2199939786013656E-2</v>
      </c>
    </row>
    <row r="289" spans="1:11" x14ac:dyDescent="0.35">
      <c r="A289">
        <v>288</v>
      </c>
      <c r="B289" t="s">
        <v>2</v>
      </c>
      <c r="C289" t="s">
        <v>96</v>
      </c>
      <c r="D289" t="s">
        <v>140</v>
      </c>
      <c r="E289" s="2">
        <v>44120.366631944446</v>
      </c>
      <c r="F289" s="2">
        <v>44120.373055555552</v>
      </c>
      <c r="G289" s="3">
        <v>6.4236111065838486E-3</v>
      </c>
      <c r="H289" s="3">
        <v>558.3806594735612</v>
      </c>
      <c r="I289" s="3">
        <v>9.3063443245593529</v>
      </c>
      <c r="J289" s="3">
        <v>0.15510573874265587</v>
      </c>
    </row>
    <row r="290" spans="1:11" x14ac:dyDescent="0.35">
      <c r="A290">
        <v>289</v>
      </c>
      <c r="B290" t="s">
        <v>11</v>
      </c>
      <c r="C290" t="s">
        <v>11</v>
      </c>
      <c r="D290" t="s">
        <v>140</v>
      </c>
      <c r="E290" s="2">
        <v>44120.373298611114</v>
      </c>
      <c r="F290" s="2">
        <v>44120.374861111108</v>
      </c>
      <c r="G290" s="3">
        <v>1.5624999941792339E-3</v>
      </c>
      <c r="H290" s="3">
        <v>135.82232216439795</v>
      </c>
      <c r="I290" s="3">
        <v>2.2637053694066323</v>
      </c>
      <c r="J290" s="3">
        <v>3.7728422823443873E-2</v>
      </c>
    </row>
    <row r="291" spans="1:11" x14ac:dyDescent="0.35">
      <c r="A291">
        <v>290</v>
      </c>
      <c r="B291" t="s">
        <v>2</v>
      </c>
      <c r="C291" t="s">
        <v>96</v>
      </c>
      <c r="D291" t="s">
        <v>140</v>
      </c>
      <c r="E291" s="2">
        <v>44120.375011574077</v>
      </c>
      <c r="F291" s="2">
        <v>44120.375613425924</v>
      </c>
      <c r="G291" s="3">
        <v>6.0185184702277184E-4</v>
      </c>
      <c r="H291" s="3">
        <v>52.316746090296576</v>
      </c>
      <c r="I291" s="3">
        <v>0.87194576817160963</v>
      </c>
      <c r="J291" s="3">
        <v>1.4532429469526827E-2</v>
      </c>
    </row>
    <row r="292" spans="1:11" x14ac:dyDescent="0.35">
      <c r="A292">
        <v>291</v>
      </c>
      <c r="B292" t="s">
        <v>16</v>
      </c>
      <c r="C292" t="s">
        <v>16</v>
      </c>
      <c r="D292" t="s">
        <v>140</v>
      </c>
      <c r="E292" s="2">
        <v>44120.375925925924</v>
      </c>
      <c r="F292" s="2">
        <v>44120.382708333331</v>
      </c>
      <c r="G292" s="3">
        <v>6.7824074067175388E-3</v>
      </c>
      <c r="H292" s="3">
        <v>589.56948945736599</v>
      </c>
      <c r="I292" s="3">
        <v>9.8261581576227659</v>
      </c>
      <c r="J292" s="3">
        <v>0.16376930262704609</v>
      </c>
    </row>
    <row r="293" spans="1:11" x14ac:dyDescent="0.35">
      <c r="A293">
        <v>292</v>
      </c>
      <c r="B293" t="s">
        <v>11</v>
      </c>
      <c r="C293" t="s">
        <v>11</v>
      </c>
      <c r="D293" t="s">
        <v>140</v>
      </c>
      <c r="E293" s="2">
        <v>44120.382847222223</v>
      </c>
      <c r="F293" s="2">
        <v>44120.390775462962</v>
      </c>
      <c r="G293" s="3">
        <v>7.9282407386926934E-3</v>
      </c>
      <c r="H293" s="3">
        <v>689.17252596424657</v>
      </c>
      <c r="I293" s="3">
        <v>11.486208766070776</v>
      </c>
      <c r="J293" s="3">
        <v>0.19143681276784627</v>
      </c>
    </row>
    <row r="294" spans="1:11" x14ac:dyDescent="0.35">
      <c r="A294">
        <v>293</v>
      </c>
      <c r="B294" t="s">
        <v>16</v>
      </c>
      <c r="C294" t="s">
        <v>16</v>
      </c>
      <c r="D294" t="s">
        <v>140</v>
      </c>
      <c r="E294" s="2">
        <v>44120.390833333331</v>
      </c>
      <c r="F294" s="2">
        <v>44120.393958333334</v>
      </c>
      <c r="G294" s="3">
        <v>3.125000002910383E-3</v>
      </c>
      <c r="H294" s="3">
        <v>271.64464559373982</v>
      </c>
      <c r="I294" s="3">
        <v>4.5274107598956634</v>
      </c>
      <c r="J294" s="3">
        <v>7.5456845998261052E-2</v>
      </c>
    </row>
    <row r="295" spans="1:11" x14ac:dyDescent="0.35">
      <c r="A295">
        <v>294</v>
      </c>
      <c r="B295" t="s">
        <v>2</v>
      </c>
      <c r="C295" t="s">
        <v>96</v>
      </c>
      <c r="D295" t="s">
        <v>140</v>
      </c>
      <c r="E295" s="2">
        <v>44120.394085648149</v>
      </c>
      <c r="F295" s="2">
        <v>44120.405358796299</v>
      </c>
      <c r="G295" s="3">
        <v>1.1273148149484769E-2</v>
      </c>
      <c r="H295" s="3">
        <v>979.93290590097081</v>
      </c>
      <c r="I295" s="3">
        <v>16.332215098349515</v>
      </c>
      <c r="J295" s="3">
        <v>0.27220358497249192</v>
      </c>
      <c r="K295" t="s">
        <v>68</v>
      </c>
    </row>
    <row r="296" spans="1:11" x14ac:dyDescent="0.35">
      <c r="A296">
        <v>295</v>
      </c>
      <c r="B296" t="s">
        <v>16</v>
      </c>
      <c r="C296" t="s">
        <v>16</v>
      </c>
      <c r="D296" t="s">
        <v>140</v>
      </c>
      <c r="E296" s="2">
        <v>44120.405451388891</v>
      </c>
      <c r="F296" s="2">
        <v>44120.407523148147</v>
      </c>
      <c r="G296" s="3">
        <v>2.0717592560686171E-3</v>
      </c>
      <c r="H296" s="3">
        <v>180.09033867077687</v>
      </c>
      <c r="I296" s="3">
        <v>3.0015056445129478</v>
      </c>
      <c r="J296" s="3">
        <v>5.0025094075215798E-2</v>
      </c>
    </row>
    <row r="297" spans="1:11" x14ac:dyDescent="0.35">
      <c r="A297">
        <v>296</v>
      </c>
      <c r="B297" t="s">
        <v>2</v>
      </c>
      <c r="C297" t="s">
        <v>72</v>
      </c>
      <c r="D297" t="s">
        <v>140</v>
      </c>
      <c r="E297" s="2">
        <v>44120.407719907409</v>
      </c>
      <c r="F297" s="2">
        <v>44120.449502314812</v>
      </c>
      <c r="G297" s="3">
        <v>4.1782407402934041E-2</v>
      </c>
      <c r="H297" s="3">
        <v>3631.9895169448919</v>
      </c>
      <c r="I297" s="3">
        <v>60.533158615748199</v>
      </c>
      <c r="J297" s="3">
        <v>1.0088859769291367</v>
      </c>
      <c r="K297" t="s">
        <v>73</v>
      </c>
    </row>
    <row r="298" spans="1:11" x14ac:dyDescent="0.35">
      <c r="A298">
        <v>297</v>
      </c>
      <c r="B298" t="s">
        <v>16</v>
      </c>
      <c r="C298" t="s">
        <v>16</v>
      </c>
      <c r="D298" t="s">
        <v>140</v>
      </c>
      <c r="E298" s="2">
        <v>44120.449826388889</v>
      </c>
      <c r="F298" s="2">
        <v>44120.454872685186</v>
      </c>
      <c r="G298" s="3">
        <v>5.0462962972233072E-3</v>
      </c>
      <c r="H298" s="3">
        <v>438.65579774194254</v>
      </c>
      <c r="I298" s="3">
        <v>7.3109299623657087</v>
      </c>
      <c r="J298" s="3">
        <v>0.12184883270609514</v>
      </c>
    </row>
    <row r="299" spans="1:11" x14ac:dyDescent="0.35">
      <c r="A299">
        <v>298</v>
      </c>
      <c r="B299" t="s">
        <v>2</v>
      </c>
      <c r="C299" t="s">
        <v>132</v>
      </c>
      <c r="D299" t="s">
        <v>140</v>
      </c>
      <c r="E299" s="2">
        <v>44120.454976851855</v>
      </c>
      <c r="F299" s="2">
        <v>44120.465451388889</v>
      </c>
      <c r="G299" s="3">
        <v>1.0474537033587694E-2</v>
      </c>
      <c r="H299" s="3">
        <v>910.51260723119731</v>
      </c>
      <c r="I299" s="3">
        <v>15.175210120519955</v>
      </c>
      <c r="J299" s="3">
        <v>0.25292016867533257</v>
      </c>
      <c r="K299" t="s">
        <v>41</v>
      </c>
    </row>
    <row r="300" spans="1:11" x14ac:dyDescent="0.35">
      <c r="A300">
        <v>299</v>
      </c>
      <c r="B300" t="s">
        <v>16</v>
      </c>
      <c r="C300" t="s">
        <v>16</v>
      </c>
      <c r="D300" t="s">
        <v>140</v>
      </c>
      <c r="E300" s="2">
        <v>44120.465694444443</v>
      </c>
      <c r="F300" s="2">
        <v>44120.473379629628</v>
      </c>
      <c r="G300" s="3">
        <v>7.6851851845276542E-3</v>
      </c>
      <c r="H300" s="3">
        <v>668.04460922528278</v>
      </c>
      <c r="I300" s="3">
        <v>11.134076820421379</v>
      </c>
      <c r="J300" s="3">
        <v>0.18556794700702298</v>
      </c>
    </row>
    <row r="301" spans="1:11" x14ac:dyDescent="0.35">
      <c r="A301">
        <v>300</v>
      </c>
      <c r="B301" t="s">
        <v>16</v>
      </c>
      <c r="C301" t="s">
        <v>16</v>
      </c>
      <c r="D301" t="s">
        <v>140</v>
      </c>
      <c r="E301" s="2">
        <v>44120.473530092589</v>
      </c>
      <c r="F301" s="2">
        <v>44120.504340277781</v>
      </c>
      <c r="G301" s="3">
        <v>3.0810185191512574E-2</v>
      </c>
      <c r="H301" s="3">
        <v>2678.2149853540136</v>
      </c>
      <c r="I301" s="3">
        <v>44.636916422566891</v>
      </c>
      <c r="J301" s="3">
        <v>0.74394860704278154</v>
      </c>
    </row>
    <row r="302" spans="1:11" x14ac:dyDescent="0.35">
      <c r="A302">
        <v>301</v>
      </c>
      <c r="B302" t="s">
        <v>2</v>
      </c>
      <c r="C302" t="s">
        <v>132</v>
      </c>
      <c r="D302" t="s">
        <v>140</v>
      </c>
      <c r="E302" s="2">
        <v>44120.504560185182</v>
      </c>
      <c r="F302" s="2">
        <v>44120.520243055558</v>
      </c>
      <c r="G302" s="3">
        <v>1.5682870376622304E-2</v>
      </c>
      <c r="H302" s="3">
        <v>1363.2536836424117</v>
      </c>
      <c r="I302" s="3">
        <v>22.72089472737353</v>
      </c>
      <c r="J302" s="3">
        <v>0.37868157878955883</v>
      </c>
      <c r="K302" t="s">
        <v>40</v>
      </c>
    </row>
    <row r="303" spans="1:11" x14ac:dyDescent="0.35">
      <c r="A303">
        <v>302</v>
      </c>
      <c r="B303" t="s">
        <v>16</v>
      </c>
      <c r="C303" t="s">
        <v>16</v>
      </c>
      <c r="D303" t="s">
        <v>140</v>
      </c>
      <c r="E303" s="2">
        <v>44120.520405092589</v>
      </c>
      <c r="F303" s="2">
        <v>44120.532523148147</v>
      </c>
      <c r="G303" s="3">
        <v>1.2118055557948537E-2</v>
      </c>
      <c r="H303" s="3">
        <v>1053.3775693627031</v>
      </c>
      <c r="I303" s="3">
        <v>17.556292822711718</v>
      </c>
      <c r="J303" s="3">
        <v>0.29260488037852866</v>
      </c>
    </row>
    <row r="304" spans="1:11" x14ac:dyDescent="0.35">
      <c r="A304">
        <v>303</v>
      </c>
      <c r="B304" t="s">
        <v>2</v>
      </c>
      <c r="C304" t="s">
        <v>132</v>
      </c>
      <c r="D304" t="s">
        <v>140</v>
      </c>
      <c r="E304" s="2">
        <v>44120.532650462963</v>
      </c>
      <c r="F304" s="2">
        <v>44120.544085648151</v>
      </c>
      <c r="G304" s="3">
        <v>1.1435185188020114E-2</v>
      </c>
      <c r="H304" s="3">
        <v>994.01818393777057</v>
      </c>
      <c r="I304" s="3">
        <v>16.566969732296176</v>
      </c>
      <c r="J304" s="3">
        <v>0.27611616220493629</v>
      </c>
      <c r="K304" t="s">
        <v>40</v>
      </c>
    </row>
    <row r="305" spans="1:11" x14ac:dyDescent="0.35">
      <c r="A305">
        <v>304</v>
      </c>
      <c r="B305" t="s">
        <v>11</v>
      </c>
      <c r="C305" t="s">
        <v>11</v>
      </c>
      <c r="D305" t="s">
        <v>140</v>
      </c>
      <c r="E305" s="2">
        <v>44120.544293981482</v>
      </c>
      <c r="F305" s="2">
        <v>44120.555393518516</v>
      </c>
      <c r="G305" s="3">
        <v>1.1099537034169771E-2</v>
      </c>
      <c r="H305" s="3">
        <v>964.84153634994527</v>
      </c>
      <c r="I305" s="3">
        <v>16.080692272499089</v>
      </c>
      <c r="J305" s="3">
        <v>0.26801153787498483</v>
      </c>
    </row>
    <row r="306" spans="1:11" x14ac:dyDescent="0.35">
      <c r="A306">
        <v>305</v>
      </c>
      <c r="B306" t="s">
        <v>2</v>
      </c>
      <c r="C306" t="s">
        <v>132</v>
      </c>
      <c r="D306" t="s">
        <v>140</v>
      </c>
      <c r="E306" s="2">
        <v>44120.555486111109</v>
      </c>
      <c r="F306" s="2">
        <v>44120.558634259258</v>
      </c>
      <c r="G306" s="3">
        <v>3.1481481491937302E-3</v>
      </c>
      <c r="H306" s="3">
        <v>273.6568279897192</v>
      </c>
      <c r="I306" s="3">
        <v>4.5609471331619869</v>
      </c>
      <c r="J306" s="3">
        <v>7.6015785552699777E-2</v>
      </c>
      <c r="K306" t="s">
        <v>41</v>
      </c>
    </row>
    <row r="307" spans="1:11" x14ac:dyDescent="0.35">
      <c r="A307">
        <v>306</v>
      </c>
      <c r="B307" t="s">
        <v>2</v>
      </c>
      <c r="C307" t="s">
        <v>132</v>
      </c>
      <c r="D307" t="s">
        <v>140</v>
      </c>
      <c r="E307" s="2">
        <v>44120.558738425927</v>
      </c>
      <c r="F307" s="2">
        <v>44120.56827546296</v>
      </c>
      <c r="G307" s="3">
        <v>9.5370370327145793E-3</v>
      </c>
      <c r="H307" s="3">
        <v>829.01921355307536</v>
      </c>
      <c r="I307" s="3">
        <v>13.816986892551256</v>
      </c>
      <c r="J307" s="3">
        <v>0.23028311487585426</v>
      </c>
      <c r="K307" t="s">
        <v>41</v>
      </c>
    </row>
    <row r="308" spans="1:11" x14ac:dyDescent="0.35">
      <c r="A308">
        <v>307</v>
      </c>
      <c r="B308" t="s">
        <v>2</v>
      </c>
      <c r="C308" t="s">
        <v>132</v>
      </c>
      <c r="D308" t="s">
        <v>140</v>
      </c>
      <c r="E308" s="2">
        <v>44120.568518518521</v>
      </c>
      <c r="F308" s="2">
        <v>44120.577881944446</v>
      </c>
      <c r="G308" s="3">
        <v>9.3634259246755391E-3</v>
      </c>
      <c r="H308" s="3">
        <v>813.92784463452176</v>
      </c>
      <c r="I308" s="3">
        <v>13.56546407724203</v>
      </c>
      <c r="J308" s="3">
        <v>0.22609106795403383</v>
      </c>
      <c r="K308" t="s">
        <v>40</v>
      </c>
    </row>
    <row r="309" spans="1:11" x14ac:dyDescent="0.35">
      <c r="A309">
        <v>308</v>
      </c>
      <c r="B309" t="s">
        <v>2</v>
      </c>
      <c r="C309" t="s">
        <v>96</v>
      </c>
      <c r="D309" t="s">
        <v>140</v>
      </c>
      <c r="E309" s="2">
        <v>44120.578043981484</v>
      </c>
      <c r="F309" s="2">
        <v>44120.583680555559</v>
      </c>
      <c r="G309" s="3">
        <v>5.6365740747423843E-3</v>
      </c>
      <c r="H309" s="3">
        <v>489.9664529504854</v>
      </c>
      <c r="I309" s="3">
        <v>8.1661075491747575</v>
      </c>
      <c r="J309" s="3">
        <v>0.13610179248624596</v>
      </c>
    </row>
    <row r="310" spans="1:11" x14ac:dyDescent="0.35">
      <c r="A310">
        <v>309</v>
      </c>
      <c r="B310" t="s">
        <v>16</v>
      </c>
      <c r="C310" t="s">
        <v>16</v>
      </c>
      <c r="D310" t="s">
        <v>140</v>
      </c>
      <c r="E310" s="2">
        <v>44120.583796296298</v>
      </c>
      <c r="F310" s="2">
        <v>44120.607986111114</v>
      </c>
      <c r="G310" s="3">
        <v>2.4189814816054422E-2</v>
      </c>
      <c r="H310" s="3">
        <v>2102.7307733009752</v>
      </c>
      <c r="I310" s="3">
        <v>35.045512888349585</v>
      </c>
      <c r="J310" s="3">
        <v>0.58409188147249302</v>
      </c>
    </row>
    <row r="311" spans="1:11" x14ac:dyDescent="0.35">
      <c r="A311">
        <v>310</v>
      </c>
      <c r="B311" t="s">
        <v>11</v>
      </c>
      <c r="C311" t="s">
        <v>11</v>
      </c>
      <c r="D311" t="s">
        <v>140</v>
      </c>
      <c r="E311" s="2">
        <v>44120.608136574076</v>
      </c>
      <c r="F311" s="2">
        <v>44120.614664351851</v>
      </c>
      <c r="G311" s="3">
        <v>6.5277777757728472E-3</v>
      </c>
      <c r="H311" s="3">
        <v>567.43548120417654</v>
      </c>
      <c r="I311" s="3">
        <v>9.4572580200696095</v>
      </c>
      <c r="J311" s="3">
        <v>0.15762096700116016</v>
      </c>
    </row>
    <row r="312" spans="1:11" x14ac:dyDescent="0.35">
      <c r="A312">
        <v>311</v>
      </c>
      <c r="B312" t="s">
        <v>11</v>
      </c>
      <c r="C312" t="s">
        <v>11</v>
      </c>
      <c r="D312" t="s">
        <v>140</v>
      </c>
      <c r="E312" s="2">
        <v>44120.61478009259</v>
      </c>
      <c r="F312" s="2">
        <v>44120.61755787037</v>
      </c>
      <c r="G312" s="3">
        <v>2.7777777795563452E-3</v>
      </c>
      <c r="H312" s="3">
        <v>241.46190712416072</v>
      </c>
      <c r="I312" s="3">
        <v>4.0243651187360117</v>
      </c>
      <c r="J312" s="3">
        <v>6.7072751978933531E-2</v>
      </c>
    </row>
    <row r="313" spans="1:11" x14ac:dyDescent="0.35">
      <c r="A313">
        <v>312</v>
      </c>
      <c r="B313" t="s">
        <v>2</v>
      </c>
      <c r="C313" t="s">
        <v>132</v>
      </c>
      <c r="D313" t="s">
        <v>140</v>
      </c>
      <c r="E313" s="2">
        <v>44120.617650462962</v>
      </c>
      <c r="F313" s="2">
        <v>44120.619791666664</v>
      </c>
      <c r="G313" s="3">
        <v>2.1412037021946162E-3</v>
      </c>
      <c r="H313" s="3">
        <v>186.12688649118707</v>
      </c>
      <c r="I313" s="3">
        <v>3.1021147748531179</v>
      </c>
      <c r="J313" s="3">
        <v>5.1701912914218634E-2</v>
      </c>
      <c r="K313" t="s">
        <v>41</v>
      </c>
    </row>
    <row r="314" spans="1:11" x14ac:dyDescent="0.35">
      <c r="A314">
        <v>313</v>
      </c>
      <c r="B314" t="s">
        <v>11</v>
      </c>
      <c r="C314" t="s">
        <v>11</v>
      </c>
      <c r="D314" t="s">
        <v>140</v>
      </c>
      <c r="E314" s="2">
        <v>44120.61991898148</v>
      </c>
      <c r="F314" s="2">
        <v>44120.688472222224</v>
      </c>
      <c r="G314" s="3">
        <v>6.8553240744222421E-2</v>
      </c>
      <c r="H314" s="3">
        <v>5959.0786460554955</v>
      </c>
      <c r="I314" s="3">
        <v>99.317977434258253</v>
      </c>
      <c r="J314" s="3">
        <v>1.6552996239043043</v>
      </c>
    </row>
    <row r="315" spans="1:11" x14ac:dyDescent="0.35">
      <c r="A315">
        <v>314</v>
      </c>
      <c r="B315" t="s">
        <v>11</v>
      </c>
      <c r="C315" t="s">
        <v>11</v>
      </c>
      <c r="D315" t="s">
        <v>140</v>
      </c>
      <c r="E315" s="2">
        <v>44120.688692129632</v>
      </c>
      <c r="F315" s="2">
        <v>44120.688796296294</v>
      </c>
      <c r="G315" s="3">
        <v>1.0416666191304103E-4</v>
      </c>
      <c r="H315" s="3">
        <v>9.0548210981433428</v>
      </c>
      <c r="I315" s="3">
        <v>0.15091368496905572</v>
      </c>
      <c r="J315" s="3">
        <v>2.5152280828175952E-3</v>
      </c>
    </row>
    <row r="316" spans="1:11" x14ac:dyDescent="0.35">
      <c r="A316">
        <v>315</v>
      </c>
      <c r="B316" t="s">
        <v>11</v>
      </c>
      <c r="C316" t="s">
        <v>11</v>
      </c>
      <c r="D316" t="s">
        <v>140</v>
      </c>
      <c r="E316" s="2">
        <v>44120.704837962963</v>
      </c>
      <c r="F316" s="2">
        <v>44120.737280092595</v>
      </c>
      <c r="G316" s="3">
        <v>3.2442129631817807E-2</v>
      </c>
      <c r="H316" s="3">
        <v>2820.0738553388219</v>
      </c>
      <c r="I316" s="3">
        <v>47.001230922313695</v>
      </c>
      <c r="J316" s="3">
        <v>0.78335384870522828</v>
      </c>
    </row>
    <row r="317" spans="1:11" x14ac:dyDescent="0.35">
      <c r="A317">
        <v>316</v>
      </c>
      <c r="B317" t="s">
        <v>16</v>
      </c>
      <c r="C317" t="s">
        <v>16</v>
      </c>
      <c r="D317" t="s">
        <v>140</v>
      </c>
      <c r="E317" s="2">
        <v>44123.315625000003</v>
      </c>
      <c r="F317" s="2">
        <v>44123.321736111109</v>
      </c>
      <c r="G317" s="3">
        <v>6.1111111062928103E-3</v>
      </c>
      <c r="H317" s="3">
        <v>531.21619491418721</v>
      </c>
      <c r="I317" s="3">
        <v>8.8536032485697866</v>
      </c>
      <c r="J317" s="3">
        <v>0.14756005414282977</v>
      </c>
    </row>
    <row r="318" spans="1:11" x14ac:dyDescent="0.35">
      <c r="A318">
        <v>317</v>
      </c>
      <c r="B318" t="s">
        <v>11</v>
      </c>
      <c r="C318" t="s">
        <v>11</v>
      </c>
      <c r="D318" t="s">
        <v>140</v>
      </c>
      <c r="E318" s="2">
        <v>44123.321840277778</v>
      </c>
      <c r="F318" s="2">
        <v>44123.327650462961</v>
      </c>
      <c r="G318" s="3">
        <v>5.8101851827814244E-3</v>
      </c>
      <c r="H318" s="3">
        <v>505.05782186903895</v>
      </c>
      <c r="I318" s="3">
        <v>8.4176303644839816</v>
      </c>
      <c r="J318" s="3">
        <v>0.14029383940806636</v>
      </c>
    </row>
    <row r="319" spans="1:11" x14ac:dyDescent="0.35">
      <c r="A319">
        <v>318</v>
      </c>
      <c r="B319" t="s">
        <v>2</v>
      </c>
      <c r="C319" t="s">
        <v>96</v>
      </c>
      <c r="D319" t="s">
        <v>140</v>
      </c>
      <c r="E319" s="2">
        <v>44123.327766203707</v>
      </c>
      <c r="F319" s="2">
        <v>44123.329699074071</v>
      </c>
      <c r="G319" s="3">
        <v>1.9328703638166189E-3</v>
      </c>
      <c r="H319" s="3">
        <v>168.01724302995643</v>
      </c>
      <c r="I319" s="3">
        <v>2.800287383832607</v>
      </c>
      <c r="J319" s="3">
        <v>4.6671456397210119E-2</v>
      </c>
    </row>
    <row r="320" spans="1:11" x14ac:dyDescent="0.35">
      <c r="A320">
        <v>319</v>
      </c>
      <c r="B320" t="s">
        <v>2</v>
      </c>
      <c r="C320" t="s">
        <v>96</v>
      </c>
      <c r="D320" t="s">
        <v>140</v>
      </c>
      <c r="E320" s="2">
        <v>44123.329942129632</v>
      </c>
      <c r="F320" s="2">
        <v>44123.331643518519</v>
      </c>
      <c r="G320" s="3">
        <v>1.7013888864312321E-3</v>
      </c>
      <c r="H320" s="3">
        <v>147.89541780521836</v>
      </c>
      <c r="I320" s="3">
        <v>2.4649236300869726</v>
      </c>
      <c r="J320" s="3">
        <v>4.1082060501449545E-2</v>
      </c>
    </row>
    <row r="321" spans="1:11" x14ac:dyDescent="0.35">
      <c r="A321">
        <v>320</v>
      </c>
      <c r="B321" t="s">
        <v>2</v>
      </c>
      <c r="C321" t="s">
        <v>132</v>
      </c>
      <c r="D321" t="s">
        <v>140</v>
      </c>
      <c r="E321" s="2">
        <v>44123.331863425927</v>
      </c>
      <c r="F321" s="2">
        <v>44123.344907407409</v>
      </c>
      <c r="G321" s="3">
        <v>1.3043981482042E-2</v>
      </c>
      <c r="H321" s="3">
        <v>1133.8648715265992</v>
      </c>
      <c r="I321" s="3">
        <v>18.897747858776654</v>
      </c>
      <c r="J321" s="3">
        <v>0.31496246431294422</v>
      </c>
      <c r="K321" t="s">
        <v>42</v>
      </c>
    </row>
    <row r="322" spans="1:11" x14ac:dyDescent="0.35">
      <c r="A322">
        <v>321</v>
      </c>
      <c r="B322" t="s">
        <v>11</v>
      </c>
      <c r="C322" t="s">
        <v>11</v>
      </c>
      <c r="D322" t="s">
        <v>140</v>
      </c>
      <c r="E322" s="2">
        <v>44123.345185185186</v>
      </c>
      <c r="F322" s="2">
        <v>44123.348136574074</v>
      </c>
      <c r="G322" s="3">
        <v>2.9513888875953853E-3</v>
      </c>
      <c r="H322" s="3">
        <v>256.55327604271429</v>
      </c>
      <c r="I322" s="3">
        <v>4.2758879340452385</v>
      </c>
      <c r="J322" s="3">
        <v>7.1264798900753976E-2</v>
      </c>
    </row>
    <row r="323" spans="1:11" x14ac:dyDescent="0.35">
      <c r="A323">
        <v>322</v>
      </c>
      <c r="B323" t="s">
        <v>2</v>
      </c>
      <c r="C323" t="s">
        <v>132</v>
      </c>
      <c r="D323" t="s">
        <v>140</v>
      </c>
      <c r="E323" s="2">
        <v>44123.348275462966</v>
      </c>
      <c r="F323" s="2">
        <v>44123.385914351849</v>
      </c>
      <c r="G323" s="3">
        <v>3.7638888883520849E-2</v>
      </c>
      <c r="H323" s="3">
        <v>3271.8088389708664</v>
      </c>
      <c r="I323" s="3">
        <v>54.530147316181107</v>
      </c>
      <c r="J323" s="3">
        <v>0.9088357886030185</v>
      </c>
      <c r="K323" t="s">
        <v>42</v>
      </c>
    </row>
    <row r="324" spans="1:11" x14ac:dyDescent="0.35">
      <c r="A324">
        <v>323</v>
      </c>
      <c r="B324" t="s">
        <v>11</v>
      </c>
      <c r="C324" t="s">
        <v>11</v>
      </c>
      <c r="D324" t="s">
        <v>140</v>
      </c>
      <c r="E324" s="2">
        <v>44123.386122685188</v>
      </c>
      <c r="F324" s="2">
        <v>44123.391805555555</v>
      </c>
      <c r="G324" s="3">
        <v>5.6828703673090786E-3</v>
      </c>
      <c r="H324" s="3">
        <v>493.99081774244422</v>
      </c>
      <c r="I324" s="3">
        <v>8.2331802957074043</v>
      </c>
      <c r="J324" s="3">
        <v>0.13721967159512341</v>
      </c>
    </row>
    <row r="325" spans="1:11" x14ac:dyDescent="0.35">
      <c r="A325">
        <v>324</v>
      </c>
      <c r="B325" t="s">
        <v>2</v>
      </c>
      <c r="C325" t="s">
        <v>96</v>
      </c>
      <c r="D325" t="s">
        <v>140</v>
      </c>
      <c r="E325" s="2">
        <v>44123.391909722224</v>
      </c>
      <c r="F325" s="2">
        <v>44123.436203703706</v>
      </c>
      <c r="G325" s="3">
        <v>4.4293981482042E-2</v>
      </c>
      <c r="H325" s="3">
        <v>3850.3113249341095</v>
      </c>
      <c r="I325" s="3">
        <v>64.171855415568487</v>
      </c>
      <c r="J325" s="3">
        <v>1.0695309235928081</v>
      </c>
    </row>
    <row r="326" spans="1:11" x14ac:dyDescent="0.35">
      <c r="A326">
        <v>325</v>
      </c>
      <c r="B326" t="s">
        <v>2</v>
      </c>
      <c r="C326" t="s">
        <v>72</v>
      </c>
      <c r="D326" t="s">
        <v>140</v>
      </c>
      <c r="E326" s="2">
        <v>44123.436342592591</v>
      </c>
      <c r="F326" s="2">
        <v>44123.471550925926</v>
      </c>
      <c r="G326" s="3">
        <v>3.5208333334594499E-2</v>
      </c>
      <c r="H326" s="3">
        <v>3060.5296709487566</v>
      </c>
      <c r="I326" s="3">
        <v>51.008827849145945</v>
      </c>
      <c r="J326" s="3">
        <v>0.85014713081909909</v>
      </c>
      <c r="K326" t="s">
        <v>73</v>
      </c>
    </row>
    <row r="327" spans="1:11" x14ac:dyDescent="0.35">
      <c r="A327">
        <v>326</v>
      </c>
      <c r="B327" t="s">
        <v>16</v>
      </c>
      <c r="C327" t="s">
        <v>16</v>
      </c>
      <c r="D327" t="s">
        <v>140</v>
      </c>
      <c r="E327" s="2">
        <v>44123.471678240741</v>
      </c>
      <c r="F327" s="2">
        <v>44123.481168981481</v>
      </c>
      <c r="G327" s="3">
        <v>9.4907407401478849E-3</v>
      </c>
      <c r="H327" s="3">
        <v>824.99484876111649</v>
      </c>
      <c r="I327" s="3">
        <v>13.749914146018607</v>
      </c>
      <c r="J327" s="3">
        <v>0.22916523576697678</v>
      </c>
    </row>
    <row r="328" spans="1:11" x14ac:dyDescent="0.35">
      <c r="A328">
        <v>327</v>
      </c>
      <c r="B328" t="s">
        <v>2</v>
      </c>
      <c r="C328" t="s">
        <v>132</v>
      </c>
      <c r="D328" t="s">
        <v>140</v>
      </c>
      <c r="E328" s="2">
        <v>44123.481319444443</v>
      </c>
      <c r="F328" s="2">
        <v>44123.481469907405</v>
      </c>
      <c r="G328" s="3">
        <v>1.5046296175569296E-4</v>
      </c>
      <c r="H328" s="3">
        <v>13.079186522574144</v>
      </c>
      <c r="I328" s="3">
        <v>0.21798644204290241</v>
      </c>
      <c r="J328" s="3">
        <v>3.6331073673817067E-3</v>
      </c>
      <c r="K328" t="s">
        <v>42</v>
      </c>
    </row>
    <row r="329" spans="1:11" x14ac:dyDescent="0.35">
      <c r="A329">
        <v>328</v>
      </c>
      <c r="B329" t="s">
        <v>11</v>
      </c>
      <c r="C329" t="s">
        <v>11</v>
      </c>
      <c r="D329" t="s">
        <v>140</v>
      </c>
      <c r="E329" s="2">
        <v>44123.481539351851</v>
      </c>
      <c r="F329" s="2">
        <v>44123.491608796299</v>
      </c>
      <c r="G329" s="3">
        <v>1.0069444448163267E-2</v>
      </c>
      <c r="H329" s="3">
        <v>875.29941308790569</v>
      </c>
      <c r="I329" s="3">
        <v>14.588323551465095</v>
      </c>
      <c r="J329" s="3">
        <v>0.24313872585775159</v>
      </c>
    </row>
    <row r="330" spans="1:11" x14ac:dyDescent="0.35">
      <c r="A330">
        <v>329</v>
      </c>
      <c r="B330" t="s">
        <v>16</v>
      </c>
      <c r="C330" t="s">
        <v>16</v>
      </c>
      <c r="D330" t="s">
        <v>140</v>
      </c>
      <c r="E330" s="2">
        <v>44123.491863425923</v>
      </c>
      <c r="F330" s="2">
        <v>44123.510625000003</v>
      </c>
      <c r="G330" s="3">
        <v>1.8761574079690035E-2</v>
      </c>
      <c r="H330" s="3">
        <v>1630.8739638117206</v>
      </c>
      <c r="I330" s="3">
        <v>27.181232730195344</v>
      </c>
      <c r="J330" s="3">
        <v>0.45302054550325571</v>
      </c>
    </row>
    <row r="331" spans="1:11" x14ac:dyDescent="0.35">
      <c r="A331">
        <v>330</v>
      </c>
      <c r="B331" t="s">
        <v>11</v>
      </c>
      <c r="C331" t="s">
        <v>11</v>
      </c>
      <c r="D331" t="s">
        <v>140</v>
      </c>
      <c r="E331" s="2">
        <v>44123.510752314818</v>
      </c>
      <c r="F331" s="2">
        <v>44123.511874999997</v>
      </c>
      <c r="G331" s="3">
        <v>1.1226851784158498E-3</v>
      </c>
      <c r="H331" s="3">
        <v>97.590853478429224</v>
      </c>
      <c r="I331" s="3">
        <v>1.6265142246404871</v>
      </c>
      <c r="J331" s="3">
        <v>2.7108570410674784E-2</v>
      </c>
    </row>
    <row r="332" spans="1:11" x14ac:dyDescent="0.35">
      <c r="A332">
        <v>331</v>
      </c>
      <c r="B332" t="s">
        <v>16</v>
      </c>
      <c r="C332" t="s">
        <v>16</v>
      </c>
      <c r="D332" t="s">
        <v>140</v>
      </c>
      <c r="E332" s="2">
        <v>44123.512060185189</v>
      </c>
      <c r="F332" s="2">
        <v>44123.516250000001</v>
      </c>
      <c r="G332" s="3">
        <v>4.1898148119798861E-3</v>
      </c>
      <c r="H332" s="3">
        <v>364.2050427659845</v>
      </c>
      <c r="I332" s="3">
        <v>6.0700840460997414</v>
      </c>
      <c r="J332" s="3">
        <v>0.10116806743499569</v>
      </c>
    </row>
    <row r="333" spans="1:11" x14ac:dyDescent="0.35">
      <c r="A333">
        <v>332</v>
      </c>
      <c r="B333" t="s">
        <v>11</v>
      </c>
      <c r="C333" t="s">
        <v>11</v>
      </c>
      <c r="D333" t="s">
        <v>140</v>
      </c>
      <c r="E333" s="2">
        <v>44123.516342592593</v>
      </c>
      <c r="F333" s="2">
        <v>44123.519814814812</v>
      </c>
      <c r="G333" s="3">
        <v>3.4722222189884633E-3</v>
      </c>
      <c r="H333" s="3">
        <v>301.82738343084691</v>
      </c>
      <c r="I333" s="3">
        <v>5.0304563905141153</v>
      </c>
      <c r="J333" s="3">
        <v>8.3840939841901926E-2</v>
      </c>
    </row>
    <row r="334" spans="1:11" x14ac:dyDescent="0.35">
      <c r="A334">
        <v>333</v>
      </c>
      <c r="B334" t="s">
        <v>16</v>
      </c>
      <c r="C334" t="s">
        <v>16</v>
      </c>
      <c r="D334" t="s">
        <v>140</v>
      </c>
      <c r="E334" s="2">
        <v>44123.519999999997</v>
      </c>
      <c r="F334" s="2">
        <v>44123.520648148151</v>
      </c>
      <c r="G334" s="3">
        <v>6.4814815414138138E-4</v>
      </c>
      <c r="H334" s="3">
        <v>56.341112147199354</v>
      </c>
      <c r="I334" s="3">
        <v>0.93901853578665595</v>
      </c>
      <c r="J334" s="3">
        <v>1.56503089297776E-2</v>
      </c>
    </row>
    <row r="335" spans="1:11" x14ac:dyDescent="0.35">
      <c r="A335">
        <v>334</v>
      </c>
      <c r="B335" t="s">
        <v>33</v>
      </c>
      <c r="C335" t="s">
        <v>33</v>
      </c>
      <c r="D335" t="s">
        <v>140</v>
      </c>
      <c r="E335" s="2">
        <v>44127.375</v>
      </c>
      <c r="F335" s="2">
        <v>44127.708333333336</v>
      </c>
      <c r="G335" s="3">
        <v>0.33333333333575865</v>
      </c>
      <c r="H335" s="3">
        <v>28975.428836557599</v>
      </c>
      <c r="I335" s="3">
        <v>482.92381394262668</v>
      </c>
      <c r="J335" s="3">
        <v>8.0487302323771122</v>
      </c>
    </row>
    <row r="336" spans="1:11" x14ac:dyDescent="0.35">
      <c r="A336">
        <v>335</v>
      </c>
      <c r="B336" t="s">
        <v>16</v>
      </c>
      <c r="C336" t="s">
        <v>16</v>
      </c>
      <c r="D336" t="s">
        <v>140</v>
      </c>
      <c r="E336" s="2">
        <v>44123.521041666667</v>
      </c>
      <c r="F336" s="2">
        <v>44123.524155092593</v>
      </c>
      <c r="G336" s="3">
        <v>3.1134259261307307E-3</v>
      </c>
      <c r="H336" s="3">
        <v>270.63855407951411</v>
      </c>
      <c r="I336" s="3">
        <v>4.5106425679919022</v>
      </c>
      <c r="J336" s="3">
        <v>7.5177376133198373E-2</v>
      </c>
    </row>
    <row r="337" spans="1:11" x14ac:dyDescent="0.35">
      <c r="A337">
        <v>336</v>
      </c>
      <c r="B337" t="s">
        <v>2</v>
      </c>
      <c r="C337" t="s">
        <v>132</v>
      </c>
      <c r="D337" t="s">
        <v>140</v>
      </c>
      <c r="E337" s="2">
        <v>44123.524363425924</v>
      </c>
      <c r="F337" s="2">
        <v>44123.527025462965</v>
      </c>
      <c r="G337" s="3">
        <v>2.6620370408636518E-3</v>
      </c>
      <c r="H337" s="3">
        <v>231.40099451179168</v>
      </c>
      <c r="I337" s="3">
        <v>3.8566832418631947</v>
      </c>
      <c r="J337" s="3">
        <v>6.4278054031053244E-2</v>
      </c>
      <c r="K337" t="s">
        <v>42</v>
      </c>
    </row>
    <row r="338" spans="1:11" x14ac:dyDescent="0.35">
      <c r="A338">
        <v>337</v>
      </c>
      <c r="B338" t="s">
        <v>16</v>
      </c>
      <c r="C338" t="s">
        <v>16</v>
      </c>
      <c r="D338" t="s">
        <v>140</v>
      </c>
      <c r="E338" s="2">
        <v>44123.527916666666</v>
      </c>
      <c r="F338" s="2">
        <v>44123.529826388891</v>
      </c>
      <c r="G338" s="3">
        <v>1.9097222248092294E-3</v>
      </c>
      <c r="H338" s="3">
        <v>166.00506126644899</v>
      </c>
      <c r="I338" s="3">
        <v>2.7667510211074831</v>
      </c>
      <c r="J338" s="3">
        <v>4.6112517018458053E-2</v>
      </c>
    </row>
    <row r="339" spans="1:11" x14ac:dyDescent="0.35">
      <c r="A339">
        <v>338</v>
      </c>
      <c r="B339" t="s">
        <v>2</v>
      </c>
      <c r="C339" t="s">
        <v>132</v>
      </c>
      <c r="D339" t="s">
        <v>140</v>
      </c>
      <c r="E339" s="2">
        <v>44123.529988425929</v>
      </c>
      <c r="F339" s="2">
        <v>44123.533067129632</v>
      </c>
      <c r="G339" s="3">
        <v>3.0787037030677311E-3</v>
      </c>
      <c r="H339" s="3">
        <v>267.62028016930901</v>
      </c>
      <c r="I339" s="3">
        <v>4.4603380028218167</v>
      </c>
      <c r="J339" s="3">
        <v>7.4338966713696941E-2</v>
      </c>
      <c r="K339" t="s">
        <v>42</v>
      </c>
    </row>
    <row r="340" spans="1:11" x14ac:dyDescent="0.35">
      <c r="A340">
        <v>339</v>
      </c>
      <c r="B340" t="s">
        <v>16</v>
      </c>
      <c r="C340" t="s">
        <v>16</v>
      </c>
      <c r="D340" t="s">
        <v>140</v>
      </c>
      <c r="E340" s="2">
        <v>44123.533182870371</v>
      </c>
      <c r="F340" s="2">
        <v>44123.536782407406</v>
      </c>
      <c r="G340" s="3">
        <v>3.5995370344608091E-3</v>
      </c>
      <c r="H340" s="3">
        <v>312.89438755744169</v>
      </c>
      <c r="I340" s="3">
        <v>5.2149064592906944</v>
      </c>
      <c r="J340" s="3">
        <v>8.6915107654844906E-2</v>
      </c>
    </row>
    <row r="341" spans="1:11" x14ac:dyDescent="0.35">
      <c r="A341">
        <v>340</v>
      </c>
      <c r="B341" t="s">
        <v>16</v>
      </c>
      <c r="C341" t="s">
        <v>16</v>
      </c>
      <c r="D341" t="s">
        <v>140</v>
      </c>
      <c r="E341" s="2">
        <v>44123.536932870367</v>
      </c>
      <c r="F341" s="2">
        <v>44123.540567129632</v>
      </c>
      <c r="G341" s="3">
        <v>3.6342592647997662E-3</v>
      </c>
      <c r="H341" s="3">
        <v>315.91266210011872</v>
      </c>
      <c r="I341" s="3">
        <v>5.265211035001979</v>
      </c>
      <c r="J341" s="3">
        <v>8.7753517250032984E-2</v>
      </c>
    </row>
    <row r="342" spans="1:11" x14ac:dyDescent="0.35">
      <c r="A342">
        <v>341</v>
      </c>
      <c r="B342" t="s">
        <v>2</v>
      </c>
      <c r="C342" t="s">
        <v>132</v>
      </c>
      <c r="D342" t="s">
        <v>140</v>
      </c>
      <c r="E342" s="2">
        <v>44123.540682870371</v>
      </c>
      <c r="F342" s="2">
        <v>44123.591840277775</v>
      </c>
      <c r="G342" s="3">
        <v>5.1157407404389232E-2</v>
      </c>
      <c r="H342" s="3">
        <v>4446.9234530936392</v>
      </c>
      <c r="I342" s="3">
        <v>74.115390884893984</v>
      </c>
      <c r="J342" s="3">
        <v>1.2352565147482331</v>
      </c>
      <c r="K342" t="s">
        <v>42</v>
      </c>
    </row>
    <row r="343" spans="1:11" x14ac:dyDescent="0.35">
      <c r="A343">
        <v>342</v>
      </c>
      <c r="B343" t="s">
        <v>16</v>
      </c>
      <c r="C343" t="s">
        <v>16</v>
      </c>
      <c r="D343" t="s">
        <v>140</v>
      </c>
      <c r="E343" s="2">
        <v>44123.591932870368</v>
      </c>
      <c r="F343" s="2">
        <v>44123.597372685188</v>
      </c>
      <c r="G343" s="3">
        <v>5.439814820419997E-3</v>
      </c>
      <c r="H343" s="3">
        <v>472.86290163595243</v>
      </c>
      <c r="I343" s="3">
        <v>7.8810483605992072</v>
      </c>
      <c r="J343" s="3">
        <v>0.13135080600998678</v>
      </c>
    </row>
    <row r="344" spans="1:11" x14ac:dyDescent="0.35">
      <c r="A344">
        <v>343</v>
      </c>
      <c r="B344" t="s">
        <v>2</v>
      </c>
      <c r="C344" t="s">
        <v>132</v>
      </c>
      <c r="D344" t="s">
        <v>140</v>
      </c>
      <c r="E344" s="2">
        <v>44123.597581018519</v>
      </c>
      <c r="F344" s="2">
        <v>44123.605706018519</v>
      </c>
      <c r="G344" s="3">
        <v>8.1250000002910383E-3</v>
      </c>
      <c r="H344" s="3">
        <v>706.2760779112516</v>
      </c>
      <c r="I344" s="3">
        <v>11.771267965187526</v>
      </c>
      <c r="J344" s="3">
        <v>0.19618779941979211</v>
      </c>
      <c r="K344" t="s">
        <v>42</v>
      </c>
    </row>
    <row r="345" spans="1:11" x14ac:dyDescent="0.35">
      <c r="A345">
        <v>344</v>
      </c>
      <c r="B345" t="s">
        <v>2</v>
      </c>
      <c r="C345" t="s">
        <v>132</v>
      </c>
      <c r="D345" t="s">
        <v>140</v>
      </c>
      <c r="E345" s="2">
        <v>44123.605844907404</v>
      </c>
      <c r="F345" s="2">
        <v>44123.613935185182</v>
      </c>
      <c r="G345" s="3">
        <v>8.0902777772280388E-3</v>
      </c>
      <c r="H345" s="3">
        <v>703.25780400104645</v>
      </c>
      <c r="I345" s="3">
        <v>11.720963400017441</v>
      </c>
      <c r="J345" s="3">
        <v>0.19534939000029067</v>
      </c>
      <c r="K345" t="s">
        <v>42</v>
      </c>
    </row>
    <row r="346" spans="1:11" x14ac:dyDescent="0.35">
      <c r="A346">
        <v>345</v>
      </c>
      <c r="B346" t="s">
        <v>2</v>
      </c>
      <c r="C346" t="s">
        <v>96</v>
      </c>
      <c r="D346" t="s">
        <v>140</v>
      </c>
      <c r="E346" s="2">
        <v>44123.614074074074</v>
      </c>
      <c r="F346" s="2">
        <v>44123.615937499999</v>
      </c>
      <c r="G346" s="3">
        <v>1.8634259249665774E-3</v>
      </c>
      <c r="H346" s="3">
        <v>161.98069584201821</v>
      </c>
      <c r="I346" s="3">
        <v>2.6996782640336368</v>
      </c>
      <c r="J346" s="3">
        <v>4.4994637733893943E-2</v>
      </c>
    </row>
    <row r="347" spans="1:11" x14ac:dyDescent="0.35">
      <c r="A347">
        <v>346</v>
      </c>
      <c r="B347" t="s">
        <v>2</v>
      </c>
      <c r="C347" t="s">
        <v>132</v>
      </c>
      <c r="D347" t="s">
        <v>140</v>
      </c>
      <c r="E347" s="2">
        <v>44123.616168981483</v>
      </c>
      <c r="F347" s="2">
        <v>44123.650625000002</v>
      </c>
      <c r="G347" s="3">
        <v>3.4456018518540077E-2</v>
      </c>
      <c r="H347" s="3">
        <v>2995.1337377034142</v>
      </c>
      <c r="I347" s="3">
        <v>49.918895628390239</v>
      </c>
      <c r="J347" s="3">
        <v>0.83198159380650394</v>
      </c>
      <c r="K347" t="s">
        <v>42</v>
      </c>
    </row>
    <row r="348" spans="1:11" x14ac:dyDescent="0.35">
      <c r="A348">
        <v>347</v>
      </c>
      <c r="B348" t="s">
        <v>11</v>
      </c>
      <c r="C348" t="s">
        <v>11</v>
      </c>
      <c r="D348" t="s">
        <v>140</v>
      </c>
      <c r="E348" s="2">
        <v>44123.650856481479</v>
      </c>
      <c r="F348" s="2">
        <v>44123.654687499999</v>
      </c>
      <c r="G348" s="3">
        <v>3.8310185191221535E-3</v>
      </c>
      <c r="H348" s="3">
        <v>333.0162134146517</v>
      </c>
      <c r="I348" s="3">
        <v>5.5502702235775283</v>
      </c>
      <c r="J348" s="3">
        <v>9.2504503726292139E-2</v>
      </c>
    </row>
    <row r="349" spans="1:11" x14ac:dyDescent="0.35">
      <c r="A349">
        <v>348</v>
      </c>
      <c r="B349" t="s">
        <v>11</v>
      </c>
      <c r="C349" t="s">
        <v>11</v>
      </c>
      <c r="D349" t="s">
        <v>140</v>
      </c>
      <c r="E349" s="2">
        <v>44123.654849537037</v>
      </c>
      <c r="F349" s="2">
        <v>44123.698263888888</v>
      </c>
      <c r="G349" s="3">
        <v>4.3414351850515231E-2</v>
      </c>
      <c r="H349" s="3">
        <v>3773.8483875621723</v>
      </c>
      <c r="I349" s="3">
        <v>62.897473126036203</v>
      </c>
      <c r="J349" s="3">
        <v>1.0482912187672702</v>
      </c>
    </row>
    <row r="350" spans="1:11" x14ac:dyDescent="0.35">
      <c r="A350">
        <v>349</v>
      </c>
      <c r="B350" t="s">
        <v>11</v>
      </c>
      <c r="C350" t="s">
        <v>11</v>
      </c>
      <c r="D350" t="s">
        <v>140</v>
      </c>
      <c r="E350" s="2">
        <v>44123.698946759258</v>
      </c>
      <c r="F350" s="2">
        <v>44123.704212962963</v>
      </c>
      <c r="G350" s="3">
        <v>5.2662037051049992E-3</v>
      </c>
      <c r="H350" s="3">
        <v>457.77153208492689</v>
      </c>
      <c r="I350" s="3">
        <v>7.6295255347487814</v>
      </c>
      <c r="J350" s="3">
        <v>0.12715875891247969</v>
      </c>
    </row>
    <row r="351" spans="1:11" x14ac:dyDescent="0.35">
      <c r="A351">
        <v>350</v>
      </c>
      <c r="B351" t="s">
        <v>11</v>
      </c>
      <c r="C351" t="s">
        <v>11</v>
      </c>
      <c r="D351" t="s">
        <v>140</v>
      </c>
      <c r="E351" s="2">
        <v>44123.70449074074</v>
      </c>
      <c r="F351" s="2">
        <v>44123.70516203704</v>
      </c>
      <c r="G351" s="3">
        <v>6.7129630042472854E-4</v>
      </c>
      <c r="H351" s="3">
        <v>58.353294543178762</v>
      </c>
      <c r="I351" s="3">
        <v>0.97255490905297937</v>
      </c>
      <c r="J351" s="3">
        <v>1.6209248484216322E-2</v>
      </c>
    </row>
    <row r="352" spans="1:11" x14ac:dyDescent="0.35">
      <c r="A352">
        <v>351</v>
      </c>
      <c r="B352" t="s">
        <v>16</v>
      </c>
      <c r="C352" t="s">
        <v>16</v>
      </c>
      <c r="D352" t="s">
        <v>140</v>
      </c>
      <c r="E352" s="2">
        <v>44124.318819444445</v>
      </c>
      <c r="F352" s="2">
        <v>44124.332141203704</v>
      </c>
      <c r="G352" s="3">
        <v>1.3321759259270038E-2</v>
      </c>
      <c r="H352" s="3">
        <v>1158.0110621757683</v>
      </c>
      <c r="I352" s="3">
        <v>19.300184369596138</v>
      </c>
      <c r="J352" s="3">
        <v>0.32166973949326899</v>
      </c>
    </row>
    <row r="353" spans="1:11" x14ac:dyDescent="0.35">
      <c r="A353">
        <v>352</v>
      </c>
      <c r="B353" t="s">
        <v>11</v>
      </c>
      <c r="C353" t="s">
        <v>11</v>
      </c>
      <c r="D353" t="s">
        <v>140</v>
      </c>
      <c r="E353" s="2">
        <v>44124.332233796296</v>
      </c>
      <c r="F353" s="2">
        <v>44124.335844907408</v>
      </c>
      <c r="G353" s="3">
        <v>3.6111111112404615E-3</v>
      </c>
      <c r="H353" s="3">
        <v>313.90047907166735</v>
      </c>
      <c r="I353" s="3">
        <v>5.2316746511944556</v>
      </c>
      <c r="J353" s="3">
        <v>8.7194577519907598E-2</v>
      </c>
    </row>
    <row r="354" spans="1:11" x14ac:dyDescent="0.35">
      <c r="A354">
        <v>353</v>
      </c>
      <c r="B354" t="s">
        <v>11</v>
      </c>
      <c r="C354" t="s">
        <v>11</v>
      </c>
      <c r="D354" t="s">
        <v>140</v>
      </c>
      <c r="E354" s="2">
        <v>44124.335972222223</v>
      </c>
      <c r="F354" s="2">
        <v>44124.343935185185</v>
      </c>
      <c r="G354" s="3">
        <v>7.962962961755693E-3</v>
      </c>
      <c r="H354" s="3">
        <v>692.19079987445173</v>
      </c>
      <c r="I354" s="3">
        <v>11.536513331240862</v>
      </c>
      <c r="J354" s="3">
        <v>0.19227522218734769</v>
      </c>
    </row>
    <row r="355" spans="1:11" x14ac:dyDescent="0.35">
      <c r="A355">
        <v>354</v>
      </c>
      <c r="B355" t="s">
        <v>2</v>
      </c>
      <c r="C355" t="s">
        <v>96</v>
      </c>
      <c r="D355" t="s">
        <v>140</v>
      </c>
      <c r="E355" s="2">
        <v>44124.344178240739</v>
      </c>
      <c r="F355" s="2">
        <v>44124.346863425926</v>
      </c>
      <c r="G355" s="3">
        <v>2.6851851871469989E-3</v>
      </c>
      <c r="H355" s="3">
        <v>233.41317690777112</v>
      </c>
      <c r="I355" s="3">
        <v>3.8902196151295185</v>
      </c>
      <c r="J355" s="3">
        <v>6.483699358549197E-2</v>
      </c>
    </row>
    <row r="356" spans="1:11" x14ac:dyDescent="0.35">
      <c r="A356">
        <v>355</v>
      </c>
      <c r="B356" t="s">
        <v>2</v>
      </c>
      <c r="C356" t="s">
        <v>96</v>
      </c>
      <c r="D356" t="s">
        <v>140</v>
      </c>
      <c r="E356" s="2">
        <v>44124.347361111111</v>
      </c>
      <c r="F356" s="2">
        <v>44124.349120370367</v>
      </c>
      <c r="G356" s="3">
        <v>1.7592592557775788E-3</v>
      </c>
      <c r="H356" s="3">
        <v>152.92587411140289</v>
      </c>
      <c r="I356" s="3">
        <v>2.5487645685233815</v>
      </c>
      <c r="J356" s="3">
        <v>4.2479409475389689E-2</v>
      </c>
    </row>
    <row r="357" spans="1:11" x14ac:dyDescent="0.35">
      <c r="A357">
        <v>356</v>
      </c>
      <c r="B357" t="s">
        <v>2</v>
      </c>
      <c r="C357" t="s">
        <v>132</v>
      </c>
      <c r="D357" t="s">
        <v>140</v>
      </c>
      <c r="E357" s="2">
        <v>44124.349270833336</v>
      </c>
      <c r="F357" s="2">
        <v>44124.351111111115</v>
      </c>
      <c r="G357" s="3">
        <v>1.8402777786832303E-3</v>
      </c>
      <c r="H357" s="3">
        <v>159.9685134460388</v>
      </c>
      <c r="I357" s="3">
        <v>2.6661418907673133</v>
      </c>
      <c r="J357" s="3">
        <v>4.4435698179455224E-2</v>
      </c>
      <c r="K357" t="s">
        <v>42</v>
      </c>
    </row>
    <row r="358" spans="1:11" x14ac:dyDescent="0.35">
      <c r="A358">
        <v>357</v>
      </c>
      <c r="B358" t="s">
        <v>2</v>
      </c>
      <c r="C358" t="s">
        <v>132</v>
      </c>
      <c r="D358" t="s">
        <v>140</v>
      </c>
      <c r="E358" s="2">
        <v>44124.351307870369</v>
      </c>
      <c r="F358" s="2">
        <v>44124.353518518517</v>
      </c>
      <c r="G358" s="3">
        <v>2.2106481483206153E-3</v>
      </c>
      <c r="H358" s="3">
        <v>192.16343431159729</v>
      </c>
      <c r="I358" s="3">
        <v>3.2027239051932881</v>
      </c>
      <c r="J358" s="3">
        <v>5.337873175322147E-2</v>
      </c>
      <c r="K358" t="s">
        <v>41</v>
      </c>
    </row>
    <row r="359" spans="1:11" x14ac:dyDescent="0.35">
      <c r="A359">
        <v>358</v>
      </c>
      <c r="B359" t="s">
        <v>11</v>
      </c>
      <c r="C359" t="s">
        <v>11</v>
      </c>
      <c r="D359" t="s">
        <v>140</v>
      </c>
      <c r="E359" s="2">
        <v>44124.353807870371</v>
      </c>
      <c r="F359" s="2">
        <v>44124.37300925926</v>
      </c>
      <c r="G359" s="3">
        <v>1.9201388888177462E-2</v>
      </c>
      <c r="H359" s="3">
        <v>1669.1054318652175</v>
      </c>
      <c r="I359" s="3">
        <v>27.818423864420293</v>
      </c>
      <c r="J359" s="3">
        <v>0.46364039774033822</v>
      </c>
    </row>
    <row r="360" spans="1:11" x14ac:dyDescent="0.35">
      <c r="A360">
        <v>359</v>
      </c>
      <c r="B360" t="s">
        <v>16</v>
      </c>
      <c r="C360" t="s">
        <v>16</v>
      </c>
      <c r="D360" t="s">
        <v>140</v>
      </c>
      <c r="E360" s="2">
        <v>44124.373148148145</v>
      </c>
      <c r="F360" s="2">
        <v>44124.410983796297</v>
      </c>
      <c r="G360" s="3">
        <v>3.7835648152395152E-2</v>
      </c>
      <c r="H360" s="3">
        <v>3288.9123915503433</v>
      </c>
      <c r="I360" s="3">
        <v>54.815206525839052</v>
      </c>
      <c r="J360" s="3">
        <v>0.91358677543065092</v>
      </c>
    </row>
    <row r="361" spans="1:11" x14ac:dyDescent="0.35">
      <c r="A361">
        <v>360</v>
      </c>
      <c r="B361" t="s">
        <v>11</v>
      </c>
      <c r="C361" t="s">
        <v>11</v>
      </c>
      <c r="D361" t="s">
        <v>140</v>
      </c>
      <c r="E361" s="2">
        <v>44124.411087962966</v>
      </c>
      <c r="F361" s="2">
        <v>44124.41207175926</v>
      </c>
      <c r="G361" s="3">
        <v>9.8379629343980923E-4</v>
      </c>
      <c r="H361" s="3">
        <v>85.517758470080764</v>
      </c>
      <c r="I361" s="3">
        <v>1.425295974501346</v>
      </c>
      <c r="J361" s="3">
        <v>2.3754932908355769E-2</v>
      </c>
    </row>
    <row r="362" spans="1:11" x14ac:dyDescent="0.35">
      <c r="A362">
        <v>361</v>
      </c>
      <c r="B362" t="s">
        <v>16</v>
      </c>
      <c r="C362" t="s">
        <v>16</v>
      </c>
      <c r="D362" t="s">
        <v>140</v>
      </c>
      <c r="E362" s="2">
        <v>44124.412164351852</v>
      </c>
      <c r="F362" s="2">
        <v>44124.414201388892</v>
      </c>
      <c r="G362" s="3">
        <v>2.0370370402815752E-3</v>
      </c>
      <c r="H362" s="3">
        <v>177.07206539304372</v>
      </c>
      <c r="I362" s="3">
        <v>2.9512010898840617</v>
      </c>
      <c r="J362" s="3">
        <v>4.9186684831401026E-2</v>
      </c>
    </row>
    <row r="363" spans="1:11" x14ac:dyDescent="0.35">
      <c r="A363">
        <v>362</v>
      </c>
      <c r="B363" t="s">
        <v>16</v>
      </c>
      <c r="C363" t="s">
        <v>16</v>
      </c>
      <c r="D363" t="s">
        <v>140</v>
      </c>
      <c r="E363" s="2">
        <v>44124.414351851854</v>
      </c>
      <c r="F363" s="2">
        <v>44124.417523148149</v>
      </c>
      <c r="G363" s="3">
        <v>3.1712962954770774E-3</v>
      </c>
      <c r="H363" s="3">
        <v>275.66901038569864</v>
      </c>
      <c r="I363" s="3">
        <v>4.5944835064283103</v>
      </c>
      <c r="J363" s="3">
        <v>7.6574725107138503E-2</v>
      </c>
    </row>
    <row r="364" spans="1:11" x14ac:dyDescent="0.35">
      <c r="A364">
        <v>363</v>
      </c>
      <c r="B364" t="s">
        <v>11</v>
      </c>
      <c r="C364" t="s">
        <v>11</v>
      </c>
      <c r="D364" t="s">
        <v>140</v>
      </c>
      <c r="E364" s="2">
        <v>44124.417719907404</v>
      </c>
      <c r="F364" s="2">
        <v>44124.420266203706</v>
      </c>
      <c r="G364" s="3">
        <v>2.5462963021709584E-3</v>
      </c>
      <c r="H364" s="3">
        <v>221.34008189942264</v>
      </c>
      <c r="I364" s="3">
        <v>3.6890013649903772</v>
      </c>
      <c r="J364" s="3">
        <v>6.1483356083172951E-2</v>
      </c>
    </row>
    <row r="365" spans="1:11" x14ac:dyDescent="0.35">
      <c r="A365">
        <v>364</v>
      </c>
      <c r="B365" t="s">
        <v>11</v>
      </c>
      <c r="C365" t="s">
        <v>11</v>
      </c>
      <c r="D365" t="s">
        <v>140</v>
      </c>
      <c r="E365" s="2">
        <v>44124.420613425929</v>
      </c>
      <c r="F365" s="2">
        <v>44124.430590277778</v>
      </c>
      <c r="G365" s="3">
        <v>9.9768518484779634E-3</v>
      </c>
      <c r="H365" s="3">
        <v>867.25068223904407</v>
      </c>
      <c r="I365" s="3">
        <v>14.454178037317401</v>
      </c>
      <c r="J365" s="3">
        <v>0.24090296728862334</v>
      </c>
    </row>
    <row r="366" spans="1:11" x14ac:dyDescent="0.35">
      <c r="A366">
        <v>365</v>
      </c>
      <c r="B366" t="s">
        <v>11</v>
      </c>
      <c r="C366" t="s">
        <v>11</v>
      </c>
      <c r="D366" t="s">
        <v>140</v>
      </c>
      <c r="E366" s="2">
        <v>44124.430891203701</v>
      </c>
      <c r="F366" s="2">
        <v>44124.482453703706</v>
      </c>
      <c r="G366" s="3">
        <v>5.1562500004365575E-2</v>
      </c>
      <c r="H366" s="3">
        <v>4482.1366485018752</v>
      </c>
      <c r="I366" s="3">
        <v>74.702277475031252</v>
      </c>
      <c r="J366" s="3">
        <v>1.2450379579171875</v>
      </c>
    </row>
    <row r="367" spans="1:11" x14ac:dyDescent="0.35">
      <c r="A367">
        <v>366</v>
      </c>
      <c r="B367" t="s">
        <v>16</v>
      </c>
      <c r="C367" t="s">
        <v>16</v>
      </c>
      <c r="D367" t="s">
        <v>140</v>
      </c>
      <c r="E367" s="2">
        <v>44124.482511574075</v>
      </c>
      <c r="F367" s="2">
        <v>44124.504918981482</v>
      </c>
      <c r="G367" s="3">
        <v>2.2407407406717539E-2</v>
      </c>
      <c r="H367" s="3">
        <v>1947.7927161611212</v>
      </c>
      <c r="I367" s="3">
        <v>32.463211936018688</v>
      </c>
      <c r="J367" s="3">
        <v>0.54105353226697817</v>
      </c>
    </row>
    <row r="368" spans="1:11" x14ac:dyDescent="0.35">
      <c r="A368">
        <v>367</v>
      </c>
      <c r="B368" t="s">
        <v>11</v>
      </c>
      <c r="C368" t="s">
        <v>11</v>
      </c>
      <c r="D368" t="s">
        <v>140</v>
      </c>
      <c r="E368" s="2">
        <v>44124.50509259259</v>
      </c>
      <c r="F368" s="2">
        <v>44124.514282407406</v>
      </c>
      <c r="G368" s="3">
        <v>9.189814816636499E-3</v>
      </c>
      <c r="H368" s="3">
        <v>798.83647571596828</v>
      </c>
      <c r="I368" s="3">
        <v>13.313941261932804</v>
      </c>
      <c r="J368" s="3">
        <v>0.2218990210322134</v>
      </c>
    </row>
    <row r="369" spans="1:11" x14ac:dyDescent="0.35">
      <c r="A369">
        <v>368</v>
      </c>
      <c r="B369" t="s">
        <v>11</v>
      </c>
      <c r="C369" t="s">
        <v>11</v>
      </c>
      <c r="D369" t="s">
        <v>140</v>
      </c>
      <c r="E369" s="2">
        <v>44124.514421296299</v>
      </c>
      <c r="F369" s="2">
        <v>44124.514733796299</v>
      </c>
      <c r="G369" s="3">
        <v>3.125000002910383E-4</v>
      </c>
      <c r="H369" s="3">
        <v>27.164464559373982</v>
      </c>
      <c r="I369" s="3">
        <v>0.45274107598956637</v>
      </c>
      <c r="J369" s="3">
        <v>7.5456845998261059E-3</v>
      </c>
    </row>
    <row r="370" spans="1:11" x14ac:dyDescent="0.35">
      <c r="A370">
        <v>369</v>
      </c>
      <c r="B370" t="s">
        <v>11</v>
      </c>
      <c r="C370" t="s">
        <v>11</v>
      </c>
      <c r="D370" t="s">
        <v>140</v>
      </c>
      <c r="E370" s="2">
        <v>44124.514872685184</v>
      </c>
      <c r="F370" s="2">
        <v>44124.527060185188</v>
      </c>
      <c r="G370" s="3">
        <v>1.2187500004074536E-2</v>
      </c>
      <c r="H370" s="3">
        <v>1059.4141171831134</v>
      </c>
      <c r="I370" s="3">
        <v>17.656901953051889</v>
      </c>
      <c r="J370" s="3">
        <v>0.2942816992175315</v>
      </c>
    </row>
    <row r="371" spans="1:11" x14ac:dyDescent="0.35">
      <c r="A371">
        <v>370</v>
      </c>
      <c r="B371" t="s">
        <v>11</v>
      </c>
      <c r="C371" t="s">
        <v>11</v>
      </c>
      <c r="D371" t="s">
        <v>140</v>
      </c>
      <c r="E371" s="2">
        <v>44124.527245370373</v>
      </c>
      <c r="F371" s="2">
        <v>44124.53875</v>
      </c>
      <c r="G371" s="3">
        <v>1.1504629626870155E-2</v>
      </c>
      <c r="H371" s="3">
        <v>1000.0547311257088</v>
      </c>
      <c r="I371" s="3">
        <v>16.667578852095147</v>
      </c>
      <c r="J371" s="3">
        <v>0.27779298086825244</v>
      </c>
    </row>
    <row r="372" spans="1:11" x14ac:dyDescent="0.35">
      <c r="A372">
        <v>371</v>
      </c>
      <c r="B372" t="s">
        <v>2</v>
      </c>
      <c r="C372" t="s">
        <v>72</v>
      </c>
      <c r="D372" t="s">
        <v>140</v>
      </c>
      <c r="E372" s="2">
        <v>44124.538865740738</v>
      </c>
      <c r="F372" s="2">
        <v>44124.584374999999</v>
      </c>
      <c r="G372" s="3">
        <v>4.5509259260143153E-2</v>
      </c>
      <c r="H372" s="3">
        <v>3955.9509092614003</v>
      </c>
      <c r="I372" s="3">
        <v>65.932515154356665</v>
      </c>
      <c r="J372" s="3">
        <v>1.0988752525726111</v>
      </c>
      <c r="K372" t="s">
        <v>73</v>
      </c>
    </row>
    <row r="373" spans="1:11" x14ac:dyDescent="0.35">
      <c r="A373">
        <v>372</v>
      </c>
      <c r="B373" t="s">
        <v>11</v>
      </c>
      <c r="C373" t="s">
        <v>11</v>
      </c>
      <c r="D373" t="s">
        <v>140</v>
      </c>
      <c r="E373" s="2">
        <v>44124.584606481483</v>
      </c>
      <c r="F373" s="2">
        <v>44124.585115740738</v>
      </c>
      <c r="G373" s="3">
        <v>5.0925925461342558E-4</v>
      </c>
      <c r="H373" s="3">
        <v>44.268015873906947</v>
      </c>
      <c r="I373" s="3">
        <v>0.73780026456511583</v>
      </c>
      <c r="J373" s="3">
        <v>1.2296671076085263E-2</v>
      </c>
    </row>
    <row r="374" spans="1:11" x14ac:dyDescent="0.35">
      <c r="A374">
        <v>373</v>
      </c>
      <c r="B374" t="s">
        <v>2</v>
      </c>
      <c r="C374" t="s">
        <v>132</v>
      </c>
      <c r="D374" t="s">
        <v>140</v>
      </c>
      <c r="E374" s="2">
        <v>44124.58520833333</v>
      </c>
      <c r="F374" s="2">
        <v>44124.58803240741</v>
      </c>
      <c r="G374" s="3">
        <v>2.8240740793989971E-3</v>
      </c>
      <c r="H374" s="3">
        <v>245.48627254859153</v>
      </c>
      <c r="I374" s="3">
        <v>4.0914378758098584</v>
      </c>
      <c r="J374" s="3">
        <v>6.8190631263497642E-2</v>
      </c>
      <c r="K374" t="s">
        <v>41</v>
      </c>
    </row>
    <row r="375" spans="1:11" x14ac:dyDescent="0.35">
      <c r="A375">
        <v>374</v>
      </c>
      <c r="B375" t="s">
        <v>2</v>
      </c>
      <c r="C375" t="s">
        <v>132</v>
      </c>
      <c r="D375" t="s">
        <v>140</v>
      </c>
      <c r="E375" s="2">
        <v>44124.588182870371</v>
      </c>
      <c r="F375" s="2">
        <v>44124.625937500001</v>
      </c>
      <c r="G375" s="3">
        <v>3.77546296294895E-2</v>
      </c>
      <c r="H375" s="3">
        <v>3281.8697522157072</v>
      </c>
      <c r="I375" s="3">
        <v>54.69782920359512</v>
      </c>
      <c r="J375" s="3">
        <v>0.91163048672658531</v>
      </c>
      <c r="K375" t="s">
        <v>42</v>
      </c>
    </row>
    <row r="376" spans="1:11" x14ac:dyDescent="0.35">
      <c r="A376">
        <v>375</v>
      </c>
      <c r="B376" t="s">
        <v>2</v>
      </c>
      <c r="C376" t="s">
        <v>96</v>
      </c>
      <c r="D376" t="s">
        <v>140</v>
      </c>
      <c r="E376" s="2">
        <v>44124.62604166667</v>
      </c>
      <c r="F376" s="2">
        <v>44124.660520833335</v>
      </c>
      <c r="G376" s="3">
        <v>3.4479166664823424E-2</v>
      </c>
      <c r="H376" s="3">
        <v>2997.1459200993936</v>
      </c>
      <c r="I376" s="3">
        <v>49.952432001656561</v>
      </c>
      <c r="J376" s="3">
        <v>0.83254053336094269</v>
      </c>
    </row>
    <row r="377" spans="1:11" x14ac:dyDescent="0.35">
      <c r="A377">
        <v>376</v>
      </c>
      <c r="B377" t="s">
        <v>16</v>
      </c>
      <c r="C377" t="s">
        <v>16</v>
      </c>
      <c r="D377" t="s">
        <v>140</v>
      </c>
      <c r="E377" s="2">
        <v>44124.660613425927</v>
      </c>
      <c r="F377" s="2">
        <v>44124.667245370372</v>
      </c>
      <c r="G377" s="3">
        <v>6.6319444449618459E-3</v>
      </c>
      <c r="H377" s="3">
        <v>576.49030293479188</v>
      </c>
      <c r="I377" s="3">
        <v>9.6081717155798643</v>
      </c>
      <c r="J377" s="3">
        <v>0.16013619525966441</v>
      </c>
    </row>
    <row r="378" spans="1:11" x14ac:dyDescent="0.35">
      <c r="A378">
        <v>377</v>
      </c>
      <c r="B378" t="s">
        <v>2</v>
      </c>
      <c r="C378" t="s">
        <v>132</v>
      </c>
      <c r="D378" t="s">
        <v>140</v>
      </c>
      <c r="E378" s="2">
        <v>44124.667407407411</v>
      </c>
      <c r="F378" s="2">
        <v>44124.692233796297</v>
      </c>
      <c r="G378" s="3">
        <v>2.4826388886140194E-2</v>
      </c>
      <c r="H378" s="3">
        <v>2158.0657933014772</v>
      </c>
      <c r="I378" s="3">
        <v>35.967763221691285</v>
      </c>
      <c r="J378" s="3">
        <v>0.59946272036152137</v>
      </c>
      <c r="K378" t="s">
        <v>42</v>
      </c>
    </row>
    <row r="379" spans="1:11" x14ac:dyDescent="0.35">
      <c r="A379">
        <v>378</v>
      </c>
      <c r="B379" t="s">
        <v>2</v>
      </c>
      <c r="C379" t="s">
        <v>132</v>
      </c>
      <c r="D379" t="s">
        <v>140</v>
      </c>
      <c r="E379" s="2">
        <v>44124.692314814813</v>
      </c>
      <c r="F379" s="2">
        <v>44124.727685185186</v>
      </c>
      <c r="G379" s="3">
        <v>3.5370370373129845E-2</v>
      </c>
      <c r="H379" s="3">
        <v>3074.6149489855566</v>
      </c>
      <c r="I379" s="3">
        <v>51.243582483092609</v>
      </c>
      <c r="J379" s="3">
        <v>0.85405970805154352</v>
      </c>
      <c r="K379" t="s">
        <v>41</v>
      </c>
    </row>
    <row r="380" spans="1:11" x14ac:dyDescent="0.35">
      <c r="A380">
        <v>379</v>
      </c>
      <c r="B380" t="s">
        <v>2</v>
      </c>
      <c r="C380" t="s">
        <v>132</v>
      </c>
      <c r="D380" t="s">
        <v>140</v>
      </c>
      <c r="E380" s="2">
        <v>44124.80232638889</v>
      </c>
      <c r="F380" s="2">
        <v>44124.834548611114</v>
      </c>
      <c r="G380" s="3">
        <v>3.2222222223936114E-2</v>
      </c>
      <c r="H380" s="3">
        <v>2800.9581209958374</v>
      </c>
      <c r="I380" s="3">
        <v>46.682635349930621</v>
      </c>
      <c r="J380" s="3">
        <v>0.77804392249884369</v>
      </c>
      <c r="K380" t="s">
        <v>42</v>
      </c>
    </row>
    <row r="381" spans="1:11" x14ac:dyDescent="0.35">
      <c r="A381">
        <v>380</v>
      </c>
      <c r="B381" t="s">
        <v>2</v>
      </c>
      <c r="C381" t="s">
        <v>132</v>
      </c>
      <c r="D381" t="s">
        <v>140</v>
      </c>
      <c r="E381" s="2">
        <v>44124.84710648148</v>
      </c>
      <c r="F381" s="2">
        <v>44124.852106481485</v>
      </c>
      <c r="G381" s="3">
        <v>5.0000000046566129E-3</v>
      </c>
      <c r="H381" s="3">
        <v>434.63143294998372</v>
      </c>
      <c r="I381" s="3">
        <v>7.2438572158330619</v>
      </c>
      <c r="J381" s="3">
        <v>0.12073095359721769</v>
      </c>
      <c r="K381" t="s">
        <v>42</v>
      </c>
    </row>
    <row r="382" spans="1:11" x14ac:dyDescent="0.35">
      <c r="A382">
        <v>381</v>
      </c>
      <c r="B382" t="s">
        <v>11</v>
      </c>
      <c r="C382" t="s">
        <v>11</v>
      </c>
      <c r="D382" t="s">
        <v>140</v>
      </c>
      <c r="E382" s="2">
        <v>44124.85229166667</v>
      </c>
      <c r="F382" s="2">
        <v>44124.862858796296</v>
      </c>
      <c r="G382" s="3">
        <v>1.056712962599704E-2</v>
      </c>
      <c r="H382" s="3">
        <v>918.56133744758688</v>
      </c>
      <c r="I382" s="3">
        <v>15.309355624126448</v>
      </c>
      <c r="J382" s="3">
        <v>0.25515592706877416</v>
      </c>
    </row>
    <row r="383" spans="1:11" x14ac:dyDescent="0.35">
      <c r="A383">
        <v>382</v>
      </c>
      <c r="B383" t="s">
        <v>11</v>
      </c>
      <c r="C383" t="s">
        <v>11</v>
      </c>
      <c r="D383" t="s">
        <v>140</v>
      </c>
      <c r="E383" s="2">
        <v>44125.324699074074</v>
      </c>
      <c r="F383" s="2">
        <v>44125.328993055555</v>
      </c>
      <c r="G383" s="3">
        <v>4.2939814811688848E-3</v>
      </c>
      <c r="H383" s="3">
        <v>373.25986449659985</v>
      </c>
      <c r="I383" s="3">
        <v>6.2209977416099971</v>
      </c>
      <c r="J383" s="3">
        <v>0.10368329569349995</v>
      </c>
    </row>
    <row r="384" spans="1:11" x14ac:dyDescent="0.35">
      <c r="A384">
        <v>383</v>
      </c>
      <c r="B384" t="s">
        <v>2</v>
      </c>
      <c r="C384" t="s">
        <v>72</v>
      </c>
      <c r="D384" t="s">
        <v>140</v>
      </c>
      <c r="E384" s="2">
        <v>44125.329108796293</v>
      </c>
      <c r="F384" s="2">
        <v>44125.340833333335</v>
      </c>
      <c r="G384" s="3">
        <v>1.1724537042027805E-2</v>
      </c>
      <c r="H384" s="3">
        <v>1019.1704661011652</v>
      </c>
      <c r="I384" s="3">
        <v>16.986174435019418</v>
      </c>
      <c r="J384" s="3">
        <v>0.28310290725032361</v>
      </c>
      <c r="K384" t="s">
        <v>73</v>
      </c>
    </row>
    <row r="385" spans="1:11" x14ac:dyDescent="0.35">
      <c r="A385">
        <v>384</v>
      </c>
      <c r="B385" t="s">
        <v>16</v>
      </c>
      <c r="C385" t="s">
        <v>16</v>
      </c>
      <c r="D385" t="s">
        <v>140</v>
      </c>
      <c r="E385" s="2">
        <v>44125.340960648151</v>
      </c>
      <c r="F385" s="2">
        <v>44125.348738425928</v>
      </c>
      <c r="G385" s="3">
        <v>7.7777777769370005E-3</v>
      </c>
      <c r="H385" s="3">
        <v>676.09333944167247</v>
      </c>
      <c r="I385" s="3">
        <v>11.268222324027874</v>
      </c>
      <c r="J385" s="3">
        <v>0.18780370540046457</v>
      </c>
    </row>
    <row r="386" spans="1:11" x14ac:dyDescent="0.35">
      <c r="A386">
        <v>385</v>
      </c>
      <c r="B386" t="s">
        <v>2</v>
      </c>
      <c r="C386" t="s">
        <v>132</v>
      </c>
      <c r="D386" t="s">
        <v>140</v>
      </c>
      <c r="E386" s="2">
        <v>44125.348958333336</v>
      </c>
      <c r="F386" s="2">
        <v>44125.375810185185</v>
      </c>
      <c r="G386" s="3">
        <v>2.6851851849642117E-2</v>
      </c>
      <c r="H386" s="3">
        <v>2334.1317671802949</v>
      </c>
      <c r="I386" s="3">
        <v>38.902196119671579</v>
      </c>
      <c r="J386" s="3">
        <v>0.64836993532785969</v>
      </c>
      <c r="K386" t="s">
        <v>42</v>
      </c>
    </row>
    <row r="387" spans="1:11" x14ac:dyDescent="0.35">
      <c r="A387">
        <v>386</v>
      </c>
      <c r="B387" t="s">
        <v>11</v>
      </c>
      <c r="C387" t="s">
        <v>11</v>
      </c>
      <c r="D387" t="s">
        <v>140</v>
      </c>
      <c r="E387" s="2">
        <v>44125.375868055555</v>
      </c>
      <c r="F387" s="2">
        <v>44125.377002314817</v>
      </c>
      <c r="G387" s="3">
        <v>1.1342592624714598E-3</v>
      </c>
      <c r="H387" s="3">
        <v>98.596945625126892</v>
      </c>
      <c r="I387" s="3">
        <v>1.6432824270854482</v>
      </c>
      <c r="J387" s="3">
        <v>2.7388040451424137E-2</v>
      </c>
    </row>
    <row r="388" spans="1:11" x14ac:dyDescent="0.35">
      <c r="A388">
        <v>387</v>
      </c>
      <c r="B388" t="s">
        <v>2</v>
      </c>
      <c r="C388" t="s">
        <v>132</v>
      </c>
      <c r="D388" t="s">
        <v>140</v>
      </c>
      <c r="E388" s="2">
        <v>44125.377118055556</v>
      </c>
      <c r="F388" s="2">
        <v>44125.39570601852</v>
      </c>
      <c r="G388" s="3">
        <v>1.8587962964375038E-2</v>
      </c>
      <c r="H388" s="3">
        <v>1615.7825942606951</v>
      </c>
      <c r="I388" s="3">
        <v>26.929709904344918</v>
      </c>
      <c r="J388" s="3">
        <v>0.44882849840574862</v>
      </c>
      <c r="K388" t="s">
        <v>42</v>
      </c>
    </row>
    <row r="389" spans="1:11" x14ac:dyDescent="0.35">
      <c r="A389">
        <v>388</v>
      </c>
      <c r="B389" t="s">
        <v>16</v>
      </c>
      <c r="C389" t="s">
        <v>16</v>
      </c>
      <c r="D389" t="s">
        <v>140</v>
      </c>
      <c r="E389" s="2">
        <v>44125.395821759259</v>
      </c>
      <c r="F389" s="2">
        <v>44125.397662037038</v>
      </c>
      <c r="G389" s="3">
        <v>1.8402777786832303E-3</v>
      </c>
      <c r="H389" s="3">
        <v>159.9685134460388</v>
      </c>
      <c r="I389" s="3">
        <v>2.6661418907673133</v>
      </c>
      <c r="J389" s="3">
        <v>4.4435698179455224E-2</v>
      </c>
    </row>
    <row r="390" spans="1:11" x14ac:dyDescent="0.35">
      <c r="A390">
        <v>389</v>
      </c>
      <c r="B390" t="s">
        <v>2</v>
      </c>
      <c r="C390" t="s">
        <v>132</v>
      </c>
      <c r="D390" t="s">
        <v>140</v>
      </c>
      <c r="E390" s="2">
        <v>44125.397835648146</v>
      </c>
      <c r="F390" s="2">
        <v>44125.455370370371</v>
      </c>
      <c r="G390" s="3">
        <v>5.7534722225682344E-2</v>
      </c>
      <c r="H390" s="3">
        <v>5001.2797484077137</v>
      </c>
      <c r="I390" s="3">
        <v>83.3546624734619</v>
      </c>
      <c r="J390" s="3">
        <v>1.3892443745576983</v>
      </c>
      <c r="K390" t="s">
        <v>42</v>
      </c>
    </row>
    <row r="391" spans="1:11" x14ac:dyDescent="0.35">
      <c r="A391">
        <v>390</v>
      </c>
      <c r="B391" t="s">
        <v>11</v>
      </c>
      <c r="C391" t="s">
        <v>11</v>
      </c>
      <c r="D391" t="s">
        <v>140</v>
      </c>
      <c r="E391" s="2">
        <v>44125.455462962964</v>
      </c>
      <c r="F391" s="2">
        <v>44125.45652777778</v>
      </c>
      <c r="G391" s="3">
        <v>1.0648148163454607E-3</v>
      </c>
      <c r="H391" s="3">
        <v>92.560397804716672</v>
      </c>
      <c r="I391" s="3">
        <v>1.5426732967452779</v>
      </c>
      <c r="J391" s="3">
        <v>2.5711221612421297E-2</v>
      </c>
    </row>
    <row r="392" spans="1:11" x14ac:dyDescent="0.35">
      <c r="A392">
        <v>391</v>
      </c>
      <c r="B392" t="s">
        <v>2</v>
      </c>
      <c r="C392" t="s">
        <v>132</v>
      </c>
      <c r="D392" t="s">
        <v>140</v>
      </c>
      <c r="E392" s="2">
        <v>44125.456631944442</v>
      </c>
      <c r="F392" s="2">
        <v>44125.49560185185</v>
      </c>
      <c r="G392" s="3">
        <v>3.8969907407590654E-2</v>
      </c>
      <c r="H392" s="3">
        <v>3387.5093365429984</v>
      </c>
      <c r="I392" s="3">
        <v>56.458488942383305</v>
      </c>
      <c r="J392" s="3">
        <v>0.94097481570638841</v>
      </c>
      <c r="K392" t="s">
        <v>42</v>
      </c>
    </row>
    <row r="393" spans="1:11" x14ac:dyDescent="0.35">
      <c r="A393">
        <v>392</v>
      </c>
      <c r="B393" t="s">
        <v>16</v>
      </c>
      <c r="C393" t="s">
        <v>16</v>
      </c>
      <c r="D393" t="s">
        <v>140</v>
      </c>
      <c r="E393" s="2">
        <v>44125.495694444442</v>
      </c>
      <c r="F393" s="2">
        <v>44125.512557870374</v>
      </c>
      <c r="G393" s="3">
        <v>1.6863425931660458E-2</v>
      </c>
      <c r="H393" s="3">
        <v>1465.8749940594973</v>
      </c>
      <c r="I393" s="3">
        <v>24.431249900991624</v>
      </c>
      <c r="J393" s="3">
        <v>0.4071874983498604</v>
      </c>
    </row>
    <row r="394" spans="1:11" x14ac:dyDescent="0.35">
      <c r="A394">
        <v>393</v>
      </c>
      <c r="B394" t="s">
        <v>2</v>
      </c>
      <c r="C394" t="s">
        <v>132</v>
      </c>
      <c r="D394" t="s">
        <v>140</v>
      </c>
      <c r="E394" s="2">
        <v>44125.512708333335</v>
      </c>
      <c r="F394" s="2">
        <v>44125.549884259257</v>
      </c>
      <c r="G394" s="3">
        <v>3.7175925921474118E-2</v>
      </c>
      <c r="H394" s="3">
        <v>3231.5651878889184</v>
      </c>
      <c r="I394" s="3">
        <v>53.859419798148643</v>
      </c>
      <c r="J394" s="3">
        <v>0.89765699663581067</v>
      </c>
      <c r="K394" t="s">
        <v>42</v>
      </c>
    </row>
    <row r="395" spans="1:11" x14ac:dyDescent="0.35">
      <c r="A395">
        <v>394</v>
      </c>
      <c r="B395" t="s">
        <v>2</v>
      </c>
      <c r="C395" t="s">
        <v>132</v>
      </c>
      <c r="D395" t="s">
        <v>140</v>
      </c>
      <c r="E395" s="2">
        <v>44125.550011574072</v>
      </c>
      <c r="F395" s="2">
        <v>44125.550775462965</v>
      </c>
      <c r="G395" s="3">
        <v>7.638888928340748E-4</v>
      </c>
      <c r="H395" s="3">
        <v>66.402024759568391</v>
      </c>
      <c r="I395" s="3">
        <v>1.1067004126594733</v>
      </c>
      <c r="J395" s="3">
        <v>1.8445006877657887E-2</v>
      </c>
      <c r="K395" t="s">
        <v>41</v>
      </c>
    </row>
    <row r="396" spans="1:11" x14ac:dyDescent="0.35">
      <c r="A396">
        <v>395</v>
      </c>
      <c r="B396" t="s">
        <v>2</v>
      </c>
      <c r="C396" t="s">
        <v>132</v>
      </c>
      <c r="D396" t="s">
        <v>140</v>
      </c>
      <c r="E396" s="2">
        <v>44125.550995370373</v>
      </c>
      <c r="F396" s="2">
        <v>44125.587824074071</v>
      </c>
      <c r="G396" s="3">
        <v>3.682870369812008E-2</v>
      </c>
      <c r="H396" s="3">
        <v>3201.3824494193391</v>
      </c>
      <c r="I396" s="3">
        <v>53.356374156988984</v>
      </c>
      <c r="J396" s="3">
        <v>0.88927290261648306</v>
      </c>
      <c r="K396" t="s">
        <v>42</v>
      </c>
    </row>
    <row r="397" spans="1:11" x14ac:dyDescent="0.35">
      <c r="A397">
        <v>396</v>
      </c>
      <c r="B397" t="s">
        <v>16</v>
      </c>
      <c r="C397" t="s">
        <v>16</v>
      </c>
      <c r="D397" t="s">
        <v>140</v>
      </c>
      <c r="E397" s="2">
        <v>44125.58797453704</v>
      </c>
      <c r="F397" s="2">
        <v>44125.594236111108</v>
      </c>
      <c r="G397" s="3">
        <v>6.2615740680485032E-3</v>
      </c>
      <c r="H397" s="3">
        <v>544.29538143676143</v>
      </c>
      <c r="I397" s="3">
        <v>9.07158969061269</v>
      </c>
      <c r="J397" s="3">
        <v>0.1511931615102115</v>
      </c>
    </row>
    <row r="398" spans="1:11" x14ac:dyDescent="0.35">
      <c r="A398">
        <v>397</v>
      </c>
      <c r="B398" t="s">
        <v>2</v>
      </c>
      <c r="C398" t="s">
        <v>132</v>
      </c>
      <c r="D398" t="s">
        <v>140</v>
      </c>
      <c r="E398" s="2">
        <v>44125.594398148147</v>
      </c>
      <c r="F398" s="2">
        <v>44125.598668981482</v>
      </c>
      <c r="G398" s="3">
        <v>4.2708333348855376E-3</v>
      </c>
      <c r="H398" s="3">
        <v>371.24768210062041</v>
      </c>
      <c r="I398" s="3">
        <v>6.1874613683436737</v>
      </c>
      <c r="J398" s="3">
        <v>0.10312435613906122</v>
      </c>
      <c r="K398" t="s">
        <v>42</v>
      </c>
    </row>
    <row r="399" spans="1:11" x14ac:dyDescent="0.35">
      <c r="A399">
        <v>398</v>
      </c>
      <c r="B399" t="s">
        <v>11</v>
      </c>
      <c r="C399" t="s">
        <v>11</v>
      </c>
      <c r="D399" t="s">
        <v>140</v>
      </c>
      <c r="E399" s="2">
        <v>44125.598761574074</v>
      </c>
      <c r="F399" s="2">
        <v>44125.607881944445</v>
      </c>
      <c r="G399" s="3">
        <v>9.1203703705104999E-3</v>
      </c>
      <c r="H399" s="3">
        <v>792.79992789555797</v>
      </c>
      <c r="I399" s="3">
        <v>13.213332131592633</v>
      </c>
      <c r="J399" s="3">
        <v>0.22022220219321056</v>
      </c>
    </row>
    <row r="400" spans="1:11" x14ac:dyDescent="0.35">
      <c r="A400">
        <v>399</v>
      </c>
      <c r="B400" t="s">
        <v>2</v>
      </c>
      <c r="C400" t="s">
        <v>132</v>
      </c>
      <c r="D400" t="s">
        <v>140</v>
      </c>
      <c r="E400" s="2">
        <v>44125.608055555553</v>
      </c>
      <c r="F400" s="2">
        <v>44125.625162037039</v>
      </c>
      <c r="G400" s="3">
        <v>1.7106481485825498E-2</v>
      </c>
      <c r="H400" s="3">
        <v>1487.002910798461</v>
      </c>
      <c r="I400" s="3">
        <v>24.783381846641017</v>
      </c>
      <c r="J400" s="3">
        <v>0.41305636411068364</v>
      </c>
      <c r="K400" t="s">
        <v>42</v>
      </c>
    </row>
    <row r="401" spans="1:11" x14ac:dyDescent="0.35">
      <c r="A401">
        <v>400</v>
      </c>
      <c r="B401" t="s">
        <v>11</v>
      </c>
      <c r="C401" t="s">
        <v>11</v>
      </c>
      <c r="D401" t="s">
        <v>140</v>
      </c>
      <c r="E401" s="2">
        <v>44125.625243055554</v>
      </c>
      <c r="F401" s="2">
        <v>44125.631712962961</v>
      </c>
      <c r="G401" s="3">
        <v>6.4699074064265005E-3</v>
      </c>
      <c r="H401" s="3">
        <v>562.40502489799201</v>
      </c>
      <c r="I401" s="3">
        <v>9.3734170816331996</v>
      </c>
      <c r="J401" s="3">
        <v>0.15622361802721998</v>
      </c>
    </row>
    <row r="402" spans="1:11" x14ac:dyDescent="0.35">
      <c r="A402">
        <v>401</v>
      </c>
      <c r="B402" t="s">
        <v>2</v>
      </c>
      <c r="C402" t="s">
        <v>132</v>
      </c>
      <c r="D402" t="s">
        <v>140</v>
      </c>
      <c r="E402" s="2">
        <v>44125.63181712963</v>
      </c>
      <c r="F402" s="2">
        <v>44125.64949074074</v>
      </c>
      <c r="G402" s="3">
        <v>1.767361110978527E-2</v>
      </c>
      <c r="H402" s="3">
        <v>1536.3013829785525</v>
      </c>
      <c r="I402" s="3">
        <v>25.605023049642543</v>
      </c>
      <c r="J402" s="3">
        <v>0.42675038416070904</v>
      </c>
      <c r="K402" t="s">
        <v>42</v>
      </c>
    </row>
    <row r="403" spans="1:11" x14ac:dyDescent="0.35">
      <c r="A403">
        <v>402</v>
      </c>
      <c r="B403" t="s">
        <v>11</v>
      </c>
      <c r="C403" t="s">
        <v>11</v>
      </c>
      <c r="D403" t="s">
        <v>140</v>
      </c>
      <c r="E403" s="2">
        <v>44125.649571759262</v>
      </c>
      <c r="F403" s="2">
        <v>44125.649884259263</v>
      </c>
      <c r="G403" s="3">
        <v>3.125000002910383E-4</v>
      </c>
      <c r="H403" s="3">
        <v>27.164464559373982</v>
      </c>
      <c r="I403" s="3">
        <v>0.45274107598956637</v>
      </c>
      <c r="J403" s="3">
        <v>7.5456845998261059E-3</v>
      </c>
    </row>
    <row r="404" spans="1:11" x14ac:dyDescent="0.35">
      <c r="A404">
        <v>403</v>
      </c>
      <c r="B404" t="s">
        <v>2</v>
      </c>
      <c r="C404" t="s">
        <v>132</v>
      </c>
      <c r="D404" t="s">
        <v>140</v>
      </c>
      <c r="E404" s="2">
        <v>44125.650011574071</v>
      </c>
      <c r="F404" s="2">
        <v>44125.684108796297</v>
      </c>
      <c r="G404" s="3">
        <v>3.4097222225682344E-2</v>
      </c>
      <c r="H404" s="3">
        <v>2963.9449083520813</v>
      </c>
      <c r="I404" s="3">
        <v>49.399081805868022</v>
      </c>
      <c r="J404" s="3">
        <v>0.82331803009780036</v>
      </c>
      <c r="K404" t="s">
        <v>42</v>
      </c>
    </row>
    <row r="405" spans="1:11" x14ac:dyDescent="0.35">
      <c r="A405">
        <v>404</v>
      </c>
      <c r="B405" t="s">
        <v>16</v>
      </c>
      <c r="C405" t="s">
        <v>16</v>
      </c>
      <c r="D405" t="s">
        <v>140</v>
      </c>
      <c r="E405" s="2">
        <v>44125.684201388889</v>
      </c>
      <c r="F405" s="2">
        <v>44125.691747685189</v>
      </c>
      <c r="G405" s="3">
        <v>7.5462962995516136E-3</v>
      </c>
      <c r="H405" s="3">
        <v>655.97151421693434</v>
      </c>
      <c r="I405" s="3">
        <v>10.932858570282239</v>
      </c>
      <c r="J405" s="3">
        <v>0.18221430950470399</v>
      </c>
    </row>
    <row r="406" spans="1:11" x14ac:dyDescent="0.35">
      <c r="A406">
        <v>405</v>
      </c>
      <c r="B406" t="s">
        <v>11</v>
      </c>
      <c r="C406" t="s">
        <v>11</v>
      </c>
      <c r="D406" t="s">
        <v>140</v>
      </c>
      <c r="E406" s="2">
        <v>44125.691840277781</v>
      </c>
      <c r="F406" s="2">
        <v>44125.692974537036</v>
      </c>
      <c r="G406" s="3">
        <v>1.1342592551955022E-3</v>
      </c>
      <c r="H406" s="3">
        <v>98.596944992654912</v>
      </c>
      <c r="I406" s="3">
        <v>1.6432824165442486</v>
      </c>
      <c r="J406" s="3">
        <v>2.7388040275737477E-2</v>
      </c>
    </row>
    <row r="407" spans="1:11" x14ac:dyDescent="0.35">
      <c r="A407">
        <v>406</v>
      </c>
      <c r="B407" t="s">
        <v>2</v>
      </c>
      <c r="C407" t="s">
        <v>132</v>
      </c>
      <c r="D407" t="s">
        <v>140</v>
      </c>
      <c r="E407" s="2">
        <v>44125.693078703705</v>
      </c>
      <c r="F407" s="2">
        <v>44125.720763888887</v>
      </c>
      <c r="G407" s="3">
        <v>2.7685185181326233E-2</v>
      </c>
      <c r="H407" s="3">
        <v>2406.5703391278016</v>
      </c>
      <c r="I407" s="3">
        <v>40.109505652130025</v>
      </c>
      <c r="J407" s="3">
        <v>0.66849176086883377</v>
      </c>
      <c r="K407" t="s">
        <v>42</v>
      </c>
    </row>
    <row r="408" spans="1:11" x14ac:dyDescent="0.35">
      <c r="A408">
        <v>407</v>
      </c>
      <c r="B408" t="s">
        <v>2</v>
      </c>
      <c r="C408" t="s">
        <v>132</v>
      </c>
      <c r="D408" t="s">
        <v>140</v>
      </c>
      <c r="E408" s="2">
        <v>44125.854803240742</v>
      </c>
      <c r="F408" s="2">
        <v>44125.85528935185</v>
      </c>
      <c r="G408" s="3">
        <v>4.8611110833007842E-4</v>
      </c>
      <c r="H408" s="3">
        <v>42.255833477927538</v>
      </c>
      <c r="I408" s="3">
        <v>0.7042638912987923</v>
      </c>
      <c r="J408" s="3">
        <v>1.1737731521646538E-2</v>
      </c>
      <c r="K408" t="s">
        <v>42</v>
      </c>
    </row>
    <row r="409" spans="1:11" x14ac:dyDescent="0.35">
      <c r="A409">
        <v>408</v>
      </c>
      <c r="B409" t="s">
        <v>11</v>
      </c>
      <c r="C409" t="s">
        <v>11</v>
      </c>
      <c r="D409" t="s">
        <v>140</v>
      </c>
      <c r="E409" s="2">
        <v>44126.325289351851</v>
      </c>
      <c r="F409" s="2">
        <v>44126.338287037041</v>
      </c>
      <c r="G409" s="3">
        <v>1.2997685189475305E-2</v>
      </c>
      <c r="H409" s="3">
        <v>1129.8405067346405</v>
      </c>
      <c r="I409" s="3">
        <v>18.830675112244009</v>
      </c>
      <c r="J409" s="3">
        <v>0.31384458520406683</v>
      </c>
    </row>
    <row r="410" spans="1:11" x14ac:dyDescent="0.35">
      <c r="A410">
        <v>409</v>
      </c>
      <c r="B410" t="s">
        <v>2</v>
      </c>
      <c r="C410" t="s">
        <v>132</v>
      </c>
      <c r="D410" t="s">
        <v>140</v>
      </c>
      <c r="E410" s="2">
        <v>44126.338368055556</v>
      </c>
      <c r="F410" s="2">
        <v>44126.34202546296</v>
      </c>
      <c r="G410" s="3">
        <v>3.6574074038071558E-3</v>
      </c>
      <c r="H410" s="3">
        <v>317.92484386362617</v>
      </c>
      <c r="I410" s="3">
        <v>5.2987473977271025</v>
      </c>
      <c r="J410" s="3">
        <v>8.8312456628785035E-2</v>
      </c>
      <c r="K410" t="s">
        <v>41</v>
      </c>
    </row>
    <row r="411" spans="1:11" x14ac:dyDescent="0.35">
      <c r="A411">
        <v>410</v>
      </c>
      <c r="B411" t="s">
        <v>11</v>
      </c>
      <c r="C411" t="s">
        <v>11</v>
      </c>
      <c r="D411" t="s">
        <v>140</v>
      </c>
      <c r="E411" s="2">
        <v>44126.342164351852</v>
      </c>
      <c r="F411" s="2">
        <v>44126.342719907407</v>
      </c>
      <c r="G411" s="3">
        <v>5.5555555445607752E-4</v>
      </c>
      <c r="H411" s="3">
        <v>48.292381298337752</v>
      </c>
      <c r="I411" s="3">
        <v>0.80487302163896257</v>
      </c>
      <c r="J411" s="3">
        <v>1.3414550360649376E-2</v>
      </c>
    </row>
    <row r="412" spans="1:11" x14ac:dyDescent="0.35">
      <c r="A412">
        <v>411</v>
      </c>
      <c r="B412" t="s">
        <v>2</v>
      </c>
      <c r="C412" t="s">
        <v>132</v>
      </c>
      <c r="D412" t="s">
        <v>140</v>
      </c>
      <c r="E412" s="2">
        <v>44126.342858796299</v>
      </c>
      <c r="F412" s="2">
        <v>44126.399131944447</v>
      </c>
      <c r="G412" s="3">
        <v>5.6273148147738539E-2</v>
      </c>
      <c r="H412" s="3">
        <v>4891.615798655992</v>
      </c>
      <c r="I412" s="3">
        <v>81.526929977599863</v>
      </c>
      <c r="J412" s="3">
        <v>1.358782166293331</v>
      </c>
      <c r="K412" t="s">
        <v>42</v>
      </c>
    </row>
    <row r="413" spans="1:11" x14ac:dyDescent="0.35">
      <c r="A413">
        <v>412</v>
      </c>
      <c r="B413" t="s">
        <v>11</v>
      </c>
      <c r="C413" t="s">
        <v>11</v>
      </c>
      <c r="D413" t="s">
        <v>140</v>
      </c>
      <c r="E413" s="2">
        <v>44126.399201388886</v>
      </c>
      <c r="F413" s="2">
        <v>44126.400069444448</v>
      </c>
      <c r="G413" s="3">
        <v>8.6805556202307343E-4</v>
      </c>
      <c r="H413" s="3">
        <v>75.456846490183707</v>
      </c>
      <c r="I413" s="3">
        <v>1.2576141081697285</v>
      </c>
      <c r="J413" s="3">
        <v>2.0960235136162141E-2</v>
      </c>
    </row>
    <row r="414" spans="1:11" x14ac:dyDescent="0.35">
      <c r="A414">
        <v>413</v>
      </c>
      <c r="B414" t="s">
        <v>2</v>
      </c>
      <c r="C414" t="s">
        <v>132</v>
      </c>
      <c r="D414" t="s">
        <v>140</v>
      </c>
      <c r="E414" s="2">
        <v>44126.400150462963</v>
      </c>
      <c r="F414" s="2">
        <v>44126.402118055557</v>
      </c>
      <c r="G414" s="3">
        <v>1.9675925941555761E-3</v>
      </c>
      <c r="H414" s="3">
        <v>171.03551757263352</v>
      </c>
      <c r="I414" s="3">
        <v>2.850591959543892</v>
      </c>
      <c r="J414" s="3">
        <v>4.7509865992398197E-2</v>
      </c>
      <c r="K414" t="s">
        <v>41</v>
      </c>
    </row>
    <row r="415" spans="1:11" x14ac:dyDescent="0.35">
      <c r="A415">
        <v>414</v>
      </c>
      <c r="B415" t="s">
        <v>16</v>
      </c>
      <c r="C415" t="s">
        <v>16</v>
      </c>
      <c r="D415" t="s">
        <v>140</v>
      </c>
      <c r="E415" s="2">
        <v>44126.402233796296</v>
      </c>
      <c r="F415" s="2">
        <v>44126.405868055554</v>
      </c>
      <c r="G415" s="3">
        <v>3.6342592575238086E-3</v>
      </c>
      <c r="H415" s="3">
        <v>315.91266146764679</v>
      </c>
      <c r="I415" s="3">
        <v>5.2652110244607799</v>
      </c>
      <c r="J415" s="3">
        <v>8.7753517074346338E-2</v>
      </c>
    </row>
    <row r="416" spans="1:11" x14ac:dyDescent="0.35">
      <c r="A416">
        <v>415</v>
      </c>
      <c r="B416" t="s">
        <v>2</v>
      </c>
      <c r="C416" t="s">
        <v>132</v>
      </c>
      <c r="D416" t="s">
        <v>140</v>
      </c>
      <c r="E416" s="2">
        <v>44126.405960648146</v>
      </c>
      <c r="F416" s="2">
        <v>44126.461585648147</v>
      </c>
      <c r="G416" s="3">
        <v>5.5625000000873115E-2</v>
      </c>
      <c r="H416" s="3">
        <v>4835.2746871412646</v>
      </c>
      <c r="I416" s="3">
        <v>80.587911452354405</v>
      </c>
      <c r="J416" s="3">
        <v>1.3431318575392401</v>
      </c>
      <c r="K416" t="s">
        <v>42</v>
      </c>
    </row>
    <row r="417" spans="1:11" x14ac:dyDescent="0.35">
      <c r="A417">
        <v>416</v>
      </c>
      <c r="B417" t="s">
        <v>11</v>
      </c>
      <c r="C417" t="s">
        <v>11</v>
      </c>
      <c r="D417" t="s">
        <v>140</v>
      </c>
      <c r="E417" s="2">
        <v>44126.461701388886</v>
      </c>
      <c r="F417" s="2">
        <v>44126.463842592595</v>
      </c>
      <c r="G417" s="3">
        <v>2.1412037094705738E-3</v>
      </c>
      <c r="H417" s="3">
        <v>186.12688712365906</v>
      </c>
      <c r="I417" s="3">
        <v>3.1021147853943178</v>
      </c>
      <c r="J417" s="3">
        <v>5.1701913089905301E-2</v>
      </c>
    </row>
    <row r="418" spans="1:11" x14ac:dyDescent="0.35">
      <c r="A418">
        <v>417</v>
      </c>
      <c r="B418" t="s">
        <v>16</v>
      </c>
      <c r="C418" t="s">
        <v>16</v>
      </c>
      <c r="D418" t="s">
        <v>140</v>
      </c>
      <c r="E418" s="2">
        <v>44126.463993055557</v>
      </c>
      <c r="F418" s="2">
        <v>44126.466921296298</v>
      </c>
      <c r="G418" s="3">
        <v>2.9282407413120382E-3</v>
      </c>
      <c r="H418" s="3">
        <v>254.54109364673488</v>
      </c>
      <c r="I418" s="3">
        <v>4.2423515607789151</v>
      </c>
      <c r="J418" s="3">
        <v>7.070585934631525E-2</v>
      </c>
    </row>
    <row r="419" spans="1:11" x14ac:dyDescent="0.35">
      <c r="A419">
        <v>418</v>
      </c>
      <c r="B419" t="s">
        <v>2</v>
      </c>
      <c r="C419" t="s">
        <v>132</v>
      </c>
      <c r="D419" t="s">
        <v>140</v>
      </c>
      <c r="E419" s="2">
        <v>44126.46707175926</v>
      </c>
      <c r="F419" s="2">
        <v>44126.473738425928</v>
      </c>
      <c r="G419" s="3">
        <v>6.6666666680248454E-3</v>
      </c>
      <c r="H419" s="3">
        <v>579.50857684499692</v>
      </c>
      <c r="I419" s="3">
        <v>9.658476280749948</v>
      </c>
      <c r="J419" s="3">
        <v>0.1609746046791658</v>
      </c>
      <c r="K419" t="s">
        <v>42</v>
      </c>
    </row>
    <row r="420" spans="1:11" x14ac:dyDescent="0.35">
      <c r="A420">
        <v>419</v>
      </c>
      <c r="B420" t="s">
        <v>2</v>
      </c>
      <c r="C420" t="s">
        <v>132</v>
      </c>
      <c r="D420" t="s">
        <v>140</v>
      </c>
      <c r="E420" s="2">
        <v>44126.47383101852</v>
      </c>
      <c r="F420" s="2">
        <v>44126.486018518517</v>
      </c>
      <c r="G420" s="3">
        <v>1.2187499996798579E-2</v>
      </c>
      <c r="H420" s="3">
        <v>1059.4141165506414</v>
      </c>
      <c r="I420" s="3">
        <v>17.656901942510689</v>
      </c>
      <c r="J420" s="3">
        <v>0.29428169904184481</v>
      </c>
      <c r="K420" t="s">
        <v>42</v>
      </c>
    </row>
    <row r="421" spans="1:11" x14ac:dyDescent="0.35">
      <c r="A421">
        <v>420</v>
      </c>
      <c r="B421" t="s">
        <v>11</v>
      </c>
      <c r="C421" t="s">
        <v>11</v>
      </c>
      <c r="D421" t="s">
        <v>140</v>
      </c>
      <c r="E421" s="2">
        <v>44126.48609953704</v>
      </c>
      <c r="F421" s="2">
        <v>44126.488680555558</v>
      </c>
      <c r="G421" s="3">
        <v>2.5810185179580003E-3</v>
      </c>
      <c r="H421" s="3">
        <v>224.35835517715577</v>
      </c>
      <c r="I421" s="3">
        <v>3.7393059196192628</v>
      </c>
      <c r="J421" s="3">
        <v>6.2321765326987716E-2</v>
      </c>
    </row>
    <row r="422" spans="1:11" x14ac:dyDescent="0.35">
      <c r="A422">
        <v>421</v>
      </c>
      <c r="B422" t="s">
        <v>16</v>
      </c>
      <c r="C422" t="s">
        <v>16</v>
      </c>
      <c r="D422" t="s">
        <v>140</v>
      </c>
      <c r="E422" s="2">
        <v>44126.488877314812</v>
      </c>
      <c r="F422" s="2">
        <v>44126.53025462963</v>
      </c>
      <c r="G422" s="3">
        <v>4.1377314817509614E-2</v>
      </c>
      <c r="H422" s="3">
        <v>3596.7763228016006</v>
      </c>
      <c r="I422" s="3">
        <v>59.946272046693345</v>
      </c>
      <c r="J422" s="3">
        <v>0.99910453411155575</v>
      </c>
    </row>
    <row r="423" spans="1:11" x14ac:dyDescent="0.35">
      <c r="A423">
        <v>422</v>
      </c>
      <c r="B423" t="s">
        <v>2</v>
      </c>
      <c r="C423" t="s">
        <v>132</v>
      </c>
      <c r="D423" t="s">
        <v>140</v>
      </c>
      <c r="E423" s="2">
        <v>44126.530555555553</v>
      </c>
      <c r="F423" s="2">
        <v>44126.534942129627</v>
      </c>
      <c r="G423" s="3">
        <v>4.386574073578231E-3</v>
      </c>
      <c r="H423" s="3">
        <v>381.30859471298947</v>
      </c>
      <c r="I423" s="3">
        <v>6.3551432452164915</v>
      </c>
      <c r="J423" s="3">
        <v>0.10591905408694152</v>
      </c>
      <c r="K423" t="s">
        <v>42</v>
      </c>
    </row>
    <row r="424" spans="1:11" x14ac:dyDescent="0.35">
      <c r="A424">
        <v>423</v>
      </c>
      <c r="B424" t="s">
        <v>11</v>
      </c>
      <c r="C424" t="s">
        <v>11</v>
      </c>
      <c r="D424" t="s">
        <v>140</v>
      </c>
      <c r="E424" s="2">
        <v>44126.535000000003</v>
      </c>
      <c r="F424" s="2">
        <v>44126.560543981483</v>
      </c>
      <c r="G424" s="3">
        <v>2.5543981479131617E-2</v>
      </c>
      <c r="H424" s="3">
        <v>2220.4434526366149</v>
      </c>
      <c r="I424" s="3">
        <v>37.007390877276912</v>
      </c>
      <c r="J424" s="3">
        <v>0.61678984795461522</v>
      </c>
    </row>
    <row r="425" spans="1:11" x14ac:dyDescent="0.35">
      <c r="A425">
        <v>424</v>
      </c>
      <c r="B425" t="s">
        <v>11</v>
      </c>
      <c r="C425" t="s">
        <v>11</v>
      </c>
      <c r="D425" t="s">
        <v>140</v>
      </c>
      <c r="E425" s="2">
        <v>44126.560682870368</v>
      </c>
      <c r="F425" s="2">
        <v>44126.561180555553</v>
      </c>
      <c r="G425" s="3">
        <v>4.9768518510973081E-4</v>
      </c>
      <c r="H425" s="3">
        <v>43.261924992153233</v>
      </c>
      <c r="I425" s="3">
        <v>0.72103208320255385</v>
      </c>
      <c r="J425" s="3">
        <v>1.2017201386709231E-2</v>
      </c>
    </row>
    <row r="426" spans="1:11" x14ac:dyDescent="0.35">
      <c r="A426">
        <v>425</v>
      </c>
      <c r="B426" t="s">
        <v>2</v>
      </c>
      <c r="C426" t="s">
        <v>96</v>
      </c>
      <c r="D426" t="s">
        <v>140</v>
      </c>
      <c r="E426" s="2">
        <v>44126.561284722222</v>
      </c>
      <c r="F426" s="2">
        <v>44126.561724537038</v>
      </c>
      <c r="G426" s="3">
        <v>4.398148157633841E-4</v>
      </c>
      <c r="H426" s="3">
        <v>38.231468685968714</v>
      </c>
      <c r="I426" s="3">
        <v>0.63719114476614525</v>
      </c>
      <c r="J426" s="3">
        <v>1.0619852412769087E-2</v>
      </c>
    </row>
    <row r="427" spans="1:11" x14ac:dyDescent="0.35">
      <c r="A427">
        <v>426</v>
      </c>
      <c r="B427" t="s">
        <v>2</v>
      </c>
      <c r="C427" t="s">
        <v>132</v>
      </c>
      <c r="D427" t="s">
        <v>140</v>
      </c>
      <c r="E427" s="2">
        <v>44126.561851851853</v>
      </c>
      <c r="F427" s="2">
        <v>44126.563981481479</v>
      </c>
      <c r="G427" s="3">
        <v>2.1296296254149638E-3</v>
      </c>
      <c r="H427" s="3">
        <v>185.12079497696138</v>
      </c>
      <c r="I427" s="3">
        <v>3.0853465829493563</v>
      </c>
      <c r="J427" s="3">
        <v>5.1422443049155935E-2</v>
      </c>
      <c r="K427" t="s">
        <v>42</v>
      </c>
    </row>
    <row r="428" spans="1:11" x14ac:dyDescent="0.35">
      <c r="A428">
        <v>427</v>
      </c>
      <c r="B428" t="s">
        <v>2</v>
      </c>
      <c r="C428" t="s">
        <v>96</v>
      </c>
      <c r="D428" t="s">
        <v>140</v>
      </c>
      <c r="E428" s="2">
        <v>44126.564166666663</v>
      </c>
      <c r="F428" s="2">
        <v>44126.564687500002</v>
      </c>
      <c r="G428" s="3">
        <v>5.2083333866903558E-4</v>
      </c>
      <c r="H428" s="3">
        <v>45.274108020604622</v>
      </c>
      <c r="I428" s="3">
        <v>0.75456846701007707</v>
      </c>
      <c r="J428" s="3">
        <v>1.2576141116834617E-2</v>
      </c>
    </row>
    <row r="429" spans="1:11" x14ac:dyDescent="0.35">
      <c r="A429">
        <v>428</v>
      </c>
      <c r="B429" t="s">
        <v>2</v>
      </c>
      <c r="C429" t="s">
        <v>96</v>
      </c>
      <c r="D429" t="s">
        <v>140</v>
      </c>
      <c r="E429" s="2">
        <v>44126.56490740741</v>
      </c>
      <c r="F429" s="2">
        <v>44126.576909722222</v>
      </c>
      <c r="G429" s="3">
        <v>1.2002314811979886E-2</v>
      </c>
      <c r="H429" s="3">
        <v>1043.3166561178621</v>
      </c>
      <c r="I429" s="3">
        <v>17.388610935297702</v>
      </c>
      <c r="J429" s="3">
        <v>0.28981018225496169</v>
      </c>
    </row>
    <row r="430" spans="1:11" x14ac:dyDescent="0.35">
      <c r="A430">
        <v>429</v>
      </c>
      <c r="B430" t="s">
        <v>2</v>
      </c>
      <c r="C430" t="s">
        <v>132</v>
      </c>
      <c r="D430" t="s">
        <v>140</v>
      </c>
      <c r="E430" s="2">
        <v>44126.577187499999</v>
      </c>
      <c r="F430" s="2">
        <v>44126.580358796295</v>
      </c>
      <c r="G430" s="3">
        <v>3.1712962954770774E-3</v>
      </c>
      <c r="H430" s="3">
        <v>275.66901038569864</v>
      </c>
      <c r="I430" s="3">
        <v>4.5944835064283103</v>
      </c>
      <c r="J430" s="3">
        <v>7.6574725107138503E-2</v>
      </c>
      <c r="K430" t="s">
        <v>42</v>
      </c>
    </row>
    <row r="431" spans="1:11" x14ac:dyDescent="0.35">
      <c r="A431">
        <v>430</v>
      </c>
      <c r="B431" t="s">
        <v>2</v>
      </c>
      <c r="C431" t="s">
        <v>72</v>
      </c>
      <c r="D431" t="s">
        <v>140</v>
      </c>
      <c r="E431" s="2">
        <v>44126.580428240741</v>
      </c>
      <c r="F431" s="2">
        <v>44126.607615740744</v>
      </c>
      <c r="G431" s="3">
        <v>2.718750000349246E-2</v>
      </c>
      <c r="H431" s="3">
        <v>2363.3084147681207</v>
      </c>
      <c r="I431" s="3">
        <v>39.38847357946868</v>
      </c>
      <c r="J431" s="3">
        <v>0.65647455965781132</v>
      </c>
      <c r="K431" t="s">
        <v>73</v>
      </c>
    </row>
    <row r="432" spans="1:11" x14ac:dyDescent="0.35">
      <c r="A432">
        <v>431</v>
      </c>
      <c r="B432" t="s">
        <v>2</v>
      </c>
      <c r="C432" t="s">
        <v>96</v>
      </c>
      <c r="D432" t="s">
        <v>140</v>
      </c>
      <c r="E432" s="2">
        <v>44126.607812499999</v>
      </c>
      <c r="F432" s="2">
        <v>44126.608090277776</v>
      </c>
      <c r="G432" s="3">
        <v>2.7777777722803876E-4</v>
      </c>
      <c r="H432" s="3">
        <v>24.146190649168876</v>
      </c>
      <c r="I432" s="3">
        <v>0.40243651081948129</v>
      </c>
      <c r="J432" s="3">
        <v>6.7072751803246879E-3</v>
      </c>
    </row>
    <row r="433" spans="1:11" x14ac:dyDescent="0.35">
      <c r="A433">
        <v>432</v>
      </c>
      <c r="B433" t="s">
        <v>16</v>
      </c>
      <c r="C433" t="s">
        <v>16</v>
      </c>
      <c r="D433" t="s">
        <v>140</v>
      </c>
      <c r="E433" s="2">
        <v>44126.608206018522</v>
      </c>
      <c r="F433" s="2">
        <v>44126.623506944445</v>
      </c>
      <c r="G433" s="3">
        <v>1.5300925922929309E-2</v>
      </c>
      <c r="H433" s="3">
        <v>1330.0526706301555</v>
      </c>
      <c r="I433" s="3">
        <v>22.167544510502591</v>
      </c>
      <c r="J433" s="3">
        <v>0.36945907517504317</v>
      </c>
    </row>
    <row r="434" spans="1:11" x14ac:dyDescent="0.35">
      <c r="A434">
        <v>433</v>
      </c>
      <c r="B434" t="s">
        <v>11</v>
      </c>
      <c r="C434" t="s">
        <v>11</v>
      </c>
      <c r="D434" t="s">
        <v>140</v>
      </c>
      <c r="E434" s="2">
        <v>44126.623599537037</v>
      </c>
      <c r="F434" s="2">
        <v>44126.635231481479</v>
      </c>
      <c r="G434" s="3">
        <v>1.1631944442342501E-2</v>
      </c>
      <c r="H434" s="3">
        <v>1011.1217352523036</v>
      </c>
      <c r="I434" s="3">
        <v>16.852028920871724</v>
      </c>
      <c r="J434" s="3">
        <v>0.28086714868119539</v>
      </c>
    </row>
    <row r="435" spans="1:11" x14ac:dyDescent="0.35">
      <c r="A435">
        <v>434</v>
      </c>
      <c r="B435" t="s">
        <v>2</v>
      </c>
      <c r="C435" t="s">
        <v>132</v>
      </c>
      <c r="D435" t="s">
        <v>140</v>
      </c>
      <c r="E435" s="2">
        <v>44126.635358796295</v>
      </c>
      <c r="F435" s="2">
        <v>44126.636504629627</v>
      </c>
      <c r="G435" s="3">
        <v>1.1458333319751546E-3</v>
      </c>
      <c r="H435" s="3">
        <v>99.603036506880613</v>
      </c>
      <c r="I435" s="3">
        <v>1.6600506084480102</v>
      </c>
      <c r="J435" s="3">
        <v>2.7667510140800169E-2</v>
      </c>
      <c r="K435" t="s">
        <v>42</v>
      </c>
    </row>
    <row r="436" spans="1:11" x14ac:dyDescent="0.35">
      <c r="A436">
        <v>435</v>
      </c>
      <c r="B436" t="s">
        <v>16</v>
      </c>
      <c r="C436" t="s">
        <v>16</v>
      </c>
      <c r="D436" t="s">
        <v>140</v>
      </c>
      <c r="E436" s="2">
        <v>44126.63658564815</v>
      </c>
      <c r="F436" s="2">
        <v>44126.641562500001</v>
      </c>
      <c r="G436" s="3">
        <v>4.9768518510973081E-3</v>
      </c>
      <c r="H436" s="3">
        <v>432.61924992153234</v>
      </c>
      <c r="I436" s="3">
        <v>7.2103208320255394</v>
      </c>
      <c r="J436" s="3">
        <v>0.12017201386709232</v>
      </c>
    </row>
    <row r="437" spans="1:11" x14ac:dyDescent="0.35">
      <c r="A437">
        <v>436</v>
      </c>
      <c r="B437" t="s">
        <v>11</v>
      </c>
      <c r="C437" t="s">
        <v>11</v>
      </c>
      <c r="D437" t="s">
        <v>140</v>
      </c>
      <c r="E437" s="2">
        <v>44126.641701388886</v>
      </c>
      <c r="F437" s="2">
        <v>44126.68949074074</v>
      </c>
      <c r="G437" s="3">
        <v>4.7789351854589768E-2</v>
      </c>
      <c r="H437" s="3">
        <v>4154.1508913934076</v>
      </c>
      <c r="I437" s="3">
        <v>69.23584818989012</v>
      </c>
      <c r="J437" s="3">
        <v>1.1539308031648354</v>
      </c>
    </row>
    <row r="438" spans="1:11" x14ac:dyDescent="0.35">
      <c r="A438">
        <v>437</v>
      </c>
      <c r="B438" t="s">
        <v>33</v>
      </c>
      <c r="C438" t="s">
        <v>33</v>
      </c>
      <c r="D438" t="s">
        <v>140</v>
      </c>
      <c r="E438" s="2">
        <v>44130.375</v>
      </c>
      <c r="F438" s="2">
        <v>44130.708333333336</v>
      </c>
      <c r="G438" s="3">
        <v>0.33333333333575865</v>
      </c>
      <c r="H438" s="3">
        <v>28975.428836557599</v>
      </c>
      <c r="I438" s="3">
        <v>482.92381394262668</v>
      </c>
      <c r="J438" s="3">
        <v>8.0487302323771122</v>
      </c>
    </row>
    <row r="439" spans="1:11" x14ac:dyDescent="0.35">
      <c r="A439">
        <v>438</v>
      </c>
      <c r="B439" t="s">
        <v>2</v>
      </c>
      <c r="C439" t="s">
        <v>132</v>
      </c>
      <c r="D439" t="s">
        <v>140</v>
      </c>
      <c r="E439" s="2">
        <v>44130.361111111109</v>
      </c>
      <c r="F439" s="2">
        <v>44130.368842592594</v>
      </c>
      <c r="G439" s="3">
        <v>7.7314814843703061E-3</v>
      </c>
      <c r="H439" s="3">
        <v>672.0689746497136</v>
      </c>
      <c r="I439" s="3">
        <v>11.201149577495226</v>
      </c>
      <c r="J439" s="3">
        <v>0.18668582629158709</v>
      </c>
      <c r="K439" t="s">
        <v>41</v>
      </c>
    </row>
    <row r="440" spans="1:11" x14ac:dyDescent="0.35">
      <c r="A440">
        <v>439</v>
      </c>
      <c r="B440" t="s">
        <v>2</v>
      </c>
      <c r="C440" t="s">
        <v>96</v>
      </c>
      <c r="D440" t="s">
        <v>140</v>
      </c>
      <c r="E440" s="2">
        <v>44130.369027777779</v>
      </c>
      <c r="F440" s="2">
        <v>44130.371296296296</v>
      </c>
      <c r="G440" s="3">
        <v>2.268518517666962E-3</v>
      </c>
      <c r="H440" s="3">
        <v>197.19389061778182</v>
      </c>
      <c r="I440" s="3">
        <v>3.286564843629697</v>
      </c>
      <c r="J440" s="3">
        <v>5.477608072716162E-2</v>
      </c>
    </row>
    <row r="441" spans="1:11" x14ac:dyDescent="0.35">
      <c r="A441">
        <v>440</v>
      </c>
      <c r="B441" t="s">
        <v>11</v>
      </c>
      <c r="C441" t="s">
        <v>11</v>
      </c>
      <c r="D441" t="s">
        <v>140</v>
      </c>
      <c r="E441" s="2">
        <v>44131.314710648148</v>
      </c>
      <c r="F441" s="2">
        <v>44131.320138888892</v>
      </c>
      <c r="G441" s="3">
        <v>5.4282407436403446E-3</v>
      </c>
      <c r="H441" s="3">
        <v>471.85681012172671</v>
      </c>
      <c r="I441" s="3">
        <v>7.8642801686954451</v>
      </c>
      <c r="J441" s="3">
        <v>0.13107133614492408</v>
      </c>
    </row>
    <row r="442" spans="1:11" x14ac:dyDescent="0.35">
      <c r="A442">
        <v>441</v>
      </c>
      <c r="B442" t="s">
        <v>11</v>
      </c>
      <c r="C442" t="s">
        <v>11</v>
      </c>
      <c r="D442" t="s">
        <v>140</v>
      </c>
      <c r="E442" s="2">
        <v>44131.320300925923</v>
      </c>
      <c r="F442" s="2">
        <v>44131.324652777781</v>
      </c>
      <c r="G442" s="3">
        <v>4.3518518577911891E-3</v>
      </c>
      <c r="H442" s="3">
        <v>378.29032143525632</v>
      </c>
      <c r="I442" s="3">
        <v>6.304838690587605</v>
      </c>
      <c r="J442" s="3">
        <v>0.10508064484312675</v>
      </c>
    </row>
    <row r="443" spans="1:11" x14ac:dyDescent="0.35">
      <c r="A443">
        <v>442</v>
      </c>
      <c r="B443" t="s">
        <v>11</v>
      </c>
      <c r="C443" t="s">
        <v>11</v>
      </c>
      <c r="D443" t="s">
        <v>140</v>
      </c>
      <c r="E443" s="2">
        <v>44131.324780092589</v>
      </c>
      <c r="F443" s="2">
        <v>44131.33121527778</v>
      </c>
      <c r="G443" s="3">
        <v>6.4351851906394586E-3</v>
      </c>
      <c r="H443" s="3">
        <v>559.38675162025891</v>
      </c>
      <c r="I443" s="3">
        <v>9.3231125270043158</v>
      </c>
      <c r="J443" s="3">
        <v>0.15538520878340525</v>
      </c>
    </row>
    <row r="444" spans="1:11" x14ac:dyDescent="0.35">
      <c r="A444">
        <v>443</v>
      </c>
      <c r="B444" t="s">
        <v>2</v>
      </c>
      <c r="C444" t="s">
        <v>132</v>
      </c>
      <c r="D444" t="s">
        <v>140</v>
      </c>
      <c r="E444" s="2">
        <v>44131.331365740742</v>
      </c>
      <c r="F444" s="2">
        <v>44131.355081018519</v>
      </c>
      <c r="G444" s="3">
        <v>2.3715277777228039E-2</v>
      </c>
      <c r="H444" s="3">
        <v>2061.4810307048015</v>
      </c>
      <c r="I444" s="3">
        <v>34.358017178413355</v>
      </c>
      <c r="J444" s="3">
        <v>0.57263361964022264</v>
      </c>
      <c r="K444" t="s">
        <v>40</v>
      </c>
    </row>
    <row r="445" spans="1:11" x14ac:dyDescent="0.35">
      <c r="A445">
        <v>444</v>
      </c>
      <c r="B445" t="s">
        <v>2</v>
      </c>
      <c r="C445" t="s">
        <v>132</v>
      </c>
      <c r="D445" t="s">
        <v>140</v>
      </c>
      <c r="E445" s="2">
        <v>44131.355173611111</v>
      </c>
      <c r="F445" s="2">
        <v>44131.423506944448</v>
      </c>
      <c r="G445" s="3">
        <v>6.8333333336340729E-2</v>
      </c>
      <c r="H445" s="3">
        <v>5939.9629117125105</v>
      </c>
      <c r="I445" s="3">
        <v>98.999381861875179</v>
      </c>
      <c r="J445" s="3">
        <v>1.6499896976979196</v>
      </c>
      <c r="K445" t="s">
        <v>64</v>
      </c>
    </row>
    <row r="446" spans="1:11" x14ac:dyDescent="0.35">
      <c r="A446">
        <v>445</v>
      </c>
      <c r="B446" t="s">
        <v>16</v>
      </c>
      <c r="C446" t="s">
        <v>16</v>
      </c>
      <c r="D446" t="s">
        <v>140</v>
      </c>
      <c r="E446" s="2">
        <v>44131.42359953704</v>
      </c>
      <c r="F446" s="2">
        <v>44131.426307870373</v>
      </c>
      <c r="G446" s="3">
        <v>2.7083333334303461E-3</v>
      </c>
      <c r="H446" s="3">
        <v>235.42535930375053</v>
      </c>
      <c r="I446" s="3">
        <v>3.9237559883958419</v>
      </c>
      <c r="J446" s="3">
        <v>6.5395933139930695E-2</v>
      </c>
    </row>
    <row r="447" spans="1:11" x14ac:dyDescent="0.35">
      <c r="A447">
        <v>446</v>
      </c>
      <c r="B447" t="s">
        <v>11</v>
      </c>
      <c r="C447" t="s">
        <v>11</v>
      </c>
      <c r="D447" t="s">
        <v>140</v>
      </c>
      <c r="E447" s="2">
        <v>44131.426423611112</v>
      </c>
      <c r="F447" s="2">
        <v>44131.427870370368</v>
      </c>
      <c r="G447" s="3">
        <v>1.4467592554865405E-3</v>
      </c>
      <c r="H447" s="3">
        <v>125.76140955202889</v>
      </c>
      <c r="I447" s="3">
        <v>2.0960234925338148</v>
      </c>
      <c r="J447" s="3">
        <v>3.4933724875563579E-2</v>
      </c>
    </row>
    <row r="448" spans="1:11" x14ac:dyDescent="0.35">
      <c r="A448">
        <v>447</v>
      </c>
      <c r="B448" t="s">
        <v>2</v>
      </c>
      <c r="C448" t="s">
        <v>132</v>
      </c>
      <c r="D448" t="s">
        <v>140</v>
      </c>
      <c r="E448" s="2">
        <v>44131.42796296296</v>
      </c>
      <c r="F448" s="2">
        <v>44131.429976851854</v>
      </c>
      <c r="G448" s="3">
        <v>2.013888893998228E-3</v>
      </c>
      <c r="H448" s="3">
        <v>175.05988299706431</v>
      </c>
      <c r="I448" s="3">
        <v>2.9176647166177383</v>
      </c>
      <c r="J448" s="3">
        <v>4.8627745276962307E-2</v>
      </c>
      <c r="K448" t="s">
        <v>41</v>
      </c>
    </row>
    <row r="449" spans="1:11" x14ac:dyDescent="0.35">
      <c r="A449">
        <v>448</v>
      </c>
      <c r="B449" t="s">
        <v>11</v>
      </c>
      <c r="C449" t="s">
        <v>11</v>
      </c>
      <c r="D449" t="s">
        <v>140</v>
      </c>
      <c r="E449" s="2">
        <v>44131.430138888885</v>
      </c>
      <c r="F449" s="2">
        <v>44131.432164351849</v>
      </c>
      <c r="G449" s="3">
        <v>2.0254629635019228E-3</v>
      </c>
      <c r="H449" s="3">
        <v>176.06597387881803</v>
      </c>
      <c r="I449" s="3">
        <v>2.9344328979803005</v>
      </c>
      <c r="J449" s="3">
        <v>4.890721496633834E-2</v>
      </c>
    </row>
    <row r="450" spans="1:11" x14ac:dyDescent="0.35">
      <c r="A450">
        <v>449</v>
      </c>
      <c r="B450" t="s">
        <v>2</v>
      </c>
      <c r="C450" t="s">
        <v>96</v>
      </c>
      <c r="D450" t="s">
        <v>140</v>
      </c>
      <c r="E450" s="2">
        <v>44131.432280092595</v>
      </c>
      <c r="F450" s="2">
        <v>44131.434965277775</v>
      </c>
      <c r="G450" s="3">
        <v>2.6851851798710413E-3</v>
      </c>
      <c r="H450" s="3">
        <v>233.41317627529912</v>
      </c>
      <c r="I450" s="3">
        <v>3.8902196045883186</v>
      </c>
      <c r="J450" s="3">
        <v>6.483699340980531E-2</v>
      </c>
    </row>
    <row r="451" spans="1:11" x14ac:dyDescent="0.35">
      <c r="A451">
        <v>450</v>
      </c>
      <c r="B451" t="s">
        <v>2</v>
      </c>
      <c r="C451" t="s">
        <v>132</v>
      </c>
      <c r="D451" t="s">
        <v>140</v>
      </c>
      <c r="E451" s="2">
        <v>44131.435046296298</v>
      </c>
      <c r="F451" s="2">
        <v>44131.454212962963</v>
      </c>
      <c r="G451" s="3">
        <v>1.9166666665114462E-2</v>
      </c>
      <c r="H451" s="3">
        <v>1666.0871579550123</v>
      </c>
      <c r="I451" s="3">
        <v>27.768119299250206</v>
      </c>
      <c r="J451" s="3">
        <v>0.46280198832083674</v>
      </c>
      <c r="K451" t="s">
        <v>41</v>
      </c>
    </row>
    <row r="452" spans="1:11" x14ac:dyDescent="0.35">
      <c r="A452">
        <v>451</v>
      </c>
      <c r="B452" t="s">
        <v>2</v>
      </c>
      <c r="C452" t="s">
        <v>96</v>
      </c>
      <c r="D452" t="s">
        <v>140</v>
      </c>
      <c r="E452" s="2">
        <v>44131.454317129632</v>
      </c>
      <c r="F452" s="2">
        <v>44131.488749999997</v>
      </c>
      <c r="G452" s="3">
        <v>3.4432870364980772E-2</v>
      </c>
      <c r="H452" s="3">
        <v>2993.1215546749627</v>
      </c>
      <c r="I452" s="3">
        <v>49.885359244582709</v>
      </c>
      <c r="J452" s="3">
        <v>0.8314226540763785</v>
      </c>
    </row>
    <row r="453" spans="1:11" x14ac:dyDescent="0.35">
      <c r="A453">
        <v>452</v>
      </c>
      <c r="B453" t="s">
        <v>16</v>
      </c>
      <c r="C453" t="s">
        <v>16</v>
      </c>
      <c r="D453" t="s">
        <v>140</v>
      </c>
      <c r="E453" s="2">
        <v>44131.48883101852</v>
      </c>
      <c r="F453" s="2">
        <v>44131.519131944442</v>
      </c>
      <c r="G453" s="3">
        <v>3.0300925922347233E-2</v>
      </c>
      <c r="H453" s="3">
        <v>2633.9469682151625</v>
      </c>
      <c r="I453" s="3">
        <v>43.899116136919375</v>
      </c>
      <c r="J453" s="3">
        <v>0.73165193561532293</v>
      </c>
    </row>
    <row r="454" spans="1:11" x14ac:dyDescent="0.35">
      <c r="A454">
        <v>453</v>
      </c>
      <c r="B454" t="s">
        <v>11</v>
      </c>
      <c r="C454" t="s">
        <v>11</v>
      </c>
      <c r="D454" t="s">
        <v>140</v>
      </c>
      <c r="E454" s="2">
        <v>44131.519421296296</v>
      </c>
      <c r="F454" s="2">
        <v>44131.524467592593</v>
      </c>
      <c r="G454" s="3">
        <v>5.0462962972233072E-3</v>
      </c>
      <c r="H454" s="3">
        <v>438.65579774194254</v>
      </c>
      <c r="I454" s="3">
        <v>7.3109299623657087</v>
      </c>
      <c r="J454" s="3">
        <v>0.12184883270609514</v>
      </c>
    </row>
    <row r="455" spans="1:11" x14ac:dyDescent="0.35">
      <c r="A455">
        <v>454</v>
      </c>
      <c r="B455" t="s">
        <v>2</v>
      </c>
      <c r="C455" t="s">
        <v>132</v>
      </c>
      <c r="D455" t="s">
        <v>140</v>
      </c>
      <c r="E455" s="2">
        <v>44131.524583333332</v>
      </c>
      <c r="F455" s="2">
        <v>44131.591331018521</v>
      </c>
      <c r="G455" s="3">
        <v>6.674768518860219E-2</v>
      </c>
      <c r="H455" s="3">
        <v>5802.1284065196623</v>
      </c>
      <c r="I455" s="3">
        <v>96.702140108661041</v>
      </c>
      <c r="J455" s="3">
        <v>1.6117023351443507</v>
      </c>
      <c r="K455" t="s">
        <v>41</v>
      </c>
    </row>
    <row r="456" spans="1:11" x14ac:dyDescent="0.35">
      <c r="A456">
        <v>455</v>
      </c>
      <c r="B456" t="s">
        <v>11</v>
      </c>
      <c r="C456" t="s">
        <v>11</v>
      </c>
      <c r="D456" t="s">
        <v>140</v>
      </c>
      <c r="E456" s="2">
        <v>44131.591574074075</v>
      </c>
      <c r="F456" s="2">
        <v>44131.593078703707</v>
      </c>
      <c r="G456" s="3">
        <v>1.5046296321088448E-3</v>
      </c>
      <c r="H456" s="3">
        <v>130.79186649068541</v>
      </c>
      <c r="I456" s="3">
        <v>2.1798644415114237</v>
      </c>
      <c r="J456" s="3">
        <v>3.6331074025190396E-2</v>
      </c>
    </row>
    <row r="457" spans="1:11" x14ac:dyDescent="0.35">
      <c r="A457">
        <v>456</v>
      </c>
      <c r="B457" t="s">
        <v>2</v>
      </c>
      <c r="C457" t="s">
        <v>132</v>
      </c>
      <c r="D457" t="s">
        <v>140</v>
      </c>
      <c r="E457" s="2">
        <v>44131.593229166669</v>
      </c>
      <c r="F457" s="2">
        <v>44131.608229166668</v>
      </c>
      <c r="G457" s="3">
        <v>1.4999999999417923E-2</v>
      </c>
      <c r="H457" s="3">
        <v>1303.8942975850073</v>
      </c>
      <c r="I457" s="3">
        <v>21.731571626416788</v>
      </c>
      <c r="J457" s="3">
        <v>0.36219286044027982</v>
      </c>
      <c r="K457" t="s">
        <v>40</v>
      </c>
    </row>
    <row r="458" spans="1:11" x14ac:dyDescent="0.35">
      <c r="A458">
        <v>457</v>
      </c>
      <c r="B458" t="s">
        <v>16</v>
      </c>
      <c r="C458" t="s">
        <v>16</v>
      </c>
      <c r="D458" t="s">
        <v>140</v>
      </c>
      <c r="E458" s="2">
        <v>44131.608506944445</v>
      </c>
      <c r="F458" s="2">
        <v>44131.610578703701</v>
      </c>
      <c r="G458" s="3">
        <v>2.0717592560686171E-3</v>
      </c>
      <c r="H458" s="3">
        <v>180.09033867077687</v>
      </c>
      <c r="I458" s="3">
        <v>3.0015056445129478</v>
      </c>
      <c r="J458" s="3">
        <v>5.0025094075215798E-2</v>
      </c>
    </row>
    <row r="459" spans="1:11" x14ac:dyDescent="0.35">
      <c r="A459">
        <v>458</v>
      </c>
      <c r="B459" t="s">
        <v>11</v>
      </c>
      <c r="C459" t="s">
        <v>11</v>
      </c>
      <c r="D459" t="s">
        <v>140</v>
      </c>
      <c r="E459" s="2">
        <v>44131.610706018517</v>
      </c>
      <c r="F459" s="2">
        <v>44131.621527777781</v>
      </c>
      <c r="G459" s="3">
        <v>1.082175926421769E-2</v>
      </c>
      <c r="H459" s="3">
        <v>940.69534633324838</v>
      </c>
      <c r="I459" s="3">
        <v>15.678255772220806</v>
      </c>
      <c r="J459" s="3">
        <v>0.26130426287034675</v>
      </c>
    </row>
    <row r="460" spans="1:11" x14ac:dyDescent="0.35">
      <c r="A460">
        <v>459</v>
      </c>
      <c r="B460" t="s">
        <v>2</v>
      </c>
      <c r="C460" t="s">
        <v>96</v>
      </c>
      <c r="D460" t="s">
        <v>140</v>
      </c>
      <c r="E460" s="2">
        <v>44131.621655092589</v>
      </c>
      <c r="F460" s="2">
        <v>44131.644444444442</v>
      </c>
      <c r="G460" s="3">
        <v>2.2789351853134576E-2</v>
      </c>
      <c r="H460" s="3">
        <v>1980.9937285409053</v>
      </c>
      <c r="I460" s="3">
        <v>33.01656214234842</v>
      </c>
      <c r="J460" s="3">
        <v>0.55027603570580697</v>
      </c>
    </row>
    <row r="461" spans="1:11" x14ac:dyDescent="0.35">
      <c r="A461">
        <v>460</v>
      </c>
      <c r="B461" t="s">
        <v>2</v>
      </c>
      <c r="C461" t="s">
        <v>96</v>
      </c>
      <c r="D461" t="s">
        <v>140</v>
      </c>
      <c r="E461" s="2">
        <v>44131.644652777781</v>
      </c>
      <c r="F461" s="2">
        <v>44131.649571759262</v>
      </c>
      <c r="G461" s="3">
        <v>4.9189814817509614E-3</v>
      </c>
      <c r="H461" s="3">
        <v>427.58879361534781</v>
      </c>
      <c r="I461" s="3">
        <v>7.1264798935891305</v>
      </c>
      <c r="J461" s="3">
        <v>0.11877466489315218</v>
      </c>
    </row>
    <row r="462" spans="1:11" x14ac:dyDescent="0.35">
      <c r="A462">
        <v>461</v>
      </c>
      <c r="B462" t="s">
        <v>16</v>
      </c>
      <c r="C462" t="s">
        <v>16</v>
      </c>
      <c r="D462" t="s">
        <v>140</v>
      </c>
      <c r="E462" s="2">
        <v>44131.649722222224</v>
      </c>
      <c r="F462" s="2">
        <v>44131.656435185185</v>
      </c>
      <c r="G462" s="3">
        <v>6.7129629605915397E-3</v>
      </c>
      <c r="H462" s="3">
        <v>583.5329416369558</v>
      </c>
      <c r="I462" s="3">
        <v>9.7255490272825966</v>
      </c>
      <c r="J462" s="3">
        <v>0.16209248378804328</v>
      </c>
    </row>
    <row r="463" spans="1:11" x14ac:dyDescent="0.35">
      <c r="A463">
        <v>462</v>
      </c>
      <c r="B463" t="s">
        <v>2</v>
      </c>
      <c r="C463" t="s">
        <v>132</v>
      </c>
      <c r="D463" t="s">
        <v>140</v>
      </c>
      <c r="E463" s="2">
        <v>44131.657025462962</v>
      </c>
      <c r="F463" s="2">
        <v>44131.664074074077</v>
      </c>
      <c r="G463" s="3">
        <v>7.0486111144418828E-3</v>
      </c>
      <c r="H463" s="3">
        <v>612.70958922478121</v>
      </c>
      <c r="I463" s="3">
        <v>10.211826487079687</v>
      </c>
      <c r="J463" s="3">
        <v>0.17019710811799479</v>
      </c>
      <c r="K463" t="s">
        <v>40</v>
      </c>
    </row>
    <row r="464" spans="1:11" x14ac:dyDescent="0.35">
      <c r="A464">
        <v>463</v>
      </c>
      <c r="B464" t="s">
        <v>2</v>
      </c>
      <c r="C464" t="s">
        <v>132</v>
      </c>
      <c r="D464" t="s">
        <v>140</v>
      </c>
      <c r="E464" s="2">
        <v>44131.664259259262</v>
      </c>
      <c r="F464" s="2">
        <v>44131.677407407406</v>
      </c>
      <c r="G464" s="3">
        <v>1.3148148143955041E-2</v>
      </c>
      <c r="H464" s="3">
        <v>1142.9196926247428</v>
      </c>
      <c r="I464" s="3">
        <v>19.048661543745713</v>
      </c>
      <c r="J464" s="3">
        <v>0.3174776923957619</v>
      </c>
      <c r="K464" t="s">
        <v>42</v>
      </c>
    </row>
    <row r="465" spans="1:11" x14ac:dyDescent="0.35">
      <c r="A465">
        <v>464</v>
      </c>
      <c r="B465" t="s">
        <v>11</v>
      </c>
      <c r="C465" t="s">
        <v>11</v>
      </c>
      <c r="D465" t="s">
        <v>140</v>
      </c>
      <c r="E465" s="2">
        <v>44131.677534722221</v>
      </c>
      <c r="F465" s="2">
        <v>44131.681967592594</v>
      </c>
      <c r="G465" s="3">
        <v>4.432870373420883E-3</v>
      </c>
      <c r="H465" s="3">
        <v>385.33296013742029</v>
      </c>
      <c r="I465" s="3">
        <v>6.4222160022903383</v>
      </c>
      <c r="J465" s="3">
        <v>0.10703693337150563</v>
      </c>
    </row>
    <row r="466" spans="1:11" x14ac:dyDescent="0.35">
      <c r="A466">
        <v>465</v>
      </c>
      <c r="B466" t="s">
        <v>2</v>
      </c>
      <c r="C466" t="s">
        <v>132</v>
      </c>
      <c r="D466" t="s">
        <v>140</v>
      </c>
      <c r="E466" s="2">
        <v>44131.682129629633</v>
      </c>
      <c r="F466" s="2">
        <v>44131.727233796293</v>
      </c>
      <c r="G466" s="3">
        <v>4.5104166660166811E-2</v>
      </c>
      <c r="H466" s="3">
        <v>3920.7377138531647</v>
      </c>
      <c r="I466" s="3">
        <v>65.34562856421941</v>
      </c>
      <c r="J466" s="3">
        <v>1.0890938094036569</v>
      </c>
      <c r="K466" t="s">
        <v>42</v>
      </c>
    </row>
    <row r="467" spans="1:11" x14ac:dyDescent="0.35">
      <c r="A467">
        <v>466</v>
      </c>
      <c r="B467" t="s">
        <v>16</v>
      </c>
      <c r="C467" t="s">
        <v>16</v>
      </c>
      <c r="D467" t="s">
        <v>140</v>
      </c>
      <c r="E467" s="2">
        <v>44131.727326388886</v>
      </c>
      <c r="F467" s="2">
        <v>44131.72923611111</v>
      </c>
      <c r="G467" s="3">
        <v>1.9097222248092294E-3</v>
      </c>
      <c r="H467" s="3">
        <v>166.00506126644899</v>
      </c>
      <c r="I467" s="3">
        <v>2.7667510211074831</v>
      </c>
      <c r="J467" s="3">
        <v>4.6112517018458053E-2</v>
      </c>
    </row>
    <row r="468" spans="1:11" x14ac:dyDescent="0.35">
      <c r="A468">
        <v>467</v>
      </c>
      <c r="B468" t="s">
        <v>11</v>
      </c>
      <c r="C468" t="s">
        <v>11</v>
      </c>
      <c r="D468" t="s">
        <v>140</v>
      </c>
      <c r="E468" s="2">
        <v>44132.339317129627</v>
      </c>
      <c r="F468" s="2">
        <v>44132.348020833335</v>
      </c>
      <c r="G468" s="3">
        <v>8.7037037083064206E-3</v>
      </c>
      <c r="H468" s="3">
        <v>756.5806422380407</v>
      </c>
      <c r="I468" s="3">
        <v>12.609677370634012</v>
      </c>
      <c r="J468" s="3">
        <v>0.21016128951056687</v>
      </c>
    </row>
    <row r="469" spans="1:11" x14ac:dyDescent="0.35">
      <c r="A469">
        <v>468</v>
      </c>
      <c r="B469" t="s">
        <v>11</v>
      </c>
      <c r="C469" t="s">
        <v>11</v>
      </c>
      <c r="D469" t="s">
        <v>140</v>
      </c>
      <c r="E469" s="2">
        <v>44132.348101851851</v>
      </c>
      <c r="F469" s="2">
        <v>44132.350960648146</v>
      </c>
      <c r="G469" s="3">
        <v>2.8587962951860391E-3</v>
      </c>
      <c r="H469" s="3">
        <v>248.50454582632466</v>
      </c>
      <c r="I469" s="3">
        <v>4.141742430438744</v>
      </c>
      <c r="J469" s="3">
        <v>6.90290405073124E-2</v>
      </c>
    </row>
    <row r="470" spans="1:11" x14ac:dyDescent="0.35">
      <c r="A470">
        <v>469</v>
      </c>
      <c r="B470" t="s">
        <v>16</v>
      </c>
      <c r="C470" t="s">
        <v>16</v>
      </c>
      <c r="D470" t="s">
        <v>140</v>
      </c>
      <c r="E470" s="2">
        <v>44132.351076388892</v>
      </c>
      <c r="F470" s="2">
        <v>44132.352129629631</v>
      </c>
      <c r="G470" s="3">
        <v>1.0532407395658083E-3</v>
      </c>
      <c r="H470" s="3">
        <v>91.554306290490985</v>
      </c>
      <c r="I470" s="3">
        <v>1.5259051048415164</v>
      </c>
      <c r="J470" s="3">
        <v>2.5431751747358608E-2</v>
      </c>
    </row>
    <row r="471" spans="1:11" x14ac:dyDescent="0.35">
      <c r="A471">
        <v>470</v>
      </c>
      <c r="B471" t="s">
        <v>2</v>
      </c>
      <c r="C471" t="s">
        <v>132</v>
      </c>
      <c r="D471" t="s">
        <v>140</v>
      </c>
      <c r="E471" s="2">
        <v>44132.352303240739</v>
      </c>
      <c r="F471" s="2">
        <v>44132.371168981481</v>
      </c>
      <c r="G471" s="3">
        <v>1.8865740741603076E-2</v>
      </c>
      <c r="H471" s="3">
        <v>1639.9287849098639</v>
      </c>
      <c r="I471" s="3">
        <v>27.332146415164399</v>
      </c>
      <c r="J471" s="3">
        <v>0.45553577358607333</v>
      </c>
      <c r="K471" t="s">
        <v>40</v>
      </c>
    </row>
    <row r="472" spans="1:11" x14ac:dyDescent="0.35">
      <c r="A472">
        <v>471</v>
      </c>
      <c r="B472" t="s">
        <v>11</v>
      </c>
      <c r="C472" t="s">
        <v>11</v>
      </c>
      <c r="D472" t="s">
        <v>140</v>
      </c>
      <c r="E472" s="2">
        <v>44132.371238425927</v>
      </c>
      <c r="F472" s="2">
        <v>44132.377442129633</v>
      </c>
      <c r="G472" s="3">
        <v>6.2037037059781142E-3</v>
      </c>
      <c r="H472" s="3">
        <v>539.26492576304884</v>
      </c>
      <c r="I472" s="3">
        <v>8.9877487627174801</v>
      </c>
      <c r="J472" s="3">
        <v>0.14979581271195799</v>
      </c>
    </row>
    <row r="473" spans="1:11" x14ac:dyDescent="0.35">
      <c r="A473">
        <v>472</v>
      </c>
      <c r="B473" t="s">
        <v>2</v>
      </c>
      <c r="C473" t="s">
        <v>132</v>
      </c>
      <c r="D473" t="s">
        <v>140</v>
      </c>
      <c r="E473" s="2">
        <v>44132.377546296295</v>
      </c>
      <c r="F473" s="2">
        <v>44132.412245370368</v>
      </c>
      <c r="G473" s="3">
        <v>3.4699074072705116E-2</v>
      </c>
      <c r="H473" s="3">
        <v>3016.2616544423777</v>
      </c>
      <c r="I473" s="3">
        <v>50.271027574039628</v>
      </c>
      <c r="J473" s="3">
        <v>0.83785045956732718</v>
      </c>
      <c r="K473" t="s">
        <v>41</v>
      </c>
    </row>
    <row r="474" spans="1:11" x14ac:dyDescent="0.35">
      <c r="A474">
        <v>473</v>
      </c>
      <c r="B474" t="s">
        <v>16</v>
      </c>
      <c r="C474" t="s">
        <v>16</v>
      </c>
      <c r="D474" t="s">
        <v>140</v>
      </c>
      <c r="E474" s="2">
        <v>44132.412349537037</v>
      </c>
      <c r="F474" s="2">
        <v>44132.415081018517</v>
      </c>
      <c r="G474" s="3">
        <v>2.7314814797136933E-3</v>
      </c>
      <c r="H474" s="3">
        <v>237.43754169972993</v>
      </c>
      <c r="I474" s="3">
        <v>3.9572923616621654</v>
      </c>
      <c r="J474" s="3">
        <v>6.5954872694369421E-2</v>
      </c>
    </row>
    <row r="475" spans="1:11" x14ac:dyDescent="0.35">
      <c r="A475">
        <v>474</v>
      </c>
      <c r="B475" t="s">
        <v>2</v>
      </c>
      <c r="C475" t="s">
        <v>72</v>
      </c>
      <c r="D475" t="s">
        <v>140</v>
      </c>
      <c r="E475" s="2">
        <v>44132.415208333332</v>
      </c>
      <c r="F475" s="2">
        <v>44132.464907407404</v>
      </c>
      <c r="G475" s="3">
        <v>4.969907407212304E-2</v>
      </c>
      <c r="H475" s="3">
        <v>4320.155952027385</v>
      </c>
      <c r="I475" s="3">
        <v>72.002599200456416</v>
      </c>
      <c r="J475" s="3">
        <v>1.2000433200076068</v>
      </c>
      <c r="K475" t="s">
        <v>73</v>
      </c>
    </row>
    <row r="476" spans="1:11" x14ac:dyDescent="0.35">
      <c r="A476">
        <v>475</v>
      </c>
      <c r="B476" t="s">
        <v>11</v>
      </c>
      <c r="C476" t="s">
        <v>11</v>
      </c>
      <c r="D476" t="s">
        <v>140</v>
      </c>
      <c r="E476" s="2">
        <v>44132.465046296296</v>
      </c>
      <c r="F476" s="2">
        <v>44132.469675925924</v>
      </c>
      <c r="G476" s="3">
        <v>4.6296296277432702E-3</v>
      </c>
      <c r="H476" s="3">
        <v>402.43651145195321</v>
      </c>
      <c r="I476" s="3">
        <v>6.7072751908658867</v>
      </c>
      <c r="J476" s="3">
        <v>0.11178791984776477</v>
      </c>
    </row>
    <row r="477" spans="1:11" x14ac:dyDescent="0.35">
      <c r="A477">
        <v>476</v>
      </c>
      <c r="B477" t="s">
        <v>2</v>
      </c>
      <c r="C477" t="s">
        <v>132</v>
      </c>
      <c r="D477" t="s">
        <v>140</v>
      </c>
      <c r="E477" s="2">
        <v>44132.469918981478</v>
      </c>
      <c r="F477" s="2">
        <v>44132.476539351854</v>
      </c>
      <c r="G477" s="3">
        <v>6.6203703754581511E-3</v>
      </c>
      <c r="H477" s="3">
        <v>575.48421205303816</v>
      </c>
      <c r="I477" s="3">
        <v>9.591403534217303</v>
      </c>
      <c r="J477" s="3">
        <v>0.15985672557028838</v>
      </c>
      <c r="K477" t="s">
        <v>41</v>
      </c>
    </row>
    <row r="478" spans="1:11" x14ac:dyDescent="0.35">
      <c r="A478">
        <v>477</v>
      </c>
      <c r="B478" t="s">
        <v>2</v>
      </c>
      <c r="C478" t="s">
        <v>96</v>
      </c>
      <c r="D478" t="s">
        <v>140</v>
      </c>
      <c r="E478" s="2">
        <v>44132.476655092592</v>
      </c>
      <c r="F478" s="2">
        <v>44132.492418981485</v>
      </c>
      <c r="G478" s="3">
        <v>1.5763888892251998E-2</v>
      </c>
      <c r="H478" s="3">
        <v>1370.2963223445756</v>
      </c>
      <c r="I478" s="3">
        <v>22.838272039076262</v>
      </c>
      <c r="J478" s="3">
        <v>0.38063786731793769</v>
      </c>
    </row>
    <row r="479" spans="1:11" x14ac:dyDescent="0.35">
      <c r="A479">
        <v>478</v>
      </c>
      <c r="B479" t="s">
        <v>16</v>
      </c>
      <c r="C479" t="s">
        <v>16</v>
      </c>
      <c r="D479" t="s">
        <v>140</v>
      </c>
      <c r="E479" s="2">
        <v>44132.492569444446</v>
      </c>
      <c r="F479" s="2">
        <v>44132.52175925926</v>
      </c>
      <c r="G479" s="3">
        <v>2.9189814813435078E-2</v>
      </c>
      <c r="H479" s="3">
        <v>2537.3622056184872</v>
      </c>
      <c r="I479" s="3">
        <v>42.289370093641452</v>
      </c>
      <c r="J479" s="3">
        <v>0.7048228348940242</v>
      </c>
    </row>
    <row r="480" spans="1:11" x14ac:dyDescent="0.35">
      <c r="A480">
        <v>479</v>
      </c>
      <c r="B480" t="s">
        <v>11</v>
      </c>
      <c r="C480" t="s">
        <v>11</v>
      </c>
      <c r="D480" t="s">
        <v>140</v>
      </c>
      <c r="E480" s="2">
        <v>44132.52202546296</v>
      </c>
      <c r="F480" s="2">
        <v>44132.527581018519</v>
      </c>
      <c r="G480" s="3">
        <v>5.5555555591126904E-3</v>
      </c>
      <c r="H480" s="3">
        <v>482.92381424832143</v>
      </c>
      <c r="I480" s="3">
        <v>8.0487302374720233</v>
      </c>
      <c r="J480" s="3">
        <v>0.13414550395786706</v>
      </c>
    </row>
    <row r="481" spans="1:11" x14ac:dyDescent="0.35">
      <c r="A481">
        <v>480</v>
      </c>
      <c r="B481" t="s">
        <v>2</v>
      </c>
      <c r="C481" t="s">
        <v>132</v>
      </c>
      <c r="D481" t="s">
        <v>140</v>
      </c>
      <c r="E481" s="2">
        <v>44132.527800925927</v>
      </c>
      <c r="F481" s="2">
        <v>44132.566412037035</v>
      </c>
      <c r="G481" s="3">
        <v>3.8611111107456964E-2</v>
      </c>
      <c r="H481" s="3">
        <v>3356.3205065591933</v>
      </c>
      <c r="I481" s="3">
        <v>55.938675109319888</v>
      </c>
      <c r="J481" s="3">
        <v>0.93231125182199814</v>
      </c>
      <c r="K481" t="s">
        <v>41</v>
      </c>
    </row>
    <row r="482" spans="1:11" x14ac:dyDescent="0.35">
      <c r="A482">
        <v>481</v>
      </c>
      <c r="B482" t="s">
        <v>2</v>
      </c>
      <c r="C482" t="s">
        <v>96</v>
      </c>
      <c r="D482" t="s">
        <v>140</v>
      </c>
      <c r="E482" s="2">
        <v>44132.566620370373</v>
      </c>
      <c r="F482" s="2">
        <v>44132.582685185182</v>
      </c>
      <c r="G482" s="3">
        <v>1.6064814808487426E-2</v>
      </c>
      <c r="H482" s="3">
        <v>1396.4546947572519</v>
      </c>
      <c r="I482" s="3">
        <v>23.274244912620865</v>
      </c>
      <c r="J482" s="3">
        <v>0.38790408187701442</v>
      </c>
    </row>
    <row r="483" spans="1:11" x14ac:dyDescent="0.35">
      <c r="A483">
        <v>482</v>
      </c>
      <c r="B483" t="s">
        <v>16</v>
      </c>
      <c r="C483" t="s">
        <v>16</v>
      </c>
      <c r="D483" t="s">
        <v>140</v>
      </c>
      <c r="E483" s="2">
        <v>44132.582812499997</v>
      </c>
      <c r="F483" s="2">
        <v>44132.589675925927</v>
      </c>
      <c r="G483" s="3">
        <v>6.8634259296231903E-3</v>
      </c>
      <c r="H483" s="3">
        <v>596.61212879200195</v>
      </c>
      <c r="I483" s="3">
        <v>9.9435354798666999</v>
      </c>
      <c r="J483" s="3">
        <v>0.16572559133111167</v>
      </c>
    </row>
    <row r="484" spans="1:11" x14ac:dyDescent="0.35">
      <c r="A484">
        <v>483</v>
      </c>
      <c r="B484" t="s">
        <v>11</v>
      </c>
      <c r="C484" t="s">
        <v>11</v>
      </c>
      <c r="D484" t="s">
        <v>140</v>
      </c>
      <c r="E484" s="2">
        <v>44132.589791666665</v>
      </c>
      <c r="F484" s="2">
        <v>44132.591041666667</v>
      </c>
      <c r="G484" s="3">
        <v>1.2500000011641532E-3</v>
      </c>
      <c r="H484" s="3">
        <v>108.65785823749593</v>
      </c>
      <c r="I484" s="3">
        <v>1.8109643039582655</v>
      </c>
      <c r="J484" s="3">
        <v>3.0182738399304423E-2</v>
      </c>
    </row>
    <row r="485" spans="1:11" x14ac:dyDescent="0.35">
      <c r="A485">
        <v>484</v>
      </c>
      <c r="B485" t="s">
        <v>11</v>
      </c>
      <c r="C485" t="s">
        <v>11</v>
      </c>
      <c r="D485" t="s">
        <v>140</v>
      </c>
      <c r="E485" s="2">
        <v>44132.591331018521</v>
      </c>
      <c r="F485" s="2">
        <v>44132.594282407408</v>
      </c>
      <c r="G485" s="3">
        <v>2.9513888875953853E-3</v>
      </c>
      <c r="H485" s="3">
        <v>256.55327604271429</v>
      </c>
      <c r="I485" s="3">
        <v>4.2758879340452385</v>
      </c>
      <c r="J485" s="3">
        <v>7.1264798900753976E-2</v>
      </c>
    </row>
    <row r="486" spans="1:11" x14ac:dyDescent="0.35">
      <c r="A486">
        <v>485</v>
      </c>
      <c r="B486" t="s">
        <v>2</v>
      </c>
      <c r="C486" t="s">
        <v>132</v>
      </c>
      <c r="D486" t="s">
        <v>140</v>
      </c>
      <c r="E486" s="2">
        <v>44132.594386574077</v>
      </c>
      <c r="F486" s="2">
        <v>44132.603067129632</v>
      </c>
      <c r="G486" s="3">
        <v>8.6805555547471158E-3</v>
      </c>
      <c r="H486" s="3">
        <v>754.56845920958926</v>
      </c>
      <c r="I486" s="3">
        <v>12.576140986826488</v>
      </c>
      <c r="J486" s="3">
        <v>0.20960234978044145</v>
      </c>
      <c r="K486" t="s">
        <v>41</v>
      </c>
    </row>
    <row r="487" spans="1:11" x14ac:dyDescent="0.35">
      <c r="A487">
        <v>486</v>
      </c>
      <c r="B487" t="s">
        <v>11</v>
      </c>
      <c r="C487" t="s">
        <v>11</v>
      </c>
      <c r="D487" t="s">
        <v>140</v>
      </c>
      <c r="E487" s="2">
        <v>44132.603217592594</v>
      </c>
      <c r="F487" s="2">
        <v>44132.622881944444</v>
      </c>
      <c r="G487" s="3">
        <v>1.9664351850224193E-2</v>
      </c>
      <c r="H487" s="3">
        <v>1709.3490829471655</v>
      </c>
      <c r="I487" s="3">
        <v>28.489151382452757</v>
      </c>
      <c r="J487" s="3">
        <v>0.47481918970754594</v>
      </c>
    </row>
    <row r="488" spans="1:11" x14ac:dyDescent="0.35">
      <c r="A488">
        <v>487</v>
      </c>
      <c r="B488" t="s">
        <v>2</v>
      </c>
      <c r="C488" t="s">
        <v>132</v>
      </c>
      <c r="D488" t="s">
        <v>140</v>
      </c>
      <c r="E488" s="2">
        <v>44132.622986111113</v>
      </c>
      <c r="F488" s="2">
        <v>44132.640787037039</v>
      </c>
      <c r="G488" s="3">
        <v>1.7800925925257616E-2</v>
      </c>
      <c r="H488" s="3">
        <v>1547.3683871051473</v>
      </c>
      <c r="I488" s="3">
        <v>25.789473118419121</v>
      </c>
      <c r="J488" s="3">
        <v>0.42982455197365199</v>
      </c>
      <c r="K488" t="s">
        <v>42</v>
      </c>
    </row>
    <row r="489" spans="1:11" x14ac:dyDescent="0.35">
      <c r="A489">
        <v>488</v>
      </c>
      <c r="B489" t="s">
        <v>11</v>
      </c>
      <c r="C489" t="s">
        <v>11</v>
      </c>
      <c r="D489" t="s">
        <v>140</v>
      </c>
      <c r="E489" s="2">
        <v>44132.641064814816</v>
      </c>
      <c r="F489" s="2">
        <v>44132.645648148151</v>
      </c>
      <c r="G489" s="3">
        <v>4.5833333351765759E-3</v>
      </c>
      <c r="H489" s="3">
        <v>398.41214665999439</v>
      </c>
      <c r="I489" s="3">
        <v>6.6402024443332399</v>
      </c>
      <c r="J489" s="3">
        <v>0.11067004073888734</v>
      </c>
    </row>
    <row r="490" spans="1:11" x14ac:dyDescent="0.35">
      <c r="A490">
        <v>489</v>
      </c>
      <c r="B490" t="s">
        <v>2</v>
      </c>
      <c r="C490" t="s">
        <v>132</v>
      </c>
      <c r="D490" t="s">
        <v>140</v>
      </c>
      <c r="E490" s="2">
        <v>44132.645740740743</v>
      </c>
      <c r="F490" s="2">
        <v>44132.699282407404</v>
      </c>
      <c r="G490" s="3">
        <v>5.3541666660748888E-2</v>
      </c>
      <c r="H490" s="3">
        <v>4654.1782563237903</v>
      </c>
      <c r="I490" s="3">
        <v>77.569637605396508</v>
      </c>
      <c r="J490" s="3">
        <v>1.2928272934232752</v>
      </c>
      <c r="K490" t="s">
        <v>64</v>
      </c>
    </row>
    <row r="491" spans="1:11" x14ac:dyDescent="0.35">
      <c r="A491">
        <v>490</v>
      </c>
      <c r="B491" t="s">
        <v>2</v>
      </c>
      <c r="C491" t="s">
        <v>132</v>
      </c>
      <c r="D491" t="s">
        <v>140</v>
      </c>
      <c r="E491" s="2">
        <v>44132.699456018519</v>
      </c>
      <c r="F491" s="2">
        <v>44132.716469907406</v>
      </c>
      <c r="G491" s="3">
        <v>1.7013888886140194E-2</v>
      </c>
      <c r="H491" s="3">
        <v>1478.9541799495996</v>
      </c>
      <c r="I491" s="3">
        <v>24.649236332493327</v>
      </c>
      <c r="J491" s="3">
        <v>0.41082060554155547</v>
      </c>
      <c r="K491" t="s">
        <v>40</v>
      </c>
    </row>
    <row r="492" spans="1:11" x14ac:dyDescent="0.35">
      <c r="A492">
        <v>491</v>
      </c>
      <c r="B492" t="s">
        <v>16</v>
      </c>
      <c r="C492" t="s">
        <v>16</v>
      </c>
      <c r="D492" t="s">
        <v>140</v>
      </c>
      <c r="E492" s="2">
        <v>44132.71665509259</v>
      </c>
      <c r="F492" s="2">
        <v>44132.736122685186</v>
      </c>
      <c r="G492" s="3">
        <v>1.9467592595901806E-2</v>
      </c>
      <c r="H492" s="3">
        <v>1692.2455316326325</v>
      </c>
      <c r="I492" s="3">
        <v>28.204092193877209</v>
      </c>
      <c r="J492" s="3">
        <v>0.47006820323128679</v>
      </c>
    </row>
    <row r="493" spans="1:11" x14ac:dyDescent="0.35">
      <c r="A493">
        <v>492</v>
      </c>
      <c r="B493" t="s">
        <v>11</v>
      </c>
      <c r="C493" t="s">
        <v>11</v>
      </c>
      <c r="D493" t="s">
        <v>140</v>
      </c>
      <c r="E493" s="2">
        <v>44132.738842592589</v>
      </c>
      <c r="F493" s="2">
        <v>44132.73946759259</v>
      </c>
      <c r="G493" s="3">
        <v>6.2500000058207661E-4</v>
      </c>
      <c r="H493" s="3">
        <v>54.328929118747965</v>
      </c>
      <c r="I493" s="3">
        <v>0.90548215197913273</v>
      </c>
      <c r="J493" s="3">
        <v>1.5091369199652212E-2</v>
      </c>
    </row>
    <row r="494" spans="1:11" x14ac:dyDescent="0.35">
      <c r="A494">
        <v>493</v>
      </c>
      <c r="B494" t="s">
        <v>11</v>
      </c>
      <c r="C494" t="s">
        <v>11</v>
      </c>
      <c r="D494" t="s">
        <v>140</v>
      </c>
      <c r="E494" s="2">
        <v>44132.739733796298</v>
      </c>
      <c r="F494" s="2">
        <v>44132.740949074076</v>
      </c>
      <c r="G494" s="3">
        <v>1.2152777781011537E-3</v>
      </c>
      <c r="H494" s="3">
        <v>105.63958432729082</v>
      </c>
      <c r="I494" s="3">
        <v>1.7606597387881804</v>
      </c>
      <c r="J494" s="3">
        <v>2.9344328979803005E-2</v>
      </c>
    </row>
    <row r="495" spans="1:11" x14ac:dyDescent="0.35">
      <c r="A495">
        <v>494</v>
      </c>
      <c r="B495" t="s">
        <v>2</v>
      </c>
      <c r="C495" t="s">
        <v>96</v>
      </c>
      <c r="D495" t="s">
        <v>140</v>
      </c>
      <c r="E495" s="2">
        <v>44132.741087962961</v>
      </c>
      <c r="F495" s="2">
        <v>44132.742754629631</v>
      </c>
      <c r="G495" s="3">
        <v>1.6666666706441902E-3</v>
      </c>
      <c r="H495" s="3">
        <v>144.87714452748523</v>
      </c>
      <c r="I495" s="3">
        <v>2.414619075458087</v>
      </c>
      <c r="J495" s="3">
        <v>4.024365125763478E-2</v>
      </c>
    </row>
    <row r="496" spans="1:11" x14ac:dyDescent="0.35">
      <c r="A496">
        <v>495</v>
      </c>
      <c r="B496" t="s">
        <v>11</v>
      </c>
      <c r="C496" t="s">
        <v>11</v>
      </c>
      <c r="D496" t="s">
        <v>140</v>
      </c>
      <c r="E496" s="2">
        <v>44132.74287037037</v>
      </c>
      <c r="F496" s="2">
        <v>44132.75953703704</v>
      </c>
      <c r="G496" s="3">
        <v>1.6666666670062114E-2</v>
      </c>
      <c r="H496" s="3">
        <v>1448.7714421124924</v>
      </c>
      <c r="I496" s="3">
        <v>24.146190701874875</v>
      </c>
      <c r="J496" s="3">
        <v>0.40243651169791461</v>
      </c>
    </row>
    <row r="497" spans="1:11" x14ac:dyDescent="0.35">
      <c r="A497">
        <v>496</v>
      </c>
      <c r="B497" t="s">
        <v>16</v>
      </c>
      <c r="C497" t="s">
        <v>16</v>
      </c>
      <c r="D497" t="s">
        <v>140</v>
      </c>
      <c r="E497" s="2">
        <v>44132.759629629632</v>
      </c>
      <c r="F497" s="2">
        <v>44132.776956018519</v>
      </c>
      <c r="G497" s="3">
        <v>1.7326388886431232E-2</v>
      </c>
      <c r="H497" s="3">
        <v>1506.1186445089736</v>
      </c>
      <c r="I497" s="3">
        <v>25.101977408482892</v>
      </c>
      <c r="J497" s="3">
        <v>0.41836629014138155</v>
      </c>
    </row>
    <row r="498" spans="1:11" x14ac:dyDescent="0.35">
      <c r="A498">
        <v>497</v>
      </c>
      <c r="B498" t="s">
        <v>11</v>
      </c>
      <c r="C498" t="s">
        <v>11</v>
      </c>
      <c r="D498" t="s">
        <v>140</v>
      </c>
      <c r="E498" s="2">
        <v>44132.78502314815</v>
      </c>
      <c r="F498" s="2">
        <v>44132.798414351855</v>
      </c>
      <c r="G498" s="3">
        <v>1.3391203705396038E-2</v>
      </c>
      <c r="H498" s="3">
        <v>1164.0476099961784</v>
      </c>
      <c r="I498" s="3">
        <v>19.400793499936306</v>
      </c>
      <c r="J498" s="3">
        <v>0.32334655833227177</v>
      </c>
    </row>
    <row r="499" spans="1:11" x14ac:dyDescent="0.35">
      <c r="A499">
        <v>498</v>
      </c>
      <c r="B499" t="s">
        <v>11</v>
      </c>
      <c r="C499" t="s">
        <v>11</v>
      </c>
      <c r="D499" t="s">
        <v>140</v>
      </c>
      <c r="E499" s="2">
        <v>44133.337002314816</v>
      </c>
      <c r="F499" s="2">
        <v>44133.342083333337</v>
      </c>
      <c r="G499" s="3">
        <v>5.0810185202863067E-3</v>
      </c>
      <c r="H499" s="3">
        <v>441.67407165214763</v>
      </c>
      <c r="I499" s="3">
        <v>7.3612345275357942</v>
      </c>
      <c r="J499" s="3">
        <v>0.12268724212559658</v>
      </c>
    </row>
    <row r="500" spans="1:11" x14ac:dyDescent="0.35">
      <c r="A500">
        <v>499</v>
      </c>
      <c r="B500" t="s">
        <v>2</v>
      </c>
      <c r="C500" t="s">
        <v>132</v>
      </c>
      <c r="D500" t="s">
        <v>140</v>
      </c>
      <c r="E500" s="2">
        <v>44133.342303240737</v>
      </c>
      <c r="F500" s="2">
        <v>44133.347048611111</v>
      </c>
      <c r="G500" s="3">
        <v>4.7453703737119213E-3</v>
      </c>
      <c r="H500" s="3">
        <v>412.49742469679427</v>
      </c>
      <c r="I500" s="3">
        <v>6.8749570782799045</v>
      </c>
      <c r="J500" s="3">
        <v>0.11458261797133175</v>
      </c>
      <c r="K500" t="s">
        <v>41</v>
      </c>
    </row>
    <row r="501" spans="1:11" x14ac:dyDescent="0.35">
      <c r="A501">
        <v>500</v>
      </c>
      <c r="B501" t="s">
        <v>11</v>
      </c>
      <c r="C501" t="s">
        <v>11</v>
      </c>
      <c r="D501" t="s">
        <v>140</v>
      </c>
      <c r="E501" s="2">
        <v>44133.347129629627</v>
      </c>
      <c r="F501" s="2">
        <v>44133.353518518517</v>
      </c>
      <c r="G501" s="3">
        <v>6.3888888907968067E-3</v>
      </c>
      <c r="H501" s="3">
        <v>555.36238619582809</v>
      </c>
      <c r="I501" s="3">
        <v>9.2560397699304691</v>
      </c>
      <c r="J501" s="3">
        <v>0.15426732949884114</v>
      </c>
    </row>
    <row r="502" spans="1:11" x14ac:dyDescent="0.35">
      <c r="A502">
        <v>501</v>
      </c>
      <c r="B502" t="s">
        <v>2</v>
      </c>
      <c r="C502" t="s">
        <v>132</v>
      </c>
      <c r="D502" t="s">
        <v>140</v>
      </c>
      <c r="E502" s="2">
        <v>44133.353622685187</v>
      </c>
      <c r="F502" s="2">
        <v>44133.354814814818</v>
      </c>
      <c r="G502" s="3">
        <v>1.1921296318178065E-3</v>
      </c>
      <c r="H502" s="3">
        <v>103.62740193131141</v>
      </c>
      <c r="I502" s="3">
        <v>1.7271233655218567</v>
      </c>
      <c r="J502" s="3">
        <v>2.878538942536428E-2</v>
      </c>
      <c r="K502" t="s">
        <v>41</v>
      </c>
    </row>
    <row r="503" spans="1:11" x14ac:dyDescent="0.35">
      <c r="A503">
        <v>502</v>
      </c>
      <c r="B503" t="s">
        <v>2</v>
      </c>
      <c r="C503" t="s">
        <v>132</v>
      </c>
      <c r="D503" t="s">
        <v>140</v>
      </c>
      <c r="E503" s="2">
        <v>44133.35496527778</v>
      </c>
      <c r="F503" s="2">
        <v>44133.437800925924</v>
      </c>
      <c r="G503" s="3">
        <v>8.2835648143372964E-2</v>
      </c>
      <c r="H503" s="3">
        <v>7200.5952836728929</v>
      </c>
      <c r="I503" s="3">
        <v>120.00992139454821</v>
      </c>
      <c r="J503" s="3">
        <v>2.0001653565758035</v>
      </c>
      <c r="K503" t="s">
        <v>64</v>
      </c>
    </row>
    <row r="504" spans="1:11" x14ac:dyDescent="0.35">
      <c r="A504">
        <v>503</v>
      </c>
      <c r="B504" t="s">
        <v>11</v>
      </c>
      <c r="C504" t="s">
        <v>11</v>
      </c>
      <c r="D504" t="s">
        <v>140</v>
      </c>
      <c r="E504" s="2">
        <v>44133.438148148147</v>
      </c>
      <c r="F504" s="2">
        <v>44133.446701388886</v>
      </c>
      <c r="G504" s="3">
        <v>8.55324073927477E-3</v>
      </c>
      <c r="H504" s="3">
        <v>743.50145508299454</v>
      </c>
      <c r="I504" s="3">
        <v>12.391690918049909</v>
      </c>
      <c r="J504" s="3">
        <v>0.20652818196749848</v>
      </c>
    </row>
    <row r="505" spans="1:11" x14ac:dyDescent="0.35">
      <c r="A505">
        <v>504</v>
      </c>
      <c r="B505" t="s">
        <v>16</v>
      </c>
      <c r="C505" t="s">
        <v>16</v>
      </c>
      <c r="D505" t="s">
        <v>140</v>
      </c>
      <c r="E505" s="2">
        <v>44133.446944444448</v>
      </c>
      <c r="F505" s="2">
        <v>44133.455659722225</v>
      </c>
      <c r="G505" s="3">
        <v>8.7152777778101154E-3</v>
      </c>
      <c r="H505" s="3">
        <v>757.58673311979442</v>
      </c>
      <c r="I505" s="3">
        <v>12.626445551996573</v>
      </c>
      <c r="J505" s="3">
        <v>0.2104407591999429</v>
      </c>
    </row>
    <row r="506" spans="1:11" x14ac:dyDescent="0.35">
      <c r="A506">
        <v>505</v>
      </c>
      <c r="B506" t="s">
        <v>2</v>
      </c>
      <c r="C506" t="s">
        <v>72</v>
      </c>
      <c r="D506" t="s">
        <v>140</v>
      </c>
      <c r="E506" s="2">
        <v>44133.455752314818</v>
      </c>
      <c r="F506" s="2">
        <v>44133.48060185185</v>
      </c>
      <c r="G506" s="3">
        <v>2.4849537032423541E-2</v>
      </c>
      <c r="H506" s="3">
        <v>2160.0779756974566</v>
      </c>
      <c r="I506" s="3">
        <v>36.001299594957608</v>
      </c>
      <c r="J506" s="3">
        <v>0.60002165991596013</v>
      </c>
      <c r="K506" t="s">
        <v>73</v>
      </c>
    </row>
    <row r="507" spans="1:11" x14ac:dyDescent="0.35">
      <c r="A507">
        <v>506</v>
      </c>
      <c r="B507" t="s">
        <v>16</v>
      </c>
      <c r="C507" t="s">
        <v>16</v>
      </c>
      <c r="D507" t="s">
        <v>140</v>
      </c>
      <c r="E507" s="2">
        <v>44133.480694444443</v>
      </c>
      <c r="F507" s="2">
        <v>44133.494027777779</v>
      </c>
      <c r="G507" s="3">
        <v>1.3333333336049691E-2</v>
      </c>
      <c r="H507" s="3">
        <v>1159.0171536899938</v>
      </c>
      <c r="I507" s="3">
        <v>19.316952561499896</v>
      </c>
      <c r="J507" s="3">
        <v>0.3219492093583316</v>
      </c>
    </row>
    <row r="508" spans="1:11" x14ac:dyDescent="0.35">
      <c r="A508">
        <v>507</v>
      </c>
      <c r="B508" t="s">
        <v>2</v>
      </c>
      <c r="C508" t="s">
        <v>132</v>
      </c>
      <c r="D508" t="s">
        <v>140</v>
      </c>
      <c r="E508" s="2">
        <v>44133.494432870371</v>
      </c>
      <c r="F508" s="2">
        <v>44133.51122685185</v>
      </c>
      <c r="G508" s="3">
        <v>1.6793981478258502E-2</v>
      </c>
      <c r="H508" s="3">
        <v>1459.8384456066151</v>
      </c>
      <c r="I508" s="3">
        <v>24.330640760110253</v>
      </c>
      <c r="J508" s="3">
        <v>0.40551067933517088</v>
      </c>
      <c r="K508" t="s">
        <v>41</v>
      </c>
    </row>
    <row r="509" spans="1:11" x14ac:dyDescent="0.35">
      <c r="A509">
        <v>508</v>
      </c>
      <c r="B509" t="s">
        <v>2</v>
      </c>
      <c r="C509" t="s">
        <v>132</v>
      </c>
      <c r="D509" t="s">
        <v>140</v>
      </c>
      <c r="E509" s="2">
        <v>44133.511423611111</v>
      </c>
      <c r="F509" s="2">
        <v>44133.519884259258</v>
      </c>
      <c r="G509" s="3">
        <v>8.4606481468654238E-3</v>
      </c>
      <c r="H509" s="3">
        <v>735.45272486660497</v>
      </c>
      <c r="I509" s="3">
        <v>12.257545414443417</v>
      </c>
      <c r="J509" s="3">
        <v>0.20429242357405694</v>
      </c>
      <c r="K509" t="s">
        <v>40</v>
      </c>
    </row>
    <row r="510" spans="1:11" x14ac:dyDescent="0.35">
      <c r="A510">
        <v>509</v>
      </c>
      <c r="B510" t="s">
        <v>2</v>
      </c>
      <c r="C510" t="s">
        <v>132</v>
      </c>
      <c r="D510" t="s">
        <v>140</v>
      </c>
      <c r="E510" s="2">
        <v>44133.520127314812</v>
      </c>
      <c r="F510" s="2">
        <v>44133.527569444443</v>
      </c>
      <c r="G510" s="3">
        <v>7.442129630362615E-3</v>
      </c>
      <c r="H510" s="3">
        <v>646.91669248631911</v>
      </c>
      <c r="I510" s="3">
        <v>10.781944874771986</v>
      </c>
      <c r="J510" s="3">
        <v>0.17969908124619977</v>
      </c>
      <c r="K510" t="s">
        <v>70</v>
      </c>
    </row>
    <row r="511" spans="1:11" x14ac:dyDescent="0.35">
      <c r="A511">
        <v>510</v>
      </c>
      <c r="B511" t="s">
        <v>2</v>
      </c>
      <c r="C511" t="s">
        <v>132</v>
      </c>
      <c r="D511" t="s">
        <v>140</v>
      </c>
      <c r="E511" s="2">
        <v>44133.527731481481</v>
      </c>
      <c r="F511" s="2">
        <v>44133.570162037038</v>
      </c>
      <c r="G511" s="3">
        <v>4.2430555557075422E-2</v>
      </c>
      <c r="H511" s="3">
        <v>3688.3306290920914</v>
      </c>
      <c r="I511" s="3">
        <v>61.472177151534858</v>
      </c>
      <c r="J511" s="3">
        <v>1.0245362858589142</v>
      </c>
      <c r="K511" t="s">
        <v>42</v>
      </c>
    </row>
    <row r="512" spans="1:11" x14ac:dyDescent="0.35">
      <c r="A512">
        <v>511</v>
      </c>
      <c r="B512" t="s">
        <v>11</v>
      </c>
      <c r="C512" t="s">
        <v>11</v>
      </c>
      <c r="D512" t="s">
        <v>140</v>
      </c>
      <c r="E512" s="2">
        <v>44133.570243055554</v>
      </c>
      <c r="F512" s="2">
        <v>44133.57744212963</v>
      </c>
      <c r="G512" s="3">
        <v>7.1990740761975758E-3</v>
      </c>
      <c r="H512" s="3">
        <v>625.78877574735532</v>
      </c>
      <c r="I512" s="3">
        <v>10.429812929122589</v>
      </c>
      <c r="J512" s="3">
        <v>0.17383021548537647</v>
      </c>
    </row>
    <row r="513" spans="1:11" x14ac:dyDescent="0.35">
      <c r="A513">
        <v>512</v>
      </c>
      <c r="B513" t="s">
        <v>16</v>
      </c>
      <c r="C513" t="s">
        <v>16</v>
      </c>
      <c r="D513" t="s">
        <v>140</v>
      </c>
      <c r="E513" s="2">
        <v>44133.577499999999</v>
      </c>
      <c r="F513" s="2">
        <v>44133.583344907405</v>
      </c>
      <c r="G513" s="3">
        <v>5.8449074058444239E-3</v>
      </c>
      <c r="H513" s="3">
        <v>508.07609577924404</v>
      </c>
      <c r="I513" s="3">
        <v>8.4679349296540671</v>
      </c>
      <c r="J513" s="3">
        <v>0.14113224882756778</v>
      </c>
    </row>
    <row r="514" spans="1:11" x14ac:dyDescent="0.35">
      <c r="A514">
        <v>513</v>
      </c>
      <c r="B514" t="s">
        <v>2</v>
      </c>
      <c r="C514" t="s">
        <v>132</v>
      </c>
      <c r="D514" t="s">
        <v>140</v>
      </c>
      <c r="E514" s="2">
        <v>44133.583460648151</v>
      </c>
      <c r="F514" s="2">
        <v>44133.620868055557</v>
      </c>
      <c r="G514" s="3">
        <v>3.7407407406135462E-2</v>
      </c>
      <c r="H514" s="3">
        <v>3251.6870137461283</v>
      </c>
      <c r="I514" s="3">
        <v>54.194783562435468</v>
      </c>
      <c r="J514" s="3">
        <v>0.90324639270725782</v>
      </c>
      <c r="K514" t="s">
        <v>42</v>
      </c>
    </row>
    <row r="515" spans="1:11" x14ac:dyDescent="0.35">
      <c r="A515">
        <v>514</v>
      </c>
      <c r="B515" t="s">
        <v>11</v>
      </c>
      <c r="C515" t="s">
        <v>11</v>
      </c>
      <c r="D515" t="s">
        <v>140</v>
      </c>
      <c r="E515" s="2">
        <v>44133.620972222219</v>
      </c>
      <c r="F515" s="2">
        <v>44133.625439814816</v>
      </c>
      <c r="G515" s="3">
        <v>4.4675925964838825E-3</v>
      </c>
      <c r="H515" s="3">
        <v>388.35123404762538</v>
      </c>
      <c r="I515" s="3">
        <v>6.4725205674604229</v>
      </c>
      <c r="J515" s="3">
        <v>0.10787534279100705</v>
      </c>
    </row>
    <row r="516" spans="1:11" x14ac:dyDescent="0.35">
      <c r="A516">
        <v>515</v>
      </c>
      <c r="B516" t="s">
        <v>2</v>
      </c>
      <c r="C516" t="s">
        <v>132</v>
      </c>
      <c r="D516" t="s">
        <v>140</v>
      </c>
      <c r="E516" s="2">
        <v>44133.625601851854</v>
      </c>
      <c r="F516" s="2">
        <v>44133.686886574076</v>
      </c>
      <c r="G516" s="3">
        <v>6.1284722221898846E-2</v>
      </c>
      <c r="H516" s="3">
        <v>5327.2533224877297</v>
      </c>
      <c r="I516" s="3">
        <v>88.787555374795502</v>
      </c>
      <c r="J516" s="3">
        <v>1.4797925895799251</v>
      </c>
      <c r="K516" t="s">
        <v>42</v>
      </c>
    </row>
    <row r="517" spans="1:11" x14ac:dyDescent="0.35">
      <c r="A517">
        <v>516</v>
      </c>
      <c r="B517" t="s">
        <v>11</v>
      </c>
      <c r="C517" t="s">
        <v>11</v>
      </c>
      <c r="D517" t="s">
        <v>140</v>
      </c>
      <c r="E517" s="2">
        <v>44133.687037037038</v>
      </c>
      <c r="F517" s="2">
        <v>44133.696168981478</v>
      </c>
      <c r="G517" s="3">
        <v>9.1319444400141947E-3</v>
      </c>
      <c r="H517" s="3">
        <v>793.80601877731169</v>
      </c>
      <c r="I517" s="3">
        <v>13.230100312955194</v>
      </c>
      <c r="J517" s="3">
        <v>0.22050167188258657</v>
      </c>
    </row>
    <row r="518" spans="1:11" x14ac:dyDescent="0.35">
      <c r="A518">
        <v>517</v>
      </c>
      <c r="B518" t="s">
        <v>16</v>
      </c>
      <c r="C518" t="s">
        <v>16</v>
      </c>
      <c r="D518" t="s">
        <v>140</v>
      </c>
      <c r="E518" s="2">
        <v>44133.69636574074</v>
      </c>
      <c r="F518" s="2">
        <v>44133.697638888887</v>
      </c>
      <c r="G518" s="3">
        <v>1.2731481474475004E-3</v>
      </c>
      <c r="H518" s="3">
        <v>110.67004063347534</v>
      </c>
      <c r="I518" s="3">
        <v>1.8445006772245889</v>
      </c>
      <c r="J518" s="3">
        <v>3.0741677953743149E-2</v>
      </c>
    </row>
    <row r="519" spans="1:11" x14ac:dyDescent="0.35">
      <c r="A519">
        <v>518</v>
      </c>
      <c r="B519" t="s">
        <v>16</v>
      </c>
      <c r="C519" t="s">
        <v>16</v>
      </c>
      <c r="D519" t="s">
        <v>140</v>
      </c>
      <c r="E519" s="2">
        <v>44133.697777777779</v>
      </c>
      <c r="F519" s="2">
        <v>44133.708437499998</v>
      </c>
      <c r="G519" s="3">
        <v>1.0659722218406387E-2</v>
      </c>
      <c r="H519" s="3">
        <v>926.61006766397657</v>
      </c>
      <c r="I519" s="3">
        <v>15.443501127732942</v>
      </c>
      <c r="J519" s="3">
        <v>0.25739168546221569</v>
      </c>
    </row>
    <row r="520" spans="1:11" x14ac:dyDescent="0.35">
      <c r="A520">
        <v>519</v>
      </c>
      <c r="B520" t="s">
        <v>11</v>
      </c>
      <c r="C520" t="s">
        <v>11</v>
      </c>
      <c r="D520" t="s">
        <v>140</v>
      </c>
      <c r="E520" s="2">
        <v>44133.708599537036</v>
      </c>
      <c r="F520" s="2">
        <v>44133.712222222224</v>
      </c>
      <c r="G520" s="3">
        <v>3.6226851880201139E-3</v>
      </c>
      <c r="H520" s="3">
        <v>314.90657058589306</v>
      </c>
      <c r="I520" s="3">
        <v>5.2484428430982177</v>
      </c>
      <c r="J520" s="3">
        <v>8.7474047384970291E-2</v>
      </c>
    </row>
    <row r="521" spans="1:11" x14ac:dyDescent="0.35">
      <c r="A521">
        <v>520</v>
      </c>
      <c r="B521" t="s">
        <v>11</v>
      </c>
      <c r="C521" t="s">
        <v>11</v>
      </c>
      <c r="D521" t="s">
        <v>140</v>
      </c>
      <c r="E521" s="2">
        <v>44133.712291666663</v>
      </c>
      <c r="F521" s="2">
        <v>44133.712418981479</v>
      </c>
      <c r="G521" s="3">
        <v>1.273148154723458E-4</v>
      </c>
      <c r="H521" s="3">
        <v>11.067004126594732</v>
      </c>
      <c r="I521" s="3">
        <v>0.18445006877657885</v>
      </c>
      <c r="J521" s="3">
        <v>3.0741678129429808E-3</v>
      </c>
    </row>
    <row r="522" spans="1:11" x14ac:dyDescent="0.35">
      <c r="A522">
        <v>521</v>
      </c>
      <c r="B522" t="s">
        <v>2</v>
      </c>
      <c r="C522" t="s">
        <v>132</v>
      </c>
      <c r="D522" t="s">
        <v>140</v>
      </c>
      <c r="E522" s="2">
        <v>44133.712511574071</v>
      </c>
      <c r="F522" s="2">
        <v>44133.715185185189</v>
      </c>
      <c r="G522" s="3">
        <v>2.6736111176433042E-3</v>
      </c>
      <c r="H522" s="3">
        <v>232.4070860260174</v>
      </c>
      <c r="I522" s="3">
        <v>3.8734514337669568</v>
      </c>
      <c r="J522" s="3">
        <v>6.4557523896115951E-2</v>
      </c>
      <c r="K522" t="s">
        <v>42</v>
      </c>
    </row>
    <row r="523" spans="1:11" x14ac:dyDescent="0.35">
      <c r="A523">
        <v>522</v>
      </c>
      <c r="B523" t="s">
        <v>11</v>
      </c>
      <c r="C523" t="s">
        <v>11</v>
      </c>
      <c r="D523" t="s">
        <v>140</v>
      </c>
      <c r="E523" s="2">
        <v>44133.715428240743</v>
      </c>
      <c r="F523" s="2">
        <v>44133.717013888891</v>
      </c>
      <c r="G523" s="3">
        <v>1.5856481477385387E-3</v>
      </c>
      <c r="H523" s="3">
        <v>137.83450519284932</v>
      </c>
      <c r="I523" s="3">
        <v>2.2972417532141551</v>
      </c>
      <c r="J523" s="3">
        <v>3.8287362553569251E-2</v>
      </c>
    </row>
    <row r="524" spans="1:11" x14ac:dyDescent="0.35">
      <c r="A524">
        <v>523</v>
      </c>
      <c r="B524" t="s">
        <v>11</v>
      </c>
      <c r="C524" t="s">
        <v>11</v>
      </c>
      <c r="D524" t="s">
        <v>140</v>
      </c>
      <c r="E524" s="2">
        <v>44133.72084490741</v>
      </c>
      <c r="F524" s="2">
        <v>44133.750439814816</v>
      </c>
      <c r="G524" s="3">
        <v>2.9594907406135462E-2</v>
      </c>
      <c r="H524" s="3">
        <v>2572.5754003942507</v>
      </c>
      <c r="I524" s="3">
        <v>42.876256673237513</v>
      </c>
      <c r="J524" s="3">
        <v>0.71460427788729186</v>
      </c>
    </row>
    <row r="525" spans="1:11" x14ac:dyDescent="0.35">
      <c r="A525">
        <v>524</v>
      </c>
      <c r="B525" t="s">
        <v>11</v>
      </c>
      <c r="C525" t="s">
        <v>11</v>
      </c>
      <c r="D525" t="s">
        <v>140</v>
      </c>
      <c r="E525" s="2">
        <v>44133.840902777774</v>
      </c>
      <c r="F525" s="2">
        <v>44133.861180555556</v>
      </c>
      <c r="G525" s="3">
        <v>2.0277777781302575E-2</v>
      </c>
      <c r="H525" s="3">
        <v>1762.6719211841598</v>
      </c>
      <c r="I525" s="3">
        <v>29.377865353069332</v>
      </c>
      <c r="J525" s="3">
        <v>0.48963108921782222</v>
      </c>
    </row>
    <row r="526" spans="1:11" x14ac:dyDescent="0.35">
      <c r="A526">
        <v>525</v>
      </c>
      <c r="B526" t="s">
        <v>11</v>
      </c>
      <c r="C526" t="s">
        <v>11</v>
      </c>
      <c r="D526" t="s">
        <v>140</v>
      </c>
      <c r="E526" s="2">
        <v>44134.357777777775</v>
      </c>
      <c r="F526" s="2">
        <v>44134.36755787037</v>
      </c>
      <c r="G526" s="3">
        <v>9.7800925941555761E-3</v>
      </c>
      <c r="H526" s="3">
        <v>850.14713092451109</v>
      </c>
      <c r="I526" s="3">
        <v>14.169118848741851</v>
      </c>
      <c r="J526" s="3">
        <v>0.23615198081236419</v>
      </c>
    </row>
    <row r="527" spans="1:11" x14ac:dyDescent="0.35">
      <c r="A527">
        <v>526</v>
      </c>
      <c r="B527" t="s">
        <v>2</v>
      </c>
      <c r="C527" t="s">
        <v>72</v>
      </c>
      <c r="D527" t="s">
        <v>140</v>
      </c>
      <c r="E527" s="2">
        <v>44134.367685185185</v>
      </c>
      <c r="F527" s="2">
        <v>44134.395173611112</v>
      </c>
      <c r="G527" s="3">
        <v>2.7488425927003846E-2</v>
      </c>
      <c r="H527" s="3">
        <v>2389.4667878132686</v>
      </c>
      <c r="I527" s="3">
        <v>39.82444646355448</v>
      </c>
      <c r="J527" s="3">
        <v>0.66374077439257462</v>
      </c>
      <c r="K527" t="s">
        <v>73</v>
      </c>
    </row>
    <row r="528" spans="1:11" x14ac:dyDescent="0.35">
      <c r="A528">
        <v>527</v>
      </c>
      <c r="B528" t="s">
        <v>11</v>
      </c>
      <c r="C528" t="s">
        <v>11</v>
      </c>
      <c r="D528" t="s">
        <v>140</v>
      </c>
      <c r="E528" s="2">
        <v>44134.395254629628</v>
      </c>
      <c r="F528" s="2">
        <v>44134.396770833337</v>
      </c>
      <c r="G528" s="3">
        <v>1.5162037088884972E-3</v>
      </c>
      <c r="H528" s="3">
        <v>131.7979580049111</v>
      </c>
      <c r="I528" s="3">
        <v>2.1966326334151849</v>
      </c>
      <c r="J528" s="3">
        <v>3.6610543890253082E-2</v>
      </c>
    </row>
    <row r="529" spans="1:11" x14ac:dyDescent="0.35">
      <c r="A529">
        <v>528</v>
      </c>
      <c r="B529" t="s">
        <v>2</v>
      </c>
      <c r="C529" t="s">
        <v>96</v>
      </c>
      <c r="D529" t="s">
        <v>140</v>
      </c>
      <c r="E529" s="2">
        <v>44134.396979166668</v>
      </c>
      <c r="F529" s="2">
        <v>44134.399594907409</v>
      </c>
      <c r="G529" s="3">
        <v>2.6157407410209998E-3</v>
      </c>
      <c r="H529" s="3">
        <v>227.3766290873609</v>
      </c>
      <c r="I529" s="3">
        <v>3.7896104847893484</v>
      </c>
      <c r="J529" s="3">
        <v>6.3160174746489134E-2</v>
      </c>
    </row>
    <row r="530" spans="1:11" x14ac:dyDescent="0.35">
      <c r="A530">
        <v>529</v>
      </c>
      <c r="B530" t="s">
        <v>2</v>
      </c>
      <c r="C530" t="s">
        <v>96</v>
      </c>
      <c r="D530" t="s">
        <v>140</v>
      </c>
      <c r="E530" s="2">
        <v>44134.399722222224</v>
      </c>
      <c r="F530" s="2">
        <v>44134.404120370367</v>
      </c>
      <c r="G530" s="3">
        <v>4.3981481430819258E-3</v>
      </c>
      <c r="H530" s="3">
        <v>382.3146855947432</v>
      </c>
      <c r="I530" s="3">
        <v>6.3719114265790529</v>
      </c>
      <c r="J530" s="3">
        <v>0.10619852377631754</v>
      </c>
    </row>
    <row r="531" spans="1:11" x14ac:dyDescent="0.35">
      <c r="A531">
        <v>530</v>
      </c>
      <c r="B531" t="s">
        <v>2</v>
      </c>
      <c r="C531" t="s">
        <v>132</v>
      </c>
      <c r="D531" t="s">
        <v>140</v>
      </c>
      <c r="E531" s="2">
        <v>44134.40420138889</v>
      </c>
      <c r="F531" s="2">
        <v>44134.40483796296</v>
      </c>
      <c r="G531" s="3">
        <v>6.3657407008577138E-4</v>
      </c>
      <c r="H531" s="3">
        <v>55.335020000501679</v>
      </c>
      <c r="I531" s="3">
        <v>0.92225033334169459</v>
      </c>
      <c r="J531" s="3">
        <v>1.5370838889028243E-2</v>
      </c>
      <c r="K531" t="s">
        <v>64</v>
      </c>
    </row>
    <row r="532" spans="1:11" x14ac:dyDescent="0.35">
      <c r="A532">
        <v>531</v>
      </c>
      <c r="B532" t="s">
        <v>2</v>
      </c>
      <c r="C532" t="s">
        <v>96</v>
      </c>
      <c r="D532" t="s">
        <v>140</v>
      </c>
      <c r="E532" s="2">
        <v>44134.404942129629</v>
      </c>
      <c r="F532" s="2">
        <v>44134.433645833335</v>
      </c>
      <c r="G532" s="3">
        <v>2.8703703705104999E-2</v>
      </c>
      <c r="H532" s="3">
        <v>2495.1063721405594</v>
      </c>
      <c r="I532" s="3">
        <v>41.585106202342658</v>
      </c>
      <c r="J532" s="3">
        <v>0.69308510337237761</v>
      </c>
    </row>
    <row r="533" spans="1:11" x14ac:dyDescent="0.35">
      <c r="A533">
        <v>532</v>
      </c>
      <c r="B533" t="s">
        <v>16</v>
      </c>
      <c r="C533" t="s">
        <v>16</v>
      </c>
      <c r="D533" t="s">
        <v>140</v>
      </c>
      <c r="E533" s="2">
        <v>44134.433715277781</v>
      </c>
      <c r="F533" s="2">
        <v>44134.436111111114</v>
      </c>
      <c r="G533" s="3">
        <v>2.3958333331393078E-3</v>
      </c>
      <c r="H533" s="3">
        <v>208.26089474437654</v>
      </c>
      <c r="I533" s="3">
        <v>3.4710149124062757</v>
      </c>
      <c r="J533" s="3">
        <v>5.7850248540104593E-2</v>
      </c>
    </row>
    <row r="534" spans="1:11" x14ac:dyDescent="0.35">
      <c r="A534">
        <v>533</v>
      </c>
      <c r="B534" t="s">
        <v>2</v>
      </c>
      <c r="C534" t="s">
        <v>96</v>
      </c>
      <c r="D534" t="s">
        <v>140</v>
      </c>
      <c r="E534" s="2">
        <v>44134.436284722222</v>
      </c>
      <c r="F534" s="2">
        <v>44134.451956018522</v>
      </c>
      <c r="G534" s="3">
        <v>1.5671296299842652E-2</v>
      </c>
      <c r="H534" s="3">
        <v>1362.2475921281859</v>
      </c>
      <c r="I534" s="3">
        <v>22.704126535469765</v>
      </c>
      <c r="J534" s="3">
        <v>0.37840210892449611</v>
      </c>
    </row>
    <row r="535" spans="1:11" x14ac:dyDescent="0.35">
      <c r="A535">
        <v>534</v>
      </c>
      <c r="B535" t="s">
        <v>2</v>
      </c>
      <c r="C535" t="s">
        <v>132</v>
      </c>
      <c r="D535" t="s">
        <v>140</v>
      </c>
      <c r="E535" s="2">
        <v>44134.452210648145</v>
      </c>
      <c r="F535" s="2">
        <v>44134.453483796293</v>
      </c>
      <c r="G535" s="3">
        <v>1.2731481474475004E-3</v>
      </c>
      <c r="H535" s="3">
        <v>110.67004063347534</v>
      </c>
      <c r="I535" s="3">
        <v>1.8445006772245889</v>
      </c>
      <c r="J535" s="3">
        <v>3.0741677953743149E-2</v>
      </c>
      <c r="K535" t="s">
        <v>40</v>
      </c>
    </row>
    <row r="536" spans="1:11" x14ac:dyDescent="0.35">
      <c r="A536">
        <v>535</v>
      </c>
      <c r="B536" t="s">
        <v>11</v>
      </c>
      <c r="C536" t="s">
        <v>11</v>
      </c>
      <c r="D536" t="s">
        <v>140</v>
      </c>
      <c r="E536" s="2">
        <v>44134.453668981485</v>
      </c>
      <c r="F536" s="2">
        <v>44134.458333333336</v>
      </c>
      <c r="G536" s="3">
        <v>4.6643518508062698E-3</v>
      </c>
      <c r="H536" s="3">
        <v>405.45478536215836</v>
      </c>
      <c r="I536" s="3">
        <v>6.7575797560359723</v>
      </c>
      <c r="J536" s="3">
        <v>0.11262632926726621</v>
      </c>
    </row>
    <row r="537" spans="1:11" x14ac:dyDescent="0.35">
      <c r="A537">
        <v>536</v>
      </c>
      <c r="B537" t="s">
        <v>2</v>
      </c>
      <c r="C537" t="s">
        <v>132</v>
      </c>
      <c r="D537" t="s">
        <v>140</v>
      </c>
      <c r="E537" s="2">
        <v>44134.458449074074</v>
      </c>
      <c r="F537" s="2">
        <v>44134.470034722224</v>
      </c>
      <c r="G537" s="3">
        <v>1.1585648149775807E-2</v>
      </c>
      <c r="H537" s="3">
        <v>1007.0973704603448</v>
      </c>
      <c r="I537" s="3">
        <v>16.784956174339079</v>
      </c>
      <c r="J537" s="3">
        <v>0.27974926957231799</v>
      </c>
      <c r="K537" t="s">
        <v>40</v>
      </c>
    </row>
    <row r="538" spans="1:11" x14ac:dyDescent="0.35">
      <c r="A538">
        <v>537</v>
      </c>
      <c r="B538" t="s">
        <v>11</v>
      </c>
      <c r="C538" t="s">
        <v>11</v>
      </c>
      <c r="D538" t="s">
        <v>140</v>
      </c>
      <c r="E538" s="2">
        <v>44134.47011574074</v>
      </c>
      <c r="F538" s="2">
        <v>44134.481770833336</v>
      </c>
      <c r="G538" s="3">
        <v>1.1655092595901806E-2</v>
      </c>
      <c r="H538" s="3">
        <v>1013.133918280755</v>
      </c>
      <c r="I538" s="3">
        <v>16.88556530467925</v>
      </c>
      <c r="J538" s="3">
        <v>0.28142608841132083</v>
      </c>
    </row>
    <row r="539" spans="1:11" x14ac:dyDescent="0.35">
      <c r="A539">
        <v>538</v>
      </c>
      <c r="B539" t="s">
        <v>16</v>
      </c>
      <c r="C539" t="s">
        <v>16</v>
      </c>
      <c r="D539" t="s">
        <v>140</v>
      </c>
      <c r="E539" s="2">
        <v>44134.481909722221</v>
      </c>
      <c r="F539" s="2">
        <v>44134.503321759257</v>
      </c>
      <c r="G539" s="3">
        <v>2.1412037036498077E-2</v>
      </c>
      <c r="H539" s="3">
        <v>1861.2688661768148</v>
      </c>
      <c r="I539" s="3">
        <v>31.021147769613581</v>
      </c>
      <c r="J539" s="3">
        <v>0.51701912949355966</v>
      </c>
    </row>
    <row r="540" spans="1:11" x14ac:dyDescent="0.35">
      <c r="A540">
        <v>539</v>
      </c>
      <c r="B540" t="s">
        <v>11</v>
      </c>
      <c r="C540" t="s">
        <v>11</v>
      </c>
      <c r="D540" t="s">
        <v>140</v>
      </c>
      <c r="E540" s="2">
        <v>44134.503379629627</v>
      </c>
      <c r="F540" s="2">
        <v>44134.507824074077</v>
      </c>
      <c r="G540" s="3">
        <v>4.4444444502005354E-3</v>
      </c>
      <c r="H540" s="3">
        <v>386.33905165164595</v>
      </c>
      <c r="I540" s="3">
        <v>6.4389841941940995</v>
      </c>
      <c r="J540" s="3">
        <v>0.10731640323656833</v>
      </c>
    </row>
    <row r="541" spans="1:11" x14ac:dyDescent="0.35">
      <c r="A541">
        <v>540</v>
      </c>
      <c r="B541" t="s">
        <v>2</v>
      </c>
      <c r="C541" t="s">
        <v>96</v>
      </c>
      <c r="D541" t="s">
        <v>140</v>
      </c>
      <c r="E541" s="2">
        <v>44134.507939814815</v>
      </c>
      <c r="F541" s="2">
        <v>44134.509664351855</v>
      </c>
      <c r="G541" s="3">
        <v>1.7245370399905369E-3</v>
      </c>
      <c r="H541" s="3">
        <v>149.90760083366976</v>
      </c>
      <c r="I541" s="3">
        <v>2.4984600138944959</v>
      </c>
      <c r="J541" s="3">
        <v>4.164100023157493E-2</v>
      </c>
    </row>
    <row r="542" spans="1:11" x14ac:dyDescent="0.35">
      <c r="A542">
        <v>541</v>
      </c>
      <c r="B542" t="s">
        <v>11</v>
      </c>
      <c r="C542" t="s">
        <v>11</v>
      </c>
      <c r="D542" t="s">
        <v>140</v>
      </c>
      <c r="E542" s="2">
        <v>44134.510092592594</v>
      </c>
      <c r="F542" s="2">
        <v>44134.51295138889</v>
      </c>
      <c r="G542" s="3">
        <v>2.8587962951860391E-3</v>
      </c>
      <c r="H542" s="3">
        <v>248.50454582632466</v>
      </c>
      <c r="I542" s="3">
        <v>4.141742430438744</v>
      </c>
      <c r="J542" s="3">
        <v>6.90290405073124E-2</v>
      </c>
    </row>
    <row r="543" spans="1:11" x14ac:dyDescent="0.35">
      <c r="A543">
        <v>542</v>
      </c>
      <c r="B543" t="s">
        <v>2</v>
      </c>
      <c r="C543" t="s">
        <v>132</v>
      </c>
      <c r="D543" t="s">
        <v>140</v>
      </c>
      <c r="E543" s="2">
        <v>44134.513148148151</v>
      </c>
      <c r="F543" s="2">
        <v>44134.515046296299</v>
      </c>
      <c r="G543" s="3">
        <v>1.898148148029577E-3</v>
      </c>
      <c r="H543" s="3">
        <v>164.9989697522233</v>
      </c>
      <c r="I543" s="3">
        <v>2.7499828292037218</v>
      </c>
      <c r="J543" s="3">
        <v>4.5833047153395361E-2</v>
      </c>
      <c r="K543" t="s">
        <v>42</v>
      </c>
    </row>
    <row r="544" spans="1:11" x14ac:dyDescent="0.35">
      <c r="A544">
        <v>543</v>
      </c>
      <c r="B544" t="s">
        <v>2</v>
      </c>
      <c r="C544" t="s">
        <v>72</v>
      </c>
      <c r="D544" t="s">
        <v>140</v>
      </c>
      <c r="E544" s="2">
        <v>44134.515138888892</v>
      </c>
      <c r="F544" s="2">
        <v>44134.547719907408</v>
      </c>
      <c r="G544" s="3">
        <v>3.2581018516793847E-2</v>
      </c>
      <c r="H544" s="3">
        <v>2832.1469503471703</v>
      </c>
      <c r="I544" s="3">
        <v>47.202449172452837</v>
      </c>
      <c r="J544" s="3">
        <v>0.78670748620754727</v>
      </c>
      <c r="K544" t="s">
        <v>73</v>
      </c>
    </row>
    <row r="545" spans="1:11" x14ac:dyDescent="0.35">
      <c r="A545">
        <v>544</v>
      </c>
      <c r="B545" t="s">
        <v>16</v>
      </c>
      <c r="C545" t="s">
        <v>16</v>
      </c>
      <c r="D545" t="s">
        <v>140</v>
      </c>
      <c r="E545" s="2">
        <v>44134.547835648147</v>
      </c>
      <c r="F545" s="2">
        <v>44134.566724537035</v>
      </c>
      <c r="G545" s="3">
        <v>1.8888888887886424E-2</v>
      </c>
      <c r="H545" s="3">
        <v>1641.9409673058435</v>
      </c>
      <c r="I545" s="3">
        <v>27.365682788430725</v>
      </c>
      <c r="J545" s="3">
        <v>0.45609471314051209</v>
      </c>
    </row>
    <row r="546" spans="1:11" x14ac:dyDescent="0.35">
      <c r="A546">
        <v>545</v>
      </c>
      <c r="B546" t="s">
        <v>11</v>
      </c>
      <c r="C546" t="s">
        <v>11</v>
      </c>
      <c r="D546" t="s">
        <v>140</v>
      </c>
      <c r="E546" s="2">
        <v>44134.566828703704</v>
      </c>
      <c r="F546" s="2">
        <v>44134.568055555559</v>
      </c>
      <c r="G546" s="3">
        <v>1.2268518548808061E-3</v>
      </c>
      <c r="H546" s="3">
        <v>106.64567584151652</v>
      </c>
      <c r="I546" s="3">
        <v>1.777427930691942</v>
      </c>
      <c r="J546" s="3">
        <v>2.9623798844865702E-2</v>
      </c>
    </row>
    <row r="547" spans="1:11" x14ac:dyDescent="0.35">
      <c r="A547">
        <v>546</v>
      </c>
      <c r="B547" t="s">
        <v>2</v>
      </c>
      <c r="C547" t="s">
        <v>132</v>
      </c>
      <c r="D547" t="s">
        <v>140</v>
      </c>
      <c r="E547" s="2">
        <v>44134.568159722221</v>
      </c>
      <c r="F547" s="2">
        <v>44134.575787037036</v>
      </c>
      <c r="G547" s="3">
        <v>7.6273148151813075E-3</v>
      </c>
      <c r="H547" s="3">
        <v>663.01415291909836</v>
      </c>
      <c r="I547" s="3">
        <v>11.050235881984973</v>
      </c>
      <c r="J547" s="3">
        <v>0.18417059803308289</v>
      </c>
      <c r="K547" t="s">
        <v>40</v>
      </c>
    </row>
    <row r="548" spans="1:11" x14ac:dyDescent="0.35">
      <c r="A548">
        <v>547</v>
      </c>
      <c r="B548" t="s">
        <v>11</v>
      </c>
      <c r="C548" t="s">
        <v>11</v>
      </c>
      <c r="D548" t="s">
        <v>140</v>
      </c>
      <c r="E548" s="2">
        <v>44134.575925925928</v>
      </c>
      <c r="F548" s="2">
        <v>44134.576539351852</v>
      </c>
      <c r="G548" s="3">
        <v>6.1342592380242422E-4</v>
      </c>
      <c r="H548" s="3">
        <v>53.32283760452227</v>
      </c>
      <c r="I548" s="3">
        <v>0.88871396007537118</v>
      </c>
      <c r="J548" s="3">
        <v>1.4811899334589519E-2</v>
      </c>
    </row>
    <row r="549" spans="1:11" x14ac:dyDescent="0.35">
      <c r="A549">
        <v>548</v>
      </c>
      <c r="B549" t="s">
        <v>2</v>
      </c>
      <c r="C549" t="s">
        <v>132</v>
      </c>
      <c r="D549" t="s">
        <v>140</v>
      </c>
      <c r="E549" s="2">
        <v>44134.576689814814</v>
      </c>
      <c r="F549" s="2">
        <v>44134.581145833334</v>
      </c>
      <c r="G549" s="3">
        <v>4.4560185197042301E-3</v>
      </c>
      <c r="H549" s="3">
        <v>387.34514253339967</v>
      </c>
      <c r="I549" s="3">
        <v>6.4557523755566608</v>
      </c>
      <c r="J549" s="3">
        <v>0.10759587292594434</v>
      </c>
      <c r="K549" t="s">
        <v>40</v>
      </c>
    </row>
    <row r="550" spans="1:11" x14ac:dyDescent="0.35">
      <c r="A550">
        <v>549</v>
      </c>
      <c r="B550" t="s">
        <v>2</v>
      </c>
      <c r="C550" t="s">
        <v>96</v>
      </c>
      <c r="D550" t="s">
        <v>140</v>
      </c>
      <c r="E550" s="2">
        <v>44134.581273148149</v>
      </c>
      <c r="F550" s="2">
        <v>44134.590532407405</v>
      </c>
      <c r="G550" s="3">
        <v>9.2592592554865405E-3</v>
      </c>
      <c r="H550" s="3">
        <v>804.87302290390642</v>
      </c>
      <c r="I550" s="3">
        <v>13.414550381731773</v>
      </c>
      <c r="J550" s="3">
        <v>0.22357583969552955</v>
      </c>
    </row>
    <row r="551" spans="1:11" x14ac:dyDescent="0.35">
      <c r="A551">
        <v>550</v>
      </c>
      <c r="B551" t="s">
        <v>2</v>
      </c>
      <c r="C551" t="s">
        <v>96</v>
      </c>
      <c r="D551" t="s">
        <v>140</v>
      </c>
      <c r="E551" s="2">
        <v>44134.590624999997</v>
      </c>
      <c r="F551" s="2">
        <v>44134.600185185183</v>
      </c>
      <c r="G551" s="3">
        <v>9.560185186273884E-3</v>
      </c>
      <c r="H551" s="3">
        <v>831.03139658152668</v>
      </c>
      <c r="I551" s="3">
        <v>13.850523276358778</v>
      </c>
      <c r="J551" s="3">
        <v>0.23084205460597965</v>
      </c>
    </row>
    <row r="552" spans="1:11" x14ac:dyDescent="0.35">
      <c r="A552">
        <v>551</v>
      </c>
      <c r="B552" t="s">
        <v>2</v>
      </c>
      <c r="C552" t="s">
        <v>96</v>
      </c>
      <c r="D552" t="s">
        <v>140</v>
      </c>
      <c r="E552" s="2">
        <v>44134.600462962961</v>
      </c>
      <c r="F552" s="2">
        <v>44134.619745370372</v>
      </c>
      <c r="G552" s="3">
        <v>1.9282407411083113E-2</v>
      </c>
      <c r="H552" s="3">
        <v>1676.1480711998533</v>
      </c>
      <c r="I552" s="3">
        <v>27.935801186664222</v>
      </c>
      <c r="J552" s="3">
        <v>0.46559668644440372</v>
      </c>
    </row>
    <row r="553" spans="1:11" x14ac:dyDescent="0.35">
      <c r="A553">
        <v>552</v>
      </c>
      <c r="B553" t="s">
        <v>2</v>
      </c>
      <c r="C553" t="s">
        <v>96</v>
      </c>
      <c r="D553" t="s">
        <v>140</v>
      </c>
      <c r="E553" s="2">
        <v>44134.620740740742</v>
      </c>
      <c r="F553" s="2">
        <v>44134.625567129631</v>
      </c>
      <c r="G553" s="3">
        <v>4.8263888893416151E-3</v>
      </c>
      <c r="H553" s="3">
        <v>419.54006339895818</v>
      </c>
      <c r="I553" s="3">
        <v>6.992334389982636</v>
      </c>
      <c r="J553" s="3">
        <v>0.1165389064997106</v>
      </c>
    </row>
    <row r="554" spans="1:11" x14ac:dyDescent="0.35">
      <c r="A554">
        <v>553</v>
      </c>
      <c r="B554" t="s">
        <v>2</v>
      </c>
      <c r="C554" t="s">
        <v>96</v>
      </c>
      <c r="D554" t="s">
        <v>140</v>
      </c>
      <c r="E554" s="2">
        <v>44134.625752314816</v>
      </c>
      <c r="F554" s="2">
        <v>44134.627962962964</v>
      </c>
      <c r="G554" s="3">
        <v>2.2106481483206153E-3</v>
      </c>
      <c r="H554" s="3">
        <v>192.16343431159729</v>
      </c>
      <c r="I554" s="3">
        <v>3.2027239051932881</v>
      </c>
      <c r="J554" s="3">
        <v>5.337873175322147E-2</v>
      </c>
    </row>
    <row r="555" spans="1:11" x14ac:dyDescent="0.35">
      <c r="A555">
        <v>554</v>
      </c>
      <c r="B555" t="s">
        <v>11</v>
      </c>
      <c r="C555" t="s">
        <v>11</v>
      </c>
      <c r="D555" t="s">
        <v>140</v>
      </c>
      <c r="E555" s="2">
        <v>44134.62809027778</v>
      </c>
      <c r="F555" s="2">
        <v>44134.63690972222</v>
      </c>
      <c r="G555" s="3">
        <v>8.8194444397231564E-3</v>
      </c>
      <c r="H555" s="3">
        <v>766.64155421793771</v>
      </c>
      <c r="I555" s="3">
        <v>12.777359236965628</v>
      </c>
      <c r="J555" s="3">
        <v>0.21295598728276047</v>
      </c>
    </row>
    <row r="556" spans="1:11" x14ac:dyDescent="0.35">
      <c r="A556">
        <v>555</v>
      </c>
      <c r="B556" t="s">
        <v>11</v>
      </c>
      <c r="C556" t="s">
        <v>11</v>
      </c>
      <c r="D556" t="s">
        <v>140</v>
      </c>
      <c r="E556" s="2">
        <v>44134.637083333335</v>
      </c>
      <c r="F556" s="2">
        <v>44134.63795138889</v>
      </c>
      <c r="G556" s="3">
        <v>8.6805555474711582E-4</v>
      </c>
      <c r="H556" s="3">
        <v>75.456845857711727</v>
      </c>
      <c r="I556" s="3">
        <v>1.2576140976285288</v>
      </c>
      <c r="J556" s="3">
        <v>2.0960234960475482E-2</v>
      </c>
    </row>
    <row r="557" spans="1:11" x14ac:dyDescent="0.35">
      <c r="A557">
        <v>556</v>
      </c>
      <c r="B557" t="s">
        <v>2</v>
      </c>
      <c r="C557" t="s">
        <v>96</v>
      </c>
      <c r="D557" t="s">
        <v>140</v>
      </c>
      <c r="E557" s="2">
        <v>44134.638159722221</v>
      </c>
      <c r="F557" s="2">
        <v>44134.645891203705</v>
      </c>
      <c r="G557" s="3">
        <v>7.7314814843703061E-3</v>
      </c>
      <c r="H557" s="3">
        <v>672.0689746497136</v>
      </c>
      <c r="I557" s="3">
        <v>11.201149577495226</v>
      </c>
      <c r="J557" s="3">
        <v>0.18668582629158709</v>
      </c>
    </row>
    <row r="558" spans="1:11" x14ac:dyDescent="0.35">
      <c r="A558">
        <v>557</v>
      </c>
      <c r="B558" t="s">
        <v>2</v>
      </c>
      <c r="C558" t="s">
        <v>96</v>
      </c>
      <c r="D558" t="s">
        <v>140</v>
      </c>
      <c r="E558" s="2">
        <v>44134.646249999998</v>
      </c>
      <c r="F558" s="2">
        <v>44134.682928240742</v>
      </c>
      <c r="G558" s="3">
        <v>3.6678240743640345E-2</v>
      </c>
      <c r="H558" s="3">
        <v>3188.303263529237</v>
      </c>
      <c r="I558" s="3">
        <v>53.138387725487284</v>
      </c>
      <c r="J558" s="3">
        <v>0.8856397954247881</v>
      </c>
    </row>
    <row r="559" spans="1:11" x14ac:dyDescent="0.35">
      <c r="A559">
        <v>558</v>
      </c>
      <c r="B559" t="s">
        <v>2</v>
      </c>
      <c r="C559" t="s">
        <v>72</v>
      </c>
      <c r="D559" t="s">
        <v>140</v>
      </c>
      <c r="E559" s="2">
        <v>44134.683564814812</v>
      </c>
      <c r="F559" s="2">
        <v>44134.724143518521</v>
      </c>
      <c r="G559" s="3">
        <v>4.0578703708888497E-2</v>
      </c>
      <c r="H559" s="3">
        <v>3527.356024764299</v>
      </c>
      <c r="I559" s="3">
        <v>58.789267079404986</v>
      </c>
      <c r="J559" s="3">
        <v>0.97982111799008309</v>
      </c>
      <c r="K559" t="s">
        <v>73</v>
      </c>
    </row>
    <row r="560" spans="1:11" x14ac:dyDescent="0.35">
      <c r="A560">
        <v>559</v>
      </c>
      <c r="B560" t="s">
        <v>11</v>
      </c>
      <c r="C560" t="s">
        <v>11</v>
      </c>
      <c r="D560" t="s">
        <v>140</v>
      </c>
      <c r="E560" s="2">
        <v>44134.724224537036</v>
      </c>
      <c r="F560" s="2">
        <v>44134.729895833334</v>
      </c>
      <c r="G560" s="3">
        <v>5.6712962978053838E-3</v>
      </c>
      <c r="H560" s="3">
        <v>492.9847268606905</v>
      </c>
      <c r="I560" s="3">
        <v>8.2164121143448412</v>
      </c>
      <c r="J560" s="3">
        <v>0.13694020190574735</v>
      </c>
    </row>
    <row r="561" spans="1:11" x14ac:dyDescent="0.35">
      <c r="A561">
        <v>560</v>
      </c>
      <c r="B561" t="s">
        <v>11</v>
      </c>
      <c r="C561" t="s">
        <v>11</v>
      </c>
      <c r="D561" t="s">
        <v>140</v>
      </c>
      <c r="E561" s="2">
        <v>44134.905787037038</v>
      </c>
      <c r="F561" s="2">
        <v>44134.909108796295</v>
      </c>
      <c r="G561" s="3">
        <v>3.3217592572327703E-3</v>
      </c>
      <c r="H561" s="3">
        <v>288.7481969082728</v>
      </c>
      <c r="I561" s="3">
        <v>4.8124699484712137</v>
      </c>
      <c r="J561" s="3">
        <v>8.0207832474520221E-2</v>
      </c>
    </row>
    <row r="562" spans="1:11" x14ac:dyDescent="0.35">
      <c r="A562">
        <v>561</v>
      </c>
      <c r="B562" t="s">
        <v>11</v>
      </c>
      <c r="C562" t="s">
        <v>11</v>
      </c>
      <c r="D562" t="s">
        <v>140</v>
      </c>
      <c r="E562" s="2">
        <v>44137.316041666665</v>
      </c>
      <c r="F562" s="2">
        <v>44137.330578703702</v>
      </c>
      <c r="G562" s="3">
        <v>1.4537037037371192E-2</v>
      </c>
      <c r="H562" s="3">
        <v>1263.6506465030591</v>
      </c>
      <c r="I562" s="3">
        <v>21.06084410838432</v>
      </c>
      <c r="J562" s="3">
        <v>0.35101406847307198</v>
      </c>
    </row>
    <row r="563" spans="1:11" x14ac:dyDescent="0.35">
      <c r="A563">
        <v>562</v>
      </c>
      <c r="B563" t="s">
        <v>11</v>
      </c>
      <c r="C563" t="s">
        <v>11</v>
      </c>
      <c r="D563" t="s">
        <v>140</v>
      </c>
      <c r="E563" s="2">
        <v>44137.330659722225</v>
      </c>
      <c r="F563" s="2">
        <v>44137.332499999997</v>
      </c>
      <c r="G563" s="3">
        <v>1.8402777714072727E-3</v>
      </c>
      <c r="H563" s="3">
        <v>159.9685128135668</v>
      </c>
      <c r="I563" s="3">
        <v>2.6661418802261134</v>
      </c>
      <c r="J563" s="3">
        <v>4.4435698003768558E-2</v>
      </c>
    </row>
    <row r="564" spans="1:11" x14ac:dyDescent="0.35">
      <c r="A564">
        <v>563</v>
      </c>
      <c r="B564" t="s">
        <v>2</v>
      </c>
      <c r="C564" t="s">
        <v>96</v>
      </c>
      <c r="D564" t="s">
        <v>140</v>
      </c>
      <c r="E564" s="2">
        <v>44137.332615740743</v>
      </c>
      <c r="F564" s="2">
        <v>44137.332789351851</v>
      </c>
      <c r="G564" s="3">
        <v>1.7361110803904012E-4</v>
      </c>
      <c r="H564" s="3">
        <v>15.091368918553556</v>
      </c>
      <c r="I564" s="3">
        <v>0.25152281530922593</v>
      </c>
      <c r="J564" s="3">
        <v>4.1920469218204321E-3</v>
      </c>
    </row>
    <row r="565" spans="1:11" x14ac:dyDescent="0.35">
      <c r="A565">
        <v>564</v>
      </c>
      <c r="B565" t="s">
        <v>2</v>
      </c>
      <c r="C565" t="s">
        <v>132</v>
      </c>
      <c r="D565" t="s">
        <v>140</v>
      </c>
      <c r="E565" s="2">
        <v>44137.33289351852</v>
      </c>
      <c r="F565" s="2">
        <v>44137.339432870373</v>
      </c>
      <c r="G565" s="3">
        <v>6.5393518525524996E-3</v>
      </c>
      <c r="H565" s="3">
        <v>568.4415727184022</v>
      </c>
      <c r="I565" s="3">
        <v>9.4740262119733707</v>
      </c>
      <c r="J565" s="3">
        <v>0.15790043686622285</v>
      </c>
      <c r="K565" t="s">
        <v>41</v>
      </c>
    </row>
    <row r="566" spans="1:11" x14ac:dyDescent="0.35">
      <c r="A566">
        <v>565</v>
      </c>
      <c r="B566" t="s">
        <v>11</v>
      </c>
      <c r="C566" t="s">
        <v>11</v>
      </c>
      <c r="D566" t="s">
        <v>140</v>
      </c>
      <c r="E566" s="2">
        <v>44137.339513888888</v>
      </c>
      <c r="F566" s="2">
        <v>44137.34269675926</v>
      </c>
      <c r="G566" s="3">
        <v>3.1828703722567298E-3</v>
      </c>
      <c r="H566" s="3">
        <v>276.67510189992436</v>
      </c>
      <c r="I566" s="3">
        <v>4.6112516983320724</v>
      </c>
      <c r="J566" s="3">
        <v>7.6854194972201209E-2</v>
      </c>
    </row>
    <row r="567" spans="1:11" x14ac:dyDescent="0.35">
      <c r="A567">
        <v>566</v>
      </c>
      <c r="B567" t="s">
        <v>16</v>
      </c>
      <c r="C567" t="s">
        <v>16</v>
      </c>
      <c r="D567" t="s">
        <v>140</v>
      </c>
      <c r="E567" s="2">
        <v>44137.342766203707</v>
      </c>
      <c r="F567" s="2">
        <v>44137.352581018517</v>
      </c>
      <c r="G567" s="3">
        <v>9.814814809942618E-3</v>
      </c>
      <c r="H567" s="3">
        <v>853.16540420224419</v>
      </c>
      <c r="I567" s="3">
        <v>14.219423403370737</v>
      </c>
      <c r="J567" s="3">
        <v>0.23699039005617895</v>
      </c>
    </row>
    <row r="568" spans="1:11" x14ac:dyDescent="0.35">
      <c r="A568">
        <v>567</v>
      </c>
      <c r="B568" t="s">
        <v>2</v>
      </c>
      <c r="C568" t="s">
        <v>132</v>
      </c>
      <c r="D568" t="s">
        <v>140</v>
      </c>
      <c r="E568" s="2">
        <v>44137.352696759262</v>
      </c>
      <c r="F568" s="2">
        <v>44137.354050925926</v>
      </c>
      <c r="G568" s="3">
        <v>1.3541666630771942E-3</v>
      </c>
      <c r="H568" s="3">
        <v>117.71267933563927</v>
      </c>
      <c r="I568" s="3">
        <v>1.961877988927321</v>
      </c>
      <c r="J568" s="3">
        <v>3.2697966482122018E-2</v>
      </c>
      <c r="K568" t="s">
        <v>64</v>
      </c>
    </row>
    <row r="569" spans="1:11" x14ac:dyDescent="0.35">
      <c r="A569">
        <v>568</v>
      </c>
      <c r="B569" t="s">
        <v>2</v>
      </c>
      <c r="C569" t="s">
        <v>132</v>
      </c>
      <c r="D569" t="s">
        <v>140</v>
      </c>
      <c r="E569" s="2">
        <v>44137.354259259257</v>
      </c>
      <c r="F569" s="2">
        <v>44137.35796296296</v>
      </c>
      <c r="G569" s="3">
        <v>3.7037037036498077E-3</v>
      </c>
      <c r="H569" s="3">
        <v>321.94920928805698</v>
      </c>
      <c r="I569" s="3">
        <v>5.3658201548009492</v>
      </c>
      <c r="J569" s="3">
        <v>8.943033591334916E-2</v>
      </c>
      <c r="K569" t="s">
        <v>40</v>
      </c>
    </row>
    <row r="570" spans="1:11" x14ac:dyDescent="0.35">
      <c r="A570">
        <v>569</v>
      </c>
      <c r="B570" t="s">
        <v>2</v>
      </c>
      <c r="C570" t="s">
        <v>132</v>
      </c>
      <c r="D570" t="s">
        <v>140</v>
      </c>
      <c r="E570" s="2">
        <v>44137.358043981483</v>
      </c>
      <c r="F570" s="2">
        <v>44137.360358796293</v>
      </c>
      <c r="G570" s="3">
        <v>2.3148148102336563E-3</v>
      </c>
      <c r="H570" s="3">
        <v>201.21825540974064</v>
      </c>
      <c r="I570" s="3">
        <v>3.3536375901623439</v>
      </c>
      <c r="J570" s="3">
        <v>5.5893959836039064E-2</v>
      </c>
      <c r="K570" t="s">
        <v>40</v>
      </c>
    </row>
    <row r="571" spans="1:11" x14ac:dyDescent="0.35">
      <c r="A571">
        <v>570</v>
      </c>
      <c r="B571" t="s">
        <v>2</v>
      </c>
      <c r="C571" t="s">
        <v>132</v>
      </c>
      <c r="D571" t="s">
        <v>140</v>
      </c>
      <c r="E571" s="2">
        <v>44137.360439814816</v>
      </c>
      <c r="F571" s="2">
        <v>44137.36546296296</v>
      </c>
      <c r="G571" s="3">
        <v>5.0231481436640024E-3</v>
      </c>
      <c r="H571" s="3">
        <v>436.64361471349116</v>
      </c>
      <c r="I571" s="3">
        <v>7.2773935785581862</v>
      </c>
      <c r="J571" s="3">
        <v>0.12128989297596977</v>
      </c>
      <c r="K571" t="s">
        <v>40</v>
      </c>
    </row>
    <row r="572" spans="1:11" x14ac:dyDescent="0.35">
      <c r="A572">
        <v>571</v>
      </c>
      <c r="B572" t="s">
        <v>2</v>
      </c>
      <c r="C572" t="s">
        <v>132</v>
      </c>
      <c r="D572" t="s">
        <v>140</v>
      </c>
      <c r="E572" s="2">
        <v>44137.365555555552</v>
      </c>
      <c r="F572" s="2">
        <v>44137.367083333331</v>
      </c>
      <c r="G572" s="3">
        <v>1.527777778392192E-3</v>
      </c>
      <c r="H572" s="3">
        <v>132.80404888666482</v>
      </c>
      <c r="I572" s="3">
        <v>2.2134008147777471</v>
      </c>
      <c r="J572" s="3">
        <v>3.6890013579629115E-2</v>
      </c>
      <c r="K572" t="s">
        <v>40</v>
      </c>
    </row>
    <row r="573" spans="1:11" x14ac:dyDescent="0.35">
      <c r="A573">
        <v>572</v>
      </c>
      <c r="B573" t="s">
        <v>2</v>
      </c>
      <c r="C573" t="s">
        <v>132</v>
      </c>
      <c r="D573" t="s">
        <v>140</v>
      </c>
      <c r="E573" s="2">
        <v>44137.367222222223</v>
      </c>
      <c r="F573" s="2">
        <v>44137.392523148148</v>
      </c>
      <c r="G573" s="3">
        <v>2.5300925924966577E-2</v>
      </c>
      <c r="H573" s="3">
        <v>2199.315535897651</v>
      </c>
      <c r="I573" s="3">
        <v>36.655258931627515</v>
      </c>
      <c r="J573" s="3">
        <v>0.61092098219379187</v>
      </c>
      <c r="K573" t="s">
        <v>40</v>
      </c>
    </row>
    <row r="574" spans="1:11" x14ac:dyDescent="0.35">
      <c r="A574">
        <v>573</v>
      </c>
      <c r="B574" t="s">
        <v>16</v>
      </c>
      <c r="C574" t="s">
        <v>16</v>
      </c>
      <c r="D574" t="s">
        <v>140</v>
      </c>
      <c r="E574" s="2">
        <v>44137.392638888887</v>
      </c>
      <c r="F574" s="2">
        <v>44137.395972222221</v>
      </c>
      <c r="G574" s="3">
        <v>3.3333333340124227E-3</v>
      </c>
      <c r="H574" s="3">
        <v>289.75428842249846</v>
      </c>
      <c r="I574" s="3">
        <v>4.829238140374974</v>
      </c>
      <c r="J574" s="3">
        <v>8.04873023395829E-2</v>
      </c>
    </row>
    <row r="575" spans="1:11" x14ac:dyDescent="0.35">
      <c r="A575">
        <v>574</v>
      </c>
      <c r="B575" t="s">
        <v>2</v>
      </c>
      <c r="C575" t="s">
        <v>96</v>
      </c>
      <c r="D575" t="s">
        <v>140</v>
      </c>
      <c r="E575" s="2">
        <v>44137.396099537036</v>
      </c>
      <c r="F575" s="2">
        <v>44137.44431712963</v>
      </c>
      <c r="G575" s="3">
        <v>4.8217592593573499E-2</v>
      </c>
      <c r="H575" s="3">
        <v>4191.3762685651509</v>
      </c>
      <c r="I575" s="3">
        <v>69.856271142752519</v>
      </c>
      <c r="J575" s="3">
        <v>1.1642711857125421</v>
      </c>
    </row>
    <row r="576" spans="1:11" x14ac:dyDescent="0.35">
      <c r="A576">
        <v>575</v>
      </c>
      <c r="B576" t="s">
        <v>11</v>
      </c>
      <c r="C576" t="s">
        <v>11</v>
      </c>
      <c r="D576" t="s">
        <v>140</v>
      </c>
      <c r="E576" s="2">
        <v>44137.444525462961</v>
      </c>
      <c r="F576" s="2">
        <v>44137.452731481484</v>
      </c>
      <c r="G576" s="3">
        <v>8.2060185231966898E-3</v>
      </c>
      <c r="H576" s="3">
        <v>713.31871724588746</v>
      </c>
      <c r="I576" s="3">
        <v>11.888645287431457</v>
      </c>
      <c r="J576" s="3">
        <v>0.19814408812385761</v>
      </c>
    </row>
    <row r="577" spans="1:11" x14ac:dyDescent="0.35">
      <c r="A577">
        <v>576</v>
      </c>
      <c r="B577" t="s">
        <v>16</v>
      </c>
      <c r="C577" t="s">
        <v>16</v>
      </c>
      <c r="D577" t="s">
        <v>140</v>
      </c>
      <c r="E577" s="2">
        <v>44137.452835648146</v>
      </c>
      <c r="F577" s="2">
        <v>44137.456666666665</v>
      </c>
      <c r="G577" s="3">
        <v>3.8310185191221535E-3</v>
      </c>
      <c r="H577" s="3">
        <v>333.0162134146517</v>
      </c>
      <c r="I577" s="3">
        <v>5.5502702235775283</v>
      </c>
      <c r="J577" s="3">
        <v>9.2504503726292139E-2</v>
      </c>
    </row>
    <row r="578" spans="1:11" x14ac:dyDescent="0.35">
      <c r="A578">
        <v>577</v>
      </c>
      <c r="B578" t="s">
        <v>2</v>
      </c>
      <c r="C578" t="s">
        <v>96</v>
      </c>
      <c r="D578" t="s">
        <v>140</v>
      </c>
      <c r="E578" s="2">
        <v>44137.456805555557</v>
      </c>
      <c r="F578" s="2">
        <v>44137.471689814818</v>
      </c>
      <c r="G578" s="3">
        <v>1.488425926072523E-2</v>
      </c>
      <c r="H578" s="3">
        <v>1293.8333849726382</v>
      </c>
      <c r="I578" s="3">
        <v>21.563889749543971</v>
      </c>
      <c r="J578" s="3">
        <v>0.35939816249239953</v>
      </c>
    </row>
    <row r="579" spans="1:11" x14ac:dyDescent="0.35">
      <c r="A579">
        <v>578</v>
      </c>
      <c r="B579" t="s">
        <v>11</v>
      </c>
      <c r="C579" t="s">
        <v>11</v>
      </c>
      <c r="D579" t="s">
        <v>140</v>
      </c>
      <c r="E579" s="2">
        <v>44137.471770833334</v>
      </c>
      <c r="F579" s="2">
        <v>44137.47457175926</v>
      </c>
      <c r="G579" s="3">
        <v>2.8009259258396924E-3</v>
      </c>
      <c r="H579" s="3">
        <v>243.47408952014015</v>
      </c>
      <c r="I579" s="3">
        <v>4.057901492002336</v>
      </c>
      <c r="J579" s="3">
        <v>6.7631691533372271E-2</v>
      </c>
    </row>
    <row r="580" spans="1:11" x14ac:dyDescent="0.35">
      <c r="A580">
        <v>579</v>
      </c>
      <c r="B580" t="s">
        <v>2</v>
      </c>
      <c r="C580" t="s">
        <v>96</v>
      </c>
      <c r="D580" t="s">
        <v>140</v>
      </c>
      <c r="E580" s="2">
        <v>44137.474652777775</v>
      </c>
      <c r="F580" s="2">
        <v>44137.476180555554</v>
      </c>
      <c r="G580" s="3">
        <v>1.527777778392192E-3</v>
      </c>
      <c r="H580" s="3">
        <v>132.80404888666482</v>
      </c>
      <c r="I580" s="3">
        <v>2.2134008147777471</v>
      </c>
      <c r="J580" s="3">
        <v>3.6890013579629115E-2</v>
      </c>
    </row>
    <row r="581" spans="1:11" x14ac:dyDescent="0.35">
      <c r="A581">
        <v>580</v>
      </c>
      <c r="B581" t="s">
        <v>16</v>
      </c>
      <c r="C581" t="s">
        <v>16</v>
      </c>
      <c r="D581" t="s">
        <v>140</v>
      </c>
      <c r="E581" s="2">
        <v>44137.476284722223</v>
      </c>
      <c r="F581" s="2">
        <v>44137.50681712963</v>
      </c>
      <c r="G581" s="3">
        <v>3.0532407407008577E-2</v>
      </c>
      <c r="H581" s="3">
        <v>2654.0687940723728</v>
      </c>
      <c r="I581" s="3">
        <v>44.234479901206214</v>
      </c>
      <c r="J581" s="3">
        <v>0.7372413316867702</v>
      </c>
    </row>
    <row r="582" spans="1:11" x14ac:dyDescent="0.35">
      <c r="A582">
        <v>581</v>
      </c>
      <c r="B582" t="s">
        <v>11</v>
      </c>
      <c r="C582" t="s">
        <v>11</v>
      </c>
      <c r="D582" t="s">
        <v>140</v>
      </c>
      <c r="E582" s="2">
        <v>44137.507037037038</v>
      </c>
      <c r="F582" s="2">
        <v>44137.507708333331</v>
      </c>
      <c r="G582" s="3">
        <v>6.7129629314877093E-4</v>
      </c>
      <c r="H582" s="3">
        <v>58.353293910706789</v>
      </c>
      <c r="I582" s="3">
        <v>0.97255489851177979</v>
      </c>
      <c r="J582" s="3">
        <v>1.6209248308529663E-2</v>
      </c>
    </row>
    <row r="583" spans="1:11" x14ac:dyDescent="0.35">
      <c r="A583">
        <v>582</v>
      </c>
      <c r="B583" t="s">
        <v>2</v>
      </c>
      <c r="C583" t="s">
        <v>96</v>
      </c>
      <c r="D583" t="s">
        <v>140</v>
      </c>
      <c r="E583" s="2">
        <v>44137.5078125</v>
      </c>
      <c r="F583" s="2">
        <v>44137.507951388892</v>
      </c>
      <c r="G583" s="3">
        <v>1.3888889225199819E-4</v>
      </c>
      <c r="H583" s="3">
        <v>12.073095640820426</v>
      </c>
      <c r="I583" s="3">
        <v>0.20121826068034043</v>
      </c>
      <c r="J583" s="3">
        <v>3.3536376780056738E-3</v>
      </c>
    </row>
    <row r="584" spans="1:11" x14ac:dyDescent="0.35">
      <c r="A584">
        <v>583</v>
      </c>
      <c r="B584" t="s">
        <v>11</v>
      </c>
      <c r="C584" t="s">
        <v>11</v>
      </c>
      <c r="D584" t="s">
        <v>140</v>
      </c>
      <c r="E584" s="2">
        <v>44137.508032407408</v>
      </c>
      <c r="F584" s="2">
        <v>44137.508692129632</v>
      </c>
      <c r="G584" s="3">
        <v>6.5972222364507616E-4</v>
      </c>
      <c r="H584" s="3">
        <v>57.347203028953068</v>
      </c>
      <c r="I584" s="3">
        <v>0.95578671714921781</v>
      </c>
      <c r="J584" s="3">
        <v>1.592977861915363E-2</v>
      </c>
    </row>
    <row r="585" spans="1:11" x14ac:dyDescent="0.35">
      <c r="A585">
        <v>584</v>
      </c>
      <c r="B585" t="s">
        <v>2</v>
      </c>
      <c r="C585" t="s">
        <v>96</v>
      </c>
      <c r="D585" t="s">
        <v>140</v>
      </c>
      <c r="E585" s="2">
        <v>44137.508796296293</v>
      </c>
      <c r="F585" s="2">
        <v>44137.51085648148</v>
      </c>
      <c r="G585" s="3">
        <v>2.0601851865649223E-3</v>
      </c>
      <c r="H585" s="3">
        <v>179.08424778902315</v>
      </c>
      <c r="I585" s="3">
        <v>2.984737463150386</v>
      </c>
      <c r="J585" s="3">
        <v>4.9745624385839765E-2</v>
      </c>
    </row>
    <row r="586" spans="1:11" x14ac:dyDescent="0.35">
      <c r="A586">
        <v>585</v>
      </c>
      <c r="B586" t="s">
        <v>2</v>
      </c>
      <c r="C586" t="s">
        <v>96</v>
      </c>
      <c r="D586" t="s">
        <v>140</v>
      </c>
      <c r="E586" s="2">
        <v>44137.511030092595</v>
      </c>
      <c r="F586" s="2">
        <v>44137.52138888889</v>
      </c>
      <c r="G586" s="3">
        <v>1.0358796294895001E-2</v>
      </c>
      <c r="H586" s="3">
        <v>900.45169461882824</v>
      </c>
      <c r="I586" s="3">
        <v>15.007528243647137</v>
      </c>
      <c r="J586" s="3">
        <v>0.25012547072745228</v>
      </c>
    </row>
    <row r="587" spans="1:11" x14ac:dyDescent="0.35">
      <c r="A587">
        <v>586</v>
      </c>
      <c r="B587" t="s">
        <v>2</v>
      </c>
      <c r="C587" t="s">
        <v>96</v>
      </c>
      <c r="D587" t="s">
        <v>140</v>
      </c>
      <c r="E587" s="2">
        <v>44137.521631944444</v>
      </c>
      <c r="F587" s="2">
        <v>44137.524386574078</v>
      </c>
      <c r="G587" s="3">
        <v>2.754629633272998E-3</v>
      </c>
      <c r="H587" s="3">
        <v>239.44972472818131</v>
      </c>
      <c r="I587" s="3">
        <v>3.9908287454696887</v>
      </c>
      <c r="J587" s="3">
        <v>6.6513812424494806E-2</v>
      </c>
    </row>
    <row r="588" spans="1:11" x14ac:dyDescent="0.35">
      <c r="A588">
        <v>587</v>
      </c>
      <c r="B588" t="s">
        <v>2</v>
      </c>
      <c r="C588" t="s">
        <v>96</v>
      </c>
      <c r="D588" t="s">
        <v>140</v>
      </c>
      <c r="E588" s="2">
        <v>44137.524652777778</v>
      </c>
      <c r="F588" s="2">
        <v>44137.526273148149</v>
      </c>
      <c r="G588" s="3">
        <v>1.6203703708015382E-3</v>
      </c>
      <c r="H588" s="3">
        <v>140.85277910305442</v>
      </c>
      <c r="I588" s="3">
        <v>2.3475463183842402</v>
      </c>
      <c r="J588" s="3">
        <v>3.9125771973070669E-2</v>
      </c>
    </row>
    <row r="589" spans="1:11" x14ac:dyDescent="0.35">
      <c r="A589">
        <v>588</v>
      </c>
      <c r="B589" t="s">
        <v>2</v>
      </c>
      <c r="C589" t="s">
        <v>132</v>
      </c>
      <c r="D589" t="s">
        <v>140</v>
      </c>
      <c r="E589" s="2">
        <v>44137.526412037034</v>
      </c>
      <c r="F589" s="2">
        <v>44137.532881944448</v>
      </c>
      <c r="G589" s="3">
        <v>6.4699074137024581E-3</v>
      </c>
      <c r="H589" s="3">
        <v>562.40502553046394</v>
      </c>
      <c r="I589" s="3">
        <v>9.3734170921743996</v>
      </c>
      <c r="J589" s="3">
        <v>0.15622361820290667</v>
      </c>
      <c r="K589" t="s">
        <v>64</v>
      </c>
    </row>
    <row r="590" spans="1:11" x14ac:dyDescent="0.35">
      <c r="A590">
        <v>589</v>
      </c>
      <c r="B590" t="s">
        <v>2</v>
      </c>
      <c r="C590" t="s">
        <v>96</v>
      </c>
      <c r="D590" t="s">
        <v>140</v>
      </c>
      <c r="E590" s="2">
        <v>44137.533043981479</v>
      </c>
      <c r="F590" s="2">
        <v>44137.533229166664</v>
      </c>
      <c r="G590" s="3">
        <v>1.8518518481869251E-4</v>
      </c>
      <c r="H590" s="3">
        <v>16.097460432779251</v>
      </c>
      <c r="I590" s="3">
        <v>0.26829100721298749</v>
      </c>
      <c r="J590" s="3">
        <v>4.4715167868831247E-3</v>
      </c>
    </row>
    <row r="591" spans="1:11" x14ac:dyDescent="0.35">
      <c r="A591">
        <v>590</v>
      </c>
      <c r="B591" t="s">
        <v>11</v>
      </c>
      <c r="C591" t="s">
        <v>11</v>
      </c>
      <c r="D591" t="s">
        <v>140</v>
      </c>
      <c r="E591" s="2">
        <v>44137.533321759256</v>
      </c>
      <c r="F591" s="2">
        <v>44137.536435185182</v>
      </c>
      <c r="G591" s="3">
        <v>3.1134259261307307E-3</v>
      </c>
      <c r="H591" s="3">
        <v>270.63855407951411</v>
      </c>
      <c r="I591" s="3">
        <v>4.5106425679919022</v>
      </c>
      <c r="J591" s="3">
        <v>7.5177376133198373E-2</v>
      </c>
    </row>
    <row r="592" spans="1:11" x14ac:dyDescent="0.35">
      <c r="A592">
        <v>591</v>
      </c>
      <c r="B592" t="s">
        <v>2</v>
      </c>
      <c r="C592" t="s">
        <v>96</v>
      </c>
      <c r="D592" t="s">
        <v>140</v>
      </c>
      <c r="E592" s="2">
        <v>44137.536562499998</v>
      </c>
      <c r="F592" s="2">
        <v>44137.541678240741</v>
      </c>
      <c r="G592" s="3">
        <v>5.1157407433493063E-3</v>
      </c>
      <c r="H592" s="3">
        <v>444.69234556235273</v>
      </c>
      <c r="I592" s="3">
        <v>7.4115390927058789</v>
      </c>
      <c r="J592" s="3">
        <v>0.12352565154509798</v>
      </c>
    </row>
    <row r="593" spans="1:11" x14ac:dyDescent="0.35">
      <c r="A593">
        <v>592</v>
      </c>
      <c r="B593" t="s">
        <v>11</v>
      </c>
      <c r="C593" t="s">
        <v>11</v>
      </c>
      <c r="D593" t="s">
        <v>140</v>
      </c>
      <c r="E593" s="2">
        <v>44137.54184027778</v>
      </c>
      <c r="F593" s="2">
        <v>44137.554594907408</v>
      </c>
      <c r="G593" s="3">
        <v>1.2754629628034309E-2</v>
      </c>
      <c r="H593" s="3">
        <v>1108.7125893632049</v>
      </c>
      <c r="I593" s="3">
        <v>18.478543156053416</v>
      </c>
      <c r="J593" s="3">
        <v>0.3079757192675569</v>
      </c>
    </row>
    <row r="594" spans="1:11" x14ac:dyDescent="0.35">
      <c r="A594">
        <v>593</v>
      </c>
      <c r="B594" t="s">
        <v>2</v>
      </c>
      <c r="C594" t="s">
        <v>96</v>
      </c>
      <c r="D594" t="s">
        <v>140</v>
      </c>
      <c r="E594" s="2">
        <v>44137.554722222223</v>
      </c>
      <c r="F594" s="2">
        <v>44137.560740740744</v>
      </c>
      <c r="G594" s="3">
        <v>6.0185185211594217E-3</v>
      </c>
      <c r="H594" s="3">
        <v>523.16746533026958</v>
      </c>
      <c r="I594" s="3">
        <v>8.719457755504493</v>
      </c>
      <c r="J594" s="3">
        <v>0.14532429592507487</v>
      </c>
    </row>
    <row r="595" spans="1:11" x14ac:dyDescent="0.35">
      <c r="A595">
        <v>594</v>
      </c>
      <c r="B595" t="s">
        <v>11</v>
      </c>
      <c r="C595" t="s">
        <v>11</v>
      </c>
      <c r="D595" t="s">
        <v>140</v>
      </c>
      <c r="E595" s="2">
        <v>44137.560891203706</v>
      </c>
      <c r="F595" s="2">
        <v>44137.567372685182</v>
      </c>
      <c r="G595" s="3">
        <v>6.4814814759301953E-3</v>
      </c>
      <c r="H595" s="3">
        <v>563.41111577974573</v>
      </c>
      <c r="I595" s="3">
        <v>9.3901852629957627</v>
      </c>
      <c r="J595" s="3">
        <v>0.15650308771659605</v>
      </c>
    </row>
    <row r="596" spans="1:11" x14ac:dyDescent="0.35">
      <c r="A596">
        <v>595</v>
      </c>
      <c r="B596" t="s">
        <v>2</v>
      </c>
      <c r="C596" t="s">
        <v>96</v>
      </c>
      <c r="D596" t="s">
        <v>140</v>
      </c>
      <c r="E596" s="2">
        <v>44137.567557870374</v>
      </c>
      <c r="F596" s="2">
        <v>44137.581562500003</v>
      </c>
      <c r="G596" s="3">
        <v>1.4004629629198462E-2</v>
      </c>
      <c r="H596" s="3">
        <v>1217.3704476007008</v>
      </c>
      <c r="I596" s="3">
        <v>20.289507460011681</v>
      </c>
      <c r="J596" s="3">
        <v>0.33815845766686137</v>
      </c>
    </row>
    <row r="597" spans="1:11" x14ac:dyDescent="0.35">
      <c r="A597">
        <v>596</v>
      </c>
      <c r="B597" t="s">
        <v>2</v>
      </c>
      <c r="C597" t="s">
        <v>96</v>
      </c>
      <c r="D597" t="s">
        <v>140</v>
      </c>
      <c r="E597" s="2">
        <v>44137.581689814811</v>
      </c>
      <c r="F597" s="2">
        <v>44137.593009259261</v>
      </c>
      <c r="G597" s="3">
        <v>1.131944444932742E-2</v>
      </c>
      <c r="H597" s="3">
        <v>983.95727132540162</v>
      </c>
      <c r="I597" s="3">
        <v>16.39928785542336</v>
      </c>
      <c r="J597" s="3">
        <v>0.273321464257056</v>
      </c>
    </row>
    <row r="598" spans="1:11" x14ac:dyDescent="0.35">
      <c r="A598">
        <v>597</v>
      </c>
      <c r="B598" t="s">
        <v>2</v>
      </c>
      <c r="C598" t="s">
        <v>96</v>
      </c>
      <c r="D598" t="s">
        <v>140</v>
      </c>
      <c r="E598" s="2">
        <v>44137.593553240738</v>
      </c>
      <c r="F598" s="2">
        <v>44137.597280092596</v>
      </c>
      <c r="G598" s="3">
        <v>3.7268518572091125E-3</v>
      </c>
      <c r="H598" s="3">
        <v>323.96139231650835</v>
      </c>
      <c r="I598" s="3">
        <v>5.3993565386084725</v>
      </c>
      <c r="J598" s="3">
        <v>8.9989275643474545E-2</v>
      </c>
    </row>
    <row r="599" spans="1:11" x14ac:dyDescent="0.35">
      <c r="A599">
        <v>598</v>
      </c>
      <c r="B599" t="s">
        <v>11</v>
      </c>
      <c r="C599" t="s">
        <v>11</v>
      </c>
      <c r="D599" t="s">
        <v>140</v>
      </c>
      <c r="E599" s="2">
        <v>44137.597442129627</v>
      </c>
      <c r="F599" s="2">
        <v>44137.599108796298</v>
      </c>
      <c r="G599" s="3">
        <v>1.6666666706441902E-3</v>
      </c>
      <c r="H599" s="3">
        <v>144.87714452748523</v>
      </c>
      <c r="I599" s="3">
        <v>2.414619075458087</v>
      </c>
      <c r="J599" s="3">
        <v>4.024365125763478E-2</v>
      </c>
    </row>
    <row r="600" spans="1:11" x14ac:dyDescent="0.35">
      <c r="A600">
        <v>599</v>
      </c>
      <c r="B600" t="s">
        <v>2</v>
      </c>
      <c r="C600" t="s">
        <v>96</v>
      </c>
      <c r="D600" t="s">
        <v>140</v>
      </c>
      <c r="E600" s="2">
        <v>44137.599317129629</v>
      </c>
      <c r="F600" s="2">
        <v>44137.610277777778</v>
      </c>
      <c r="G600" s="3">
        <v>1.096064814919373E-2</v>
      </c>
      <c r="H600" s="3">
        <v>952.76844134159683</v>
      </c>
      <c r="I600" s="3">
        <v>15.879474022359947</v>
      </c>
      <c r="J600" s="3">
        <v>0.26465790037266579</v>
      </c>
    </row>
    <row r="601" spans="1:11" x14ac:dyDescent="0.35">
      <c r="A601">
        <v>600</v>
      </c>
      <c r="B601" t="s">
        <v>2</v>
      </c>
      <c r="C601" t="s">
        <v>96</v>
      </c>
      <c r="D601" t="s">
        <v>140</v>
      </c>
      <c r="E601" s="2">
        <v>44137.610543981478</v>
      </c>
      <c r="F601" s="2">
        <v>44137.637650462966</v>
      </c>
      <c r="G601" s="3">
        <v>2.7106481487862766E-2</v>
      </c>
      <c r="H601" s="3">
        <v>2356.2657760659567</v>
      </c>
      <c r="I601" s="3">
        <v>39.271096267765948</v>
      </c>
      <c r="J601" s="3">
        <v>0.65451827112943251</v>
      </c>
    </row>
    <row r="602" spans="1:11" x14ac:dyDescent="0.35">
      <c r="A602">
        <v>601</v>
      </c>
      <c r="B602" t="s">
        <v>16</v>
      </c>
      <c r="C602" t="s">
        <v>16</v>
      </c>
      <c r="D602" t="s">
        <v>140</v>
      </c>
      <c r="E602" s="2">
        <v>44137.637777777774</v>
      </c>
      <c r="F602" s="2">
        <v>44137.644675925927</v>
      </c>
      <c r="G602" s="3">
        <v>6.8981481526861899E-3</v>
      </c>
      <c r="H602" s="3">
        <v>599.63040270220699</v>
      </c>
      <c r="I602" s="3">
        <v>9.9938400450367837</v>
      </c>
      <c r="J602" s="3">
        <v>0.16656400075061306</v>
      </c>
    </row>
    <row r="603" spans="1:11" x14ac:dyDescent="0.35">
      <c r="A603">
        <v>602</v>
      </c>
      <c r="B603" t="s">
        <v>11</v>
      </c>
      <c r="C603" t="s">
        <v>11</v>
      </c>
      <c r="D603" t="s">
        <v>140</v>
      </c>
      <c r="E603" s="2">
        <v>44137.644803240742</v>
      </c>
      <c r="F603" s="2">
        <v>44137.646979166668</v>
      </c>
      <c r="G603" s="3">
        <v>2.1759259252576157E-3</v>
      </c>
      <c r="H603" s="3">
        <v>189.14516040139219</v>
      </c>
      <c r="I603" s="3">
        <v>3.152419340023203</v>
      </c>
      <c r="J603" s="3">
        <v>5.2540322333720052E-2</v>
      </c>
    </row>
    <row r="604" spans="1:11" x14ac:dyDescent="0.35">
      <c r="A604">
        <v>603</v>
      </c>
      <c r="B604" t="s">
        <v>2</v>
      </c>
      <c r="C604" t="s">
        <v>132</v>
      </c>
      <c r="D604" t="s">
        <v>140</v>
      </c>
      <c r="E604" s="2">
        <v>44137.647118055553</v>
      </c>
      <c r="F604" s="2">
        <v>44137.670960648145</v>
      </c>
      <c r="G604" s="3">
        <v>2.3842592592700385E-2</v>
      </c>
      <c r="H604" s="3">
        <v>2072.5480348313963</v>
      </c>
      <c r="I604" s="3">
        <v>34.54246724718994</v>
      </c>
      <c r="J604" s="3">
        <v>0.57570778745316564</v>
      </c>
      <c r="K604" t="s">
        <v>40</v>
      </c>
    </row>
    <row r="605" spans="1:11" x14ac:dyDescent="0.35">
      <c r="A605">
        <v>604</v>
      </c>
      <c r="B605" t="s">
        <v>2</v>
      </c>
      <c r="C605" t="s">
        <v>132</v>
      </c>
      <c r="D605" t="s">
        <v>140</v>
      </c>
      <c r="E605" s="2">
        <v>44137.671087962961</v>
      </c>
      <c r="F605" s="2">
        <v>44137.677037037036</v>
      </c>
      <c r="G605" s="3">
        <v>5.9490740750334226E-3</v>
      </c>
      <c r="H605" s="3">
        <v>517.13091750985939</v>
      </c>
      <c r="I605" s="3">
        <v>8.6188486251643237</v>
      </c>
      <c r="J605" s="3">
        <v>0.14364747708607206</v>
      </c>
      <c r="K605" t="s">
        <v>40</v>
      </c>
    </row>
    <row r="606" spans="1:11" x14ac:dyDescent="0.35">
      <c r="A606">
        <v>605</v>
      </c>
      <c r="B606" t="s">
        <v>2</v>
      </c>
      <c r="C606" t="s">
        <v>132</v>
      </c>
      <c r="D606" t="s">
        <v>140</v>
      </c>
      <c r="E606" s="2">
        <v>44137.677256944444</v>
      </c>
      <c r="F606" s="2">
        <v>44137.693032407406</v>
      </c>
      <c r="G606" s="3">
        <v>1.5775462961755693E-2</v>
      </c>
      <c r="H606" s="3">
        <v>1371.3024132263292</v>
      </c>
      <c r="I606" s="3">
        <v>22.85504022043882</v>
      </c>
      <c r="J606" s="3">
        <v>0.38091733700731367</v>
      </c>
      <c r="K606" t="s">
        <v>40</v>
      </c>
    </row>
    <row r="607" spans="1:11" x14ac:dyDescent="0.35">
      <c r="A607">
        <v>606</v>
      </c>
      <c r="B607" t="s">
        <v>2</v>
      </c>
      <c r="C607" t="s">
        <v>72</v>
      </c>
      <c r="D607" t="s">
        <v>140</v>
      </c>
      <c r="E607" s="2">
        <v>44137.693194444444</v>
      </c>
      <c r="F607" s="2">
        <v>44137.698171296295</v>
      </c>
      <c r="G607" s="3">
        <v>4.9768518510973081E-3</v>
      </c>
      <c r="H607" s="3">
        <v>432.61924992153234</v>
      </c>
      <c r="I607" s="3">
        <v>7.2103208320255394</v>
      </c>
      <c r="J607" s="3">
        <v>0.12017201386709232</v>
      </c>
      <c r="K607" t="s">
        <v>73</v>
      </c>
    </row>
    <row r="608" spans="1:11" x14ac:dyDescent="0.35">
      <c r="A608">
        <v>607</v>
      </c>
      <c r="B608" t="s">
        <v>2</v>
      </c>
      <c r="C608" t="s">
        <v>132</v>
      </c>
      <c r="D608" t="s">
        <v>140</v>
      </c>
      <c r="E608" s="2">
        <v>44137.698298611111</v>
      </c>
      <c r="F608" s="2">
        <v>44137.70144675926</v>
      </c>
      <c r="G608" s="3">
        <v>3.1481481491937302E-3</v>
      </c>
      <c r="H608" s="3">
        <v>273.6568279897192</v>
      </c>
      <c r="I608" s="3">
        <v>4.5609471331619869</v>
      </c>
      <c r="J608" s="3">
        <v>7.6015785552699777E-2</v>
      </c>
      <c r="K608" t="s">
        <v>40</v>
      </c>
    </row>
    <row r="609" spans="1:11" x14ac:dyDescent="0.35">
      <c r="A609">
        <v>608</v>
      </c>
      <c r="B609" t="s">
        <v>11</v>
      </c>
      <c r="C609" t="s">
        <v>11</v>
      </c>
      <c r="D609" t="s">
        <v>140</v>
      </c>
      <c r="E609" s="2">
        <v>44137.701550925929</v>
      </c>
      <c r="F609" s="2">
        <v>44137.703912037039</v>
      </c>
      <c r="G609" s="3">
        <v>2.3611111100763083E-3</v>
      </c>
      <c r="H609" s="3">
        <v>205.24262083417142</v>
      </c>
      <c r="I609" s="3">
        <v>3.4207103472361902</v>
      </c>
      <c r="J609" s="3">
        <v>5.7011839120603168E-2</v>
      </c>
    </row>
    <row r="610" spans="1:11" x14ac:dyDescent="0.35">
      <c r="A610">
        <v>609</v>
      </c>
      <c r="B610" t="s">
        <v>2</v>
      </c>
      <c r="C610" t="s">
        <v>96</v>
      </c>
      <c r="D610" t="s">
        <v>140</v>
      </c>
      <c r="E610" s="2">
        <v>44137.704016203701</v>
      </c>
      <c r="F610" s="2">
        <v>44137.70548611111</v>
      </c>
      <c r="G610" s="3">
        <v>1.4699074090458453E-3</v>
      </c>
      <c r="H610" s="3">
        <v>127.77359258048028</v>
      </c>
      <c r="I610" s="3">
        <v>2.1295598763413381</v>
      </c>
      <c r="J610" s="3">
        <v>3.5492664605688971E-2</v>
      </c>
    </row>
    <row r="611" spans="1:11" x14ac:dyDescent="0.35">
      <c r="A611">
        <v>610</v>
      </c>
      <c r="B611" t="s">
        <v>2</v>
      </c>
      <c r="C611" t="s">
        <v>132</v>
      </c>
      <c r="D611" t="s">
        <v>140</v>
      </c>
      <c r="E611" s="2">
        <v>44137.705659722225</v>
      </c>
      <c r="F611" s="2">
        <v>44137.70685185185</v>
      </c>
      <c r="G611" s="3">
        <v>1.1921296245418489E-3</v>
      </c>
      <c r="H611" s="3">
        <v>103.62740129883943</v>
      </c>
      <c r="I611" s="3">
        <v>1.7271233549806573</v>
      </c>
      <c r="J611" s="3">
        <v>2.878538924967762E-2</v>
      </c>
      <c r="K611" t="s">
        <v>40</v>
      </c>
    </row>
    <row r="612" spans="1:11" x14ac:dyDescent="0.35">
      <c r="A612">
        <v>611</v>
      </c>
      <c r="B612" t="s">
        <v>2</v>
      </c>
      <c r="C612" t="s">
        <v>132</v>
      </c>
      <c r="D612" t="s">
        <v>140</v>
      </c>
      <c r="E612" s="2">
        <v>44138.290636574071</v>
      </c>
      <c r="F612" s="2">
        <v>44138.292129629626</v>
      </c>
      <c r="G612" s="3">
        <v>1.4930555553291924E-3</v>
      </c>
      <c r="H612" s="3">
        <v>129.78577497645969</v>
      </c>
      <c r="I612" s="3">
        <v>2.1630962496076616</v>
      </c>
      <c r="J612" s="3">
        <v>3.605160416012769E-2</v>
      </c>
      <c r="K612" t="s">
        <v>41</v>
      </c>
    </row>
    <row r="613" spans="1:11" x14ac:dyDescent="0.35">
      <c r="A613">
        <v>612</v>
      </c>
      <c r="B613" t="s">
        <v>2</v>
      </c>
      <c r="C613" t="s">
        <v>132</v>
      </c>
      <c r="D613" t="s">
        <v>140</v>
      </c>
      <c r="E613" s="2">
        <v>44138.306192129632</v>
      </c>
      <c r="F613" s="2">
        <v>44138.306458333333</v>
      </c>
      <c r="G613" s="3">
        <v>2.6620370044838637E-4</v>
      </c>
      <c r="H613" s="3">
        <v>23.140099134943181</v>
      </c>
      <c r="I613" s="3">
        <v>0.38566831891571968</v>
      </c>
      <c r="J613" s="3">
        <v>6.4278053152619944E-3</v>
      </c>
      <c r="K613" t="s">
        <v>41</v>
      </c>
    </row>
    <row r="614" spans="1:11" x14ac:dyDescent="0.35">
      <c r="A614">
        <v>613</v>
      </c>
      <c r="B614" t="s">
        <v>2</v>
      </c>
      <c r="C614" t="s">
        <v>132</v>
      </c>
      <c r="D614" t="s">
        <v>140</v>
      </c>
      <c r="E614" s="2">
        <v>44138.31144675926</v>
      </c>
      <c r="F614" s="2">
        <v>44138.367268518516</v>
      </c>
      <c r="G614" s="3">
        <v>5.5821759255195502E-2</v>
      </c>
      <c r="H614" s="3">
        <v>4852.3782384557981</v>
      </c>
      <c r="I614" s="3">
        <v>80.872970640929964</v>
      </c>
      <c r="J614" s="3">
        <v>1.3478828440154993</v>
      </c>
      <c r="K614" t="s">
        <v>64</v>
      </c>
    </row>
    <row r="615" spans="1:11" x14ac:dyDescent="0.35">
      <c r="A615">
        <v>614</v>
      </c>
      <c r="B615" t="s">
        <v>11</v>
      </c>
      <c r="C615" t="s">
        <v>11</v>
      </c>
      <c r="D615" t="s">
        <v>140</v>
      </c>
      <c r="E615" s="2">
        <v>44138.367361111108</v>
      </c>
      <c r="F615" s="2">
        <v>44138.387939814813</v>
      </c>
      <c r="G615" s="3">
        <v>2.0578703704813961E-2</v>
      </c>
      <c r="H615" s="3">
        <v>1788.830294229308</v>
      </c>
      <c r="I615" s="3">
        <v>29.813838237155135</v>
      </c>
      <c r="J615" s="3">
        <v>0.49689730395258558</v>
      </c>
    </row>
    <row r="616" spans="1:11" x14ac:dyDescent="0.35">
      <c r="A616">
        <v>615</v>
      </c>
      <c r="B616" t="s">
        <v>2</v>
      </c>
      <c r="C616" t="s">
        <v>96</v>
      </c>
      <c r="D616" t="s">
        <v>140</v>
      </c>
      <c r="E616" s="2">
        <v>44138.38821759259</v>
      </c>
      <c r="F616" s="2">
        <v>44138.390347222223</v>
      </c>
      <c r="G616" s="3">
        <v>2.1296296326909214E-3</v>
      </c>
      <c r="H616" s="3">
        <v>185.12079560943334</v>
      </c>
      <c r="I616" s="3">
        <v>3.0853465934905557</v>
      </c>
      <c r="J616" s="3">
        <v>5.1422443224842594E-2</v>
      </c>
    </row>
    <row r="617" spans="1:11" x14ac:dyDescent="0.35">
      <c r="A617">
        <v>616</v>
      </c>
      <c r="B617" t="s">
        <v>11</v>
      </c>
      <c r="C617" t="s">
        <v>11</v>
      </c>
      <c r="D617" t="s">
        <v>140</v>
      </c>
      <c r="E617" s="2">
        <v>44138.390532407408</v>
      </c>
      <c r="F617" s="2">
        <v>44138.396562499998</v>
      </c>
      <c r="G617" s="3">
        <v>6.0300925906631164E-3</v>
      </c>
      <c r="H617" s="3">
        <v>524.1735562120233</v>
      </c>
      <c r="I617" s="3">
        <v>8.7362259368670543</v>
      </c>
      <c r="J617" s="3">
        <v>0.1456037656144509</v>
      </c>
    </row>
    <row r="618" spans="1:11" x14ac:dyDescent="0.35">
      <c r="A618">
        <v>617</v>
      </c>
      <c r="B618" t="s">
        <v>11</v>
      </c>
      <c r="C618" t="s">
        <v>11</v>
      </c>
      <c r="D618" t="s">
        <v>140</v>
      </c>
      <c r="E618" s="2">
        <v>44138.396701388891</v>
      </c>
      <c r="F618" s="2">
        <v>44138.406446759262</v>
      </c>
      <c r="G618" s="3">
        <v>9.7453703710925765E-3</v>
      </c>
      <c r="H618" s="3">
        <v>847.12885701430594</v>
      </c>
      <c r="I618" s="3">
        <v>14.118814283571766</v>
      </c>
      <c r="J618" s="3">
        <v>0.23531357139286277</v>
      </c>
    </row>
    <row r="619" spans="1:11" x14ac:dyDescent="0.35">
      <c r="A619">
        <v>618</v>
      </c>
      <c r="B619" t="s">
        <v>2</v>
      </c>
      <c r="C619" t="s">
        <v>96</v>
      </c>
      <c r="D619" t="s">
        <v>140</v>
      </c>
      <c r="E619" s="2">
        <v>44138.406550925924</v>
      </c>
      <c r="F619" s="2">
        <v>44138.407685185186</v>
      </c>
      <c r="G619" s="3">
        <v>1.1342592624714598E-3</v>
      </c>
      <c r="H619" s="3">
        <v>98.596945625126892</v>
      </c>
      <c r="I619" s="3">
        <v>1.6432824270854482</v>
      </c>
      <c r="J619" s="3">
        <v>2.7388040451424137E-2</v>
      </c>
    </row>
    <row r="620" spans="1:11" x14ac:dyDescent="0.35">
      <c r="A620">
        <v>619</v>
      </c>
      <c r="B620" t="s">
        <v>2</v>
      </c>
      <c r="C620" t="s">
        <v>96</v>
      </c>
      <c r="D620" t="s">
        <v>140</v>
      </c>
      <c r="E620" s="2">
        <v>44138.407847222225</v>
      </c>
      <c r="F620" s="2">
        <v>44138.409583333334</v>
      </c>
      <c r="G620" s="3">
        <v>1.7361111094942316E-3</v>
      </c>
      <c r="H620" s="3">
        <v>150.91369171542345</v>
      </c>
      <c r="I620" s="3">
        <v>2.5152281952570577</v>
      </c>
      <c r="J620" s="3">
        <v>4.1920469920950963E-2</v>
      </c>
    </row>
    <row r="621" spans="1:11" x14ac:dyDescent="0.35">
      <c r="A621">
        <v>620</v>
      </c>
      <c r="B621" t="s">
        <v>11</v>
      </c>
      <c r="C621" t="s">
        <v>11</v>
      </c>
      <c r="D621" t="s">
        <v>140</v>
      </c>
      <c r="E621" s="2">
        <v>44138.409699074073</v>
      </c>
      <c r="F621" s="2">
        <v>44138.410914351851</v>
      </c>
      <c r="G621" s="3">
        <v>1.2152777781011537E-3</v>
      </c>
      <c r="H621" s="3">
        <v>105.63958432729082</v>
      </c>
      <c r="I621" s="3">
        <v>1.7606597387881804</v>
      </c>
      <c r="J621" s="3">
        <v>2.9344328979803005E-2</v>
      </c>
    </row>
    <row r="622" spans="1:11" x14ac:dyDescent="0.35">
      <c r="A622">
        <v>621</v>
      </c>
      <c r="B622" t="s">
        <v>2</v>
      </c>
      <c r="C622" t="s">
        <v>132</v>
      </c>
      <c r="D622" t="s">
        <v>140</v>
      </c>
      <c r="E622" s="2">
        <v>44138.41133101852</v>
      </c>
      <c r="F622" s="2">
        <v>44138.425196759257</v>
      </c>
      <c r="G622" s="3">
        <v>1.3865740736946464E-2</v>
      </c>
      <c r="H622" s="3">
        <v>1205.2973519598802</v>
      </c>
      <c r="I622" s="3">
        <v>20.088289199331335</v>
      </c>
      <c r="J622" s="3">
        <v>0.33480481998885558</v>
      </c>
      <c r="K622" t="s">
        <v>41</v>
      </c>
    </row>
    <row r="623" spans="1:11" x14ac:dyDescent="0.35">
      <c r="A623">
        <v>622</v>
      </c>
      <c r="B623" t="s">
        <v>2</v>
      </c>
      <c r="C623" t="s">
        <v>132</v>
      </c>
      <c r="D623" t="s">
        <v>140</v>
      </c>
      <c r="E623" s="2">
        <v>44138.425451388888</v>
      </c>
      <c r="F623" s="2">
        <v>44138.432233796295</v>
      </c>
      <c r="G623" s="3">
        <v>6.7824074067175388E-3</v>
      </c>
      <c r="H623" s="3">
        <v>589.56948945736599</v>
      </c>
      <c r="I623" s="3">
        <v>9.8261581576227659</v>
      </c>
      <c r="J623" s="3">
        <v>0.16376930262704609</v>
      </c>
      <c r="K623" t="s">
        <v>41</v>
      </c>
    </row>
    <row r="624" spans="1:11" x14ac:dyDescent="0.35">
      <c r="A624">
        <v>623</v>
      </c>
      <c r="B624" t="s">
        <v>2</v>
      </c>
      <c r="C624" t="s">
        <v>132</v>
      </c>
      <c r="D624" t="s">
        <v>140</v>
      </c>
      <c r="E624" s="2">
        <v>44138.432662037034</v>
      </c>
      <c r="F624" s="2">
        <v>44138.437986111108</v>
      </c>
      <c r="G624" s="3">
        <v>5.324074074451346E-3</v>
      </c>
      <c r="H624" s="3">
        <v>462.80198839111142</v>
      </c>
      <c r="I624" s="3">
        <v>7.7133664731851903</v>
      </c>
      <c r="J624" s="3">
        <v>0.12855610788641983</v>
      </c>
      <c r="K624" t="s">
        <v>64</v>
      </c>
    </row>
    <row r="625" spans="1:11" x14ac:dyDescent="0.35">
      <c r="A625">
        <v>624</v>
      </c>
      <c r="B625" t="s">
        <v>16</v>
      </c>
      <c r="C625" t="s">
        <v>16</v>
      </c>
      <c r="D625" t="s">
        <v>140</v>
      </c>
      <c r="E625" s="2">
        <v>44138.438125000001</v>
      </c>
      <c r="F625" s="2">
        <v>44138.444537037038</v>
      </c>
      <c r="G625" s="3">
        <v>6.4120370370801538E-3</v>
      </c>
      <c r="H625" s="3">
        <v>557.37456859180747</v>
      </c>
      <c r="I625" s="3">
        <v>9.2895761431967916</v>
      </c>
      <c r="J625" s="3">
        <v>0.15482626905327987</v>
      </c>
    </row>
    <row r="626" spans="1:11" x14ac:dyDescent="0.35">
      <c r="A626">
        <v>625</v>
      </c>
      <c r="B626" t="s">
        <v>2</v>
      </c>
      <c r="C626" t="s">
        <v>132</v>
      </c>
      <c r="D626" t="s">
        <v>140</v>
      </c>
      <c r="E626" s="2">
        <v>44138.444768518515</v>
      </c>
      <c r="F626" s="2">
        <v>44138.448229166665</v>
      </c>
      <c r="G626" s="3">
        <v>3.4606481494847685E-3</v>
      </c>
      <c r="H626" s="3">
        <v>300.82129254909319</v>
      </c>
      <c r="I626" s="3">
        <v>5.0136882091515531</v>
      </c>
      <c r="J626" s="3">
        <v>8.356147015252588E-2</v>
      </c>
      <c r="K626" t="s">
        <v>41</v>
      </c>
    </row>
    <row r="627" spans="1:11" x14ac:dyDescent="0.35">
      <c r="A627">
        <v>626</v>
      </c>
      <c r="B627" t="s">
        <v>2</v>
      </c>
      <c r="C627" t="s">
        <v>132</v>
      </c>
      <c r="D627" t="s">
        <v>140</v>
      </c>
      <c r="E627" s="2">
        <v>44138.448344907411</v>
      </c>
      <c r="F627" s="2">
        <v>44138.451342592591</v>
      </c>
      <c r="G627" s="3">
        <v>2.9976851801620796E-3</v>
      </c>
      <c r="H627" s="3">
        <v>260.5776408346731</v>
      </c>
      <c r="I627" s="3">
        <v>4.3429606805778853</v>
      </c>
      <c r="J627" s="3">
        <v>7.2382678009631427E-2</v>
      </c>
      <c r="K627" t="s">
        <v>41</v>
      </c>
    </row>
    <row r="628" spans="1:11" x14ac:dyDescent="0.35">
      <c r="A628">
        <v>627</v>
      </c>
      <c r="B628" t="s">
        <v>2</v>
      </c>
      <c r="C628" t="s">
        <v>132</v>
      </c>
      <c r="D628" t="s">
        <v>140</v>
      </c>
      <c r="E628" s="2">
        <v>44138.451597222222</v>
      </c>
      <c r="F628" s="2">
        <v>44138.460069444445</v>
      </c>
      <c r="G628" s="3">
        <v>8.4722222236450762E-3</v>
      </c>
      <c r="H628" s="3">
        <v>736.45881638083063</v>
      </c>
      <c r="I628" s="3">
        <v>12.274313606347176</v>
      </c>
      <c r="J628" s="3">
        <v>0.20457189343911961</v>
      </c>
      <c r="K628" t="s">
        <v>41</v>
      </c>
    </row>
    <row r="629" spans="1:11" x14ac:dyDescent="0.35">
      <c r="A629">
        <v>628</v>
      </c>
      <c r="B629" t="s">
        <v>11</v>
      </c>
      <c r="C629" t="s">
        <v>11</v>
      </c>
      <c r="D629" t="s">
        <v>140</v>
      </c>
      <c r="E629" s="2">
        <v>44138.460358796299</v>
      </c>
      <c r="F629" s="2">
        <v>44138.461886574078</v>
      </c>
      <c r="G629" s="3">
        <v>1.527777778392192E-3</v>
      </c>
      <c r="H629" s="3">
        <v>132.80404888666482</v>
      </c>
      <c r="I629" s="3">
        <v>2.2134008147777471</v>
      </c>
      <c r="J629" s="3">
        <v>3.6890013579629115E-2</v>
      </c>
    </row>
    <row r="630" spans="1:11" x14ac:dyDescent="0.35">
      <c r="A630">
        <v>629</v>
      </c>
      <c r="B630" t="s">
        <v>2</v>
      </c>
      <c r="C630" t="s">
        <v>132</v>
      </c>
      <c r="D630" t="s">
        <v>140</v>
      </c>
      <c r="E630" s="2">
        <v>44138.462060185186</v>
      </c>
      <c r="F630" s="2">
        <v>44138.463171296295</v>
      </c>
      <c r="G630" s="3">
        <v>1.111111108912155E-3</v>
      </c>
      <c r="H630" s="3">
        <v>96.584762596675503</v>
      </c>
      <c r="I630" s="3">
        <v>1.6097460432779251</v>
      </c>
      <c r="J630" s="3">
        <v>2.6829100721298751E-2</v>
      </c>
      <c r="K630" t="s">
        <v>70</v>
      </c>
    </row>
    <row r="631" spans="1:11" x14ac:dyDescent="0.35">
      <c r="A631">
        <v>630</v>
      </c>
      <c r="B631" t="s">
        <v>2</v>
      </c>
      <c r="C631" t="s">
        <v>132</v>
      </c>
      <c r="D631" t="s">
        <v>140</v>
      </c>
      <c r="E631" s="2">
        <v>44138.463379629633</v>
      </c>
      <c r="F631" s="2">
        <v>44138.465532407405</v>
      </c>
      <c r="G631" s="3">
        <v>2.152777771698311E-3</v>
      </c>
      <c r="H631" s="3">
        <v>187.13297737294079</v>
      </c>
      <c r="I631" s="3">
        <v>3.1188829562156797</v>
      </c>
      <c r="J631" s="3">
        <v>5.198138260359466E-2</v>
      </c>
      <c r="K631" t="s">
        <v>40</v>
      </c>
    </row>
    <row r="632" spans="1:11" x14ac:dyDescent="0.35">
      <c r="A632">
        <v>631</v>
      </c>
      <c r="B632" t="s">
        <v>11</v>
      </c>
      <c r="C632" t="s">
        <v>11</v>
      </c>
      <c r="D632" t="s">
        <v>140</v>
      </c>
      <c r="E632" s="2">
        <v>44138.46570601852</v>
      </c>
      <c r="F632" s="2">
        <v>44138.467013888891</v>
      </c>
      <c r="G632" s="3">
        <v>1.3078703705104999E-3</v>
      </c>
      <c r="H632" s="3">
        <v>113.68831454368045</v>
      </c>
      <c r="I632" s="3">
        <v>1.8948052423946742</v>
      </c>
      <c r="J632" s="3">
        <v>3.1580087373244567E-2</v>
      </c>
    </row>
    <row r="633" spans="1:11" x14ac:dyDescent="0.35">
      <c r="A633">
        <v>632</v>
      </c>
      <c r="B633" t="s">
        <v>2</v>
      </c>
      <c r="C633" t="s">
        <v>132</v>
      </c>
      <c r="D633" t="s">
        <v>140</v>
      </c>
      <c r="E633" s="2">
        <v>44138.467094907406</v>
      </c>
      <c r="F633" s="2">
        <v>44138.475868055553</v>
      </c>
      <c r="G633" s="3">
        <v>8.7731481471564621E-3</v>
      </c>
      <c r="H633" s="3">
        <v>762.61718942597895</v>
      </c>
      <c r="I633" s="3">
        <v>12.710286490432983</v>
      </c>
      <c r="J633" s="3">
        <v>0.21183810817388304</v>
      </c>
      <c r="K633" t="s">
        <v>40</v>
      </c>
    </row>
    <row r="634" spans="1:11" x14ac:dyDescent="0.35">
      <c r="A634">
        <v>633</v>
      </c>
      <c r="B634" t="s">
        <v>11</v>
      </c>
      <c r="C634" t="s">
        <v>11</v>
      </c>
      <c r="D634" t="s">
        <v>140</v>
      </c>
      <c r="E634" s="2">
        <v>44138.476157407407</v>
      </c>
      <c r="F634" s="2">
        <v>44138.488194444442</v>
      </c>
      <c r="G634" s="3">
        <v>1.2037037035042886E-2</v>
      </c>
      <c r="H634" s="3">
        <v>1046.3349300280672</v>
      </c>
      <c r="I634" s="3">
        <v>17.438915500467786</v>
      </c>
      <c r="J634" s="3">
        <v>0.29064859167446311</v>
      </c>
    </row>
    <row r="635" spans="1:11" x14ac:dyDescent="0.35">
      <c r="A635">
        <v>634</v>
      </c>
      <c r="B635" t="s">
        <v>16</v>
      </c>
      <c r="C635" t="s">
        <v>16</v>
      </c>
      <c r="D635" t="s">
        <v>140</v>
      </c>
      <c r="E635" s="2">
        <v>44138.488287037035</v>
      </c>
      <c r="F635" s="2">
        <v>44138.535717592589</v>
      </c>
      <c r="G635" s="3">
        <v>4.7430555554456078E-2</v>
      </c>
      <c r="H635" s="3">
        <v>4122.9620614096029</v>
      </c>
      <c r="I635" s="3">
        <v>68.716034356826711</v>
      </c>
      <c r="J635" s="3">
        <v>1.1452672392804453</v>
      </c>
    </row>
    <row r="636" spans="1:11" x14ac:dyDescent="0.35">
      <c r="A636">
        <v>635</v>
      </c>
      <c r="B636" t="s">
        <v>11</v>
      </c>
      <c r="C636" t="s">
        <v>11</v>
      </c>
      <c r="D636" t="s">
        <v>140</v>
      </c>
      <c r="E636" s="2">
        <v>44138.535856481481</v>
      </c>
      <c r="F636" s="2">
        <v>44138.537928240738</v>
      </c>
      <c r="G636" s="3">
        <v>2.0717592560686171E-3</v>
      </c>
      <c r="H636" s="3">
        <v>180.09033867077687</v>
      </c>
      <c r="I636" s="3">
        <v>3.0015056445129478</v>
      </c>
      <c r="J636" s="3">
        <v>5.0025094075215798E-2</v>
      </c>
    </row>
    <row r="637" spans="1:11" x14ac:dyDescent="0.35">
      <c r="A637">
        <v>636</v>
      </c>
      <c r="B637" t="s">
        <v>16</v>
      </c>
      <c r="C637" t="s">
        <v>16</v>
      </c>
      <c r="D637" t="s">
        <v>140</v>
      </c>
      <c r="E637" s="2">
        <v>44138.53802083333</v>
      </c>
      <c r="F637" s="2">
        <v>44138.558622685188</v>
      </c>
      <c r="G637" s="3">
        <v>2.0601851858373266E-2</v>
      </c>
      <c r="H637" s="3">
        <v>1790.8424772577594</v>
      </c>
      <c r="I637" s="3">
        <v>29.847374620962658</v>
      </c>
      <c r="J637" s="3">
        <v>0.49745624368271096</v>
      </c>
    </row>
    <row r="638" spans="1:11" x14ac:dyDescent="0.35">
      <c r="A638">
        <v>637</v>
      </c>
      <c r="B638" t="s">
        <v>11</v>
      </c>
      <c r="C638" t="s">
        <v>11</v>
      </c>
      <c r="D638" t="s">
        <v>140</v>
      </c>
      <c r="E638" s="2">
        <v>44138.558761574073</v>
      </c>
      <c r="F638" s="2">
        <v>44138.562662037039</v>
      </c>
      <c r="G638" s="3">
        <v>3.9004629652481526E-3</v>
      </c>
      <c r="H638" s="3">
        <v>339.05276123506195</v>
      </c>
      <c r="I638" s="3">
        <v>5.6508793539176994</v>
      </c>
      <c r="J638" s="3">
        <v>9.4181322565294989E-2</v>
      </c>
    </row>
    <row r="639" spans="1:11" x14ac:dyDescent="0.35">
      <c r="A639">
        <v>638</v>
      </c>
      <c r="B639" t="s">
        <v>11</v>
      </c>
      <c r="C639" t="s">
        <v>11</v>
      </c>
      <c r="D639" t="s">
        <v>140</v>
      </c>
      <c r="E639" s="2">
        <v>44138.562743055554</v>
      </c>
      <c r="F639" s="2">
        <v>44138.581273148149</v>
      </c>
      <c r="G639" s="3">
        <v>1.8530092595028691E-2</v>
      </c>
      <c r="H639" s="3">
        <v>1610.7521379545105</v>
      </c>
      <c r="I639" s="3">
        <v>26.845868965908508</v>
      </c>
      <c r="J639" s="3">
        <v>0.44743114943180845</v>
      </c>
    </row>
    <row r="640" spans="1:11" x14ac:dyDescent="0.35">
      <c r="A640">
        <v>639</v>
      </c>
      <c r="B640" t="s">
        <v>2</v>
      </c>
      <c r="C640" t="s">
        <v>72</v>
      </c>
      <c r="D640" t="s">
        <v>140</v>
      </c>
      <c r="E640" s="2">
        <v>44138.581342592595</v>
      </c>
      <c r="F640" s="2">
        <v>44138.631608796299</v>
      </c>
      <c r="G640" s="3">
        <v>5.0266203703358769E-2</v>
      </c>
      <c r="H640" s="3">
        <v>4369.4544248399488</v>
      </c>
      <c r="I640" s="3">
        <v>72.824240413999149</v>
      </c>
      <c r="J640" s="3">
        <v>1.2137373402333191</v>
      </c>
      <c r="K640" t="s">
        <v>73</v>
      </c>
    </row>
    <row r="641" spans="1:11" x14ac:dyDescent="0.35">
      <c r="A641">
        <v>640</v>
      </c>
      <c r="B641" t="s">
        <v>2</v>
      </c>
      <c r="C641" t="s">
        <v>96</v>
      </c>
      <c r="D641" t="s">
        <v>140</v>
      </c>
      <c r="E641" s="2">
        <v>44138.631712962961</v>
      </c>
      <c r="F641" s="2">
        <v>44138.650694444441</v>
      </c>
      <c r="G641" s="3">
        <v>1.898148148029577E-2</v>
      </c>
      <c r="H641" s="3">
        <v>1649.989697522233</v>
      </c>
      <c r="I641" s="3">
        <v>27.499828292037215</v>
      </c>
      <c r="J641" s="3">
        <v>0.45833047153395357</v>
      </c>
    </row>
    <row r="642" spans="1:11" x14ac:dyDescent="0.35">
      <c r="A642">
        <v>641</v>
      </c>
      <c r="B642" t="s">
        <v>2</v>
      </c>
      <c r="C642" t="s">
        <v>132</v>
      </c>
      <c r="D642" t="s">
        <v>140</v>
      </c>
      <c r="E642" s="2">
        <v>44138.651273148149</v>
      </c>
      <c r="F642" s="2">
        <v>44138.655185185184</v>
      </c>
      <c r="G642" s="3">
        <v>3.9120370347518474E-3</v>
      </c>
      <c r="H642" s="3">
        <v>340.05885211681567</v>
      </c>
      <c r="I642" s="3">
        <v>5.6676475352802616</v>
      </c>
      <c r="J642" s="3">
        <v>9.4460792254671022E-2</v>
      </c>
      <c r="K642" t="s">
        <v>64</v>
      </c>
    </row>
    <row r="643" spans="1:11" x14ac:dyDescent="0.35">
      <c r="A643">
        <v>642</v>
      </c>
      <c r="B643" t="s">
        <v>16</v>
      </c>
      <c r="C643" t="s">
        <v>16</v>
      </c>
      <c r="D643" t="s">
        <v>140</v>
      </c>
      <c r="E643" s="2">
        <v>44138.655335648145</v>
      </c>
      <c r="F643" s="2">
        <v>44138.656087962961</v>
      </c>
      <c r="G643" s="3">
        <v>7.5231481605442241E-4</v>
      </c>
      <c r="H643" s="3">
        <v>65.39593324534269</v>
      </c>
      <c r="I643" s="3">
        <v>1.0899322207557114</v>
      </c>
      <c r="J643" s="3">
        <v>1.8165537012595191E-2</v>
      </c>
    </row>
    <row r="644" spans="1:11" x14ac:dyDescent="0.35">
      <c r="A644">
        <v>643</v>
      </c>
      <c r="B644" t="s">
        <v>11</v>
      </c>
      <c r="C644" t="s">
        <v>11</v>
      </c>
      <c r="D644" t="s">
        <v>140</v>
      </c>
      <c r="E644" s="2">
        <v>44138.656458333331</v>
      </c>
      <c r="F644" s="2">
        <v>44138.675011574072</v>
      </c>
      <c r="G644" s="3">
        <v>1.8553240741312038E-2</v>
      </c>
      <c r="H644" s="3">
        <v>1612.7643203504899</v>
      </c>
      <c r="I644" s="3">
        <v>26.879405339174831</v>
      </c>
      <c r="J644" s="3">
        <v>0.4479900889862472</v>
      </c>
    </row>
    <row r="645" spans="1:11" x14ac:dyDescent="0.35">
      <c r="A645">
        <v>644</v>
      </c>
      <c r="B645" t="s">
        <v>2</v>
      </c>
      <c r="C645" t="s">
        <v>132</v>
      </c>
      <c r="D645" t="s">
        <v>140</v>
      </c>
      <c r="E645" s="2">
        <v>44138.675219907411</v>
      </c>
      <c r="F645" s="2">
        <v>44138.705925925926</v>
      </c>
      <c r="G645" s="3">
        <v>3.0706018515047617E-2</v>
      </c>
      <c r="H645" s="3">
        <v>2669.1601629909264</v>
      </c>
      <c r="I645" s="3">
        <v>44.486002716515443</v>
      </c>
      <c r="J645" s="3">
        <v>0.74143337860859071</v>
      </c>
      <c r="K645" t="s">
        <v>42</v>
      </c>
    </row>
    <row r="646" spans="1:11" x14ac:dyDescent="0.35">
      <c r="A646">
        <v>645</v>
      </c>
      <c r="B646" t="s">
        <v>11</v>
      </c>
      <c r="C646" t="s">
        <v>11</v>
      </c>
      <c r="D646" t="s">
        <v>140</v>
      </c>
      <c r="E646" s="2">
        <v>44138.706053240741</v>
      </c>
      <c r="F646" s="2">
        <v>44138.706875000003</v>
      </c>
      <c r="G646" s="3">
        <v>8.217592621804215E-4</v>
      </c>
      <c r="H646" s="3">
        <v>71.43248106575291</v>
      </c>
      <c r="I646" s="3">
        <v>1.1905413510958818</v>
      </c>
      <c r="J646" s="3">
        <v>1.9842355851598031E-2</v>
      </c>
    </row>
    <row r="647" spans="1:11" x14ac:dyDescent="0.35">
      <c r="A647">
        <v>646</v>
      </c>
      <c r="B647" t="s">
        <v>2</v>
      </c>
      <c r="C647" t="s">
        <v>132</v>
      </c>
      <c r="D647" t="s">
        <v>140</v>
      </c>
      <c r="E647" s="2">
        <v>44138.707037037035</v>
      </c>
      <c r="F647" s="2">
        <v>44138.714722222219</v>
      </c>
      <c r="G647" s="3">
        <v>7.6851851845276542E-3</v>
      </c>
      <c r="H647" s="3">
        <v>668.04460922528278</v>
      </c>
      <c r="I647" s="3">
        <v>11.134076820421379</v>
      </c>
      <c r="J647" s="3">
        <v>0.18556794700702298</v>
      </c>
      <c r="K647" t="s">
        <v>42</v>
      </c>
    </row>
    <row r="648" spans="1:11" x14ac:dyDescent="0.35">
      <c r="A648">
        <v>647</v>
      </c>
      <c r="B648" t="s">
        <v>11</v>
      </c>
      <c r="C648" t="s">
        <v>11</v>
      </c>
      <c r="D648" t="s">
        <v>140</v>
      </c>
      <c r="E648" s="2">
        <v>44138.714780092596</v>
      </c>
      <c r="F648" s="2">
        <v>44138.721736111111</v>
      </c>
      <c r="G648" s="3">
        <v>6.956018514756579E-3</v>
      </c>
      <c r="H648" s="3">
        <v>604.66085837591959</v>
      </c>
      <c r="I648" s="3">
        <v>10.077680972931994</v>
      </c>
      <c r="J648" s="3">
        <v>0.16796134954886657</v>
      </c>
    </row>
    <row r="649" spans="1:11" x14ac:dyDescent="0.35">
      <c r="A649">
        <v>648</v>
      </c>
      <c r="B649" t="s">
        <v>2</v>
      </c>
      <c r="C649" t="s">
        <v>132</v>
      </c>
      <c r="D649" t="s">
        <v>140</v>
      </c>
      <c r="E649" s="2">
        <v>44138.736493055556</v>
      </c>
      <c r="F649" s="2">
        <v>44138.751736111109</v>
      </c>
      <c r="G649" s="3">
        <v>1.5243055553582963E-2</v>
      </c>
      <c r="H649" s="3">
        <v>1325.022214323971</v>
      </c>
      <c r="I649" s="3">
        <v>22.083703572066181</v>
      </c>
      <c r="J649" s="3">
        <v>0.368061726201103</v>
      </c>
      <c r="K649" t="s">
        <v>42</v>
      </c>
    </row>
    <row r="650" spans="1:11" x14ac:dyDescent="0.35">
      <c r="A650">
        <v>649</v>
      </c>
      <c r="B650" t="s">
        <v>2</v>
      </c>
      <c r="C650" t="s">
        <v>132</v>
      </c>
      <c r="D650" t="s">
        <v>140</v>
      </c>
      <c r="E650" s="2">
        <v>44138.753495370373</v>
      </c>
      <c r="F650" s="2">
        <v>44138.760451388887</v>
      </c>
      <c r="G650" s="3">
        <v>6.956018514756579E-3</v>
      </c>
      <c r="H650" s="3">
        <v>604.66085837591959</v>
      </c>
      <c r="I650" s="3">
        <v>10.077680972931994</v>
      </c>
      <c r="J650" s="3">
        <v>0.16796134954886657</v>
      </c>
      <c r="K650" t="s">
        <v>42</v>
      </c>
    </row>
    <row r="651" spans="1:11" x14ac:dyDescent="0.35">
      <c r="A651">
        <v>650</v>
      </c>
      <c r="B651" t="s">
        <v>2</v>
      </c>
      <c r="C651" t="s">
        <v>132</v>
      </c>
      <c r="D651" t="s">
        <v>140</v>
      </c>
      <c r="E651" s="2">
        <v>44138.761944444443</v>
      </c>
      <c r="F651" s="2">
        <v>44138.791550925926</v>
      </c>
      <c r="G651" s="3">
        <v>2.9606481482915115E-2</v>
      </c>
      <c r="H651" s="3">
        <v>2573.5814919084764</v>
      </c>
      <c r="I651" s="3">
        <v>42.893024865141271</v>
      </c>
      <c r="J651" s="3">
        <v>0.71488374775235453</v>
      </c>
      <c r="K651" t="s">
        <v>42</v>
      </c>
    </row>
    <row r="652" spans="1:11" x14ac:dyDescent="0.35">
      <c r="A652">
        <v>651</v>
      </c>
      <c r="B652" t="s">
        <v>2</v>
      </c>
      <c r="C652" t="s">
        <v>132</v>
      </c>
      <c r="D652" t="s">
        <v>140</v>
      </c>
      <c r="E652" s="2">
        <v>44138.883888888886</v>
      </c>
      <c r="F652" s="2">
        <v>44138.894525462965</v>
      </c>
      <c r="G652" s="3">
        <v>1.0636574079398997E-2</v>
      </c>
      <c r="H652" s="3">
        <v>924.59788590046912</v>
      </c>
      <c r="I652" s="3">
        <v>15.409964765007819</v>
      </c>
      <c r="J652" s="3">
        <v>0.25683274608346368</v>
      </c>
      <c r="K652" t="s">
        <v>42</v>
      </c>
    </row>
    <row r="653" spans="1:11" x14ac:dyDescent="0.35">
      <c r="A653">
        <v>652</v>
      </c>
      <c r="B653" t="s">
        <v>2</v>
      </c>
      <c r="C653" t="s">
        <v>132</v>
      </c>
      <c r="D653" t="s">
        <v>140</v>
      </c>
      <c r="E653" s="2">
        <v>44138.899930555555</v>
      </c>
      <c r="F653" s="2">
        <v>44138.913912037038</v>
      </c>
      <c r="G653" s="3">
        <v>1.3981481482915115E-2</v>
      </c>
      <c r="H653" s="3">
        <v>1215.3582652047212</v>
      </c>
      <c r="I653" s="3">
        <v>20.255971086745355</v>
      </c>
      <c r="J653" s="3">
        <v>0.33759951811242256</v>
      </c>
      <c r="K653" t="s">
        <v>42</v>
      </c>
    </row>
    <row r="654" spans="1:11" x14ac:dyDescent="0.35">
      <c r="A654">
        <v>653</v>
      </c>
      <c r="B654" t="s">
        <v>11</v>
      </c>
      <c r="C654" t="s">
        <v>11</v>
      </c>
      <c r="D654" t="s">
        <v>140</v>
      </c>
      <c r="E654" s="2">
        <v>44139.178622685184</v>
      </c>
      <c r="F654" s="2">
        <v>44139.180694444447</v>
      </c>
      <c r="G654" s="3">
        <v>2.0717592633445747E-3</v>
      </c>
      <c r="H654" s="3">
        <v>180.09033930324884</v>
      </c>
      <c r="I654" s="3">
        <v>3.0015056550541472</v>
      </c>
      <c r="J654" s="3">
        <v>5.0025094250902451E-2</v>
      </c>
    </row>
    <row r="655" spans="1:11" x14ac:dyDescent="0.35">
      <c r="A655">
        <v>654</v>
      </c>
      <c r="B655" t="s">
        <v>16</v>
      </c>
      <c r="C655" t="s">
        <v>16</v>
      </c>
      <c r="D655" t="s">
        <v>140</v>
      </c>
      <c r="E655" s="2">
        <v>44139.285497685189</v>
      </c>
      <c r="F655" s="2">
        <v>44139.288587962961</v>
      </c>
      <c r="G655" s="3">
        <v>3.0902777725714259E-3</v>
      </c>
      <c r="H655" s="3">
        <v>268.62637105106273</v>
      </c>
      <c r="I655" s="3">
        <v>4.4771061841843789</v>
      </c>
      <c r="J655" s="3">
        <v>7.4618436403072988E-2</v>
      </c>
    </row>
    <row r="656" spans="1:11" x14ac:dyDescent="0.35">
      <c r="A656">
        <v>655</v>
      </c>
      <c r="B656" t="s">
        <v>2</v>
      </c>
      <c r="C656" t="s">
        <v>132</v>
      </c>
      <c r="D656" t="s">
        <v>140</v>
      </c>
      <c r="E656" s="2">
        <v>44139.288715277777</v>
      </c>
      <c r="F656" s="2">
        <v>44139.357534722221</v>
      </c>
      <c r="G656" s="3">
        <v>6.8819444444670808E-2</v>
      </c>
      <c r="H656" s="3">
        <v>5982.2187451904383</v>
      </c>
      <c r="I656" s="3">
        <v>99.703645753173973</v>
      </c>
      <c r="J656" s="3">
        <v>1.6617274292195663</v>
      </c>
      <c r="K656" t="s">
        <v>64</v>
      </c>
    </row>
    <row r="657" spans="1:11" x14ac:dyDescent="0.35">
      <c r="A657">
        <v>656</v>
      </c>
      <c r="B657" t="s">
        <v>11</v>
      </c>
      <c r="C657" t="s">
        <v>11</v>
      </c>
      <c r="D657" t="s">
        <v>140</v>
      </c>
      <c r="E657" s="2">
        <v>44139.358090277776</v>
      </c>
      <c r="F657" s="2">
        <v>44139.367581018516</v>
      </c>
      <c r="G657" s="3">
        <v>9.4907407401478849E-3</v>
      </c>
      <c r="H657" s="3">
        <v>824.99484876111649</v>
      </c>
      <c r="I657" s="3">
        <v>13.749914146018607</v>
      </c>
      <c r="J657" s="3">
        <v>0.22916523576697678</v>
      </c>
    </row>
    <row r="658" spans="1:11" x14ac:dyDescent="0.35">
      <c r="A658">
        <v>657</v>
      </c>
      <c r="B658" t="s">
        <v>16</v>
      </c>
      <c r="C658" t="s">
        <v>16</v>
      </c>
      <c r="D658" t="s">
        <v>140</v>
      </c>
      <c r="E658" s="2">
        <v>44139.367673611108</v>
      </c>
      <c r="F658" s="2">
        <v>44139.373495370368</v>
      </c>
      <c r="G658" s="3">
        <v>5.8217592595610768E-3</v>
      </c>
      <c r="H658" s="3">
        <v>506.06391338326466</v>
      </c>
      <c r="I658" s="3">
        <v>8.4343985563877446</v>
      </c>
      <c r="J658" s="3">
        <v>0.14057330927312908</v>
      </c>
    </row>
    <row r="659" spans="1:11" x14ac:dyDescent="0.35">
      <c r="A659">
        <v>658</v>
      </c>
      <c r="B659" t="s">
        <v>11</v>
      </c>
      <c r="C659" t="s">
        <v>11</v>
      </c>
      <c r="D659" t="s">
        <v>140</v>
      </c>
      <c r="E659" s="2">
        <v>44139.373576388891</v>
      </c>
      <c r="F659" s="2">
        <v>44139.377615740741</v>
      </c>
      <c r="G659" s="3">
        <v>4.0393518502241932E-3</v>
      </c>
      <c r="H659" s="3">
        <v>351.1258562434104</v>
      </c>
      <c r="I659" s="3">
        <v>5.8520976040568398</v>
      </c>
      <c r="J659" s="3">
        <v>9.7534960067614002E-2</v>
      </c>
    </row>
    <row r="660" spans="1:11" x14ac:dyDescent="0.35">
      <c r="A660">
        <v>659</v>
      </c>
      <c r="B660" t="s">
        <v>2</v>
      </c>
      <c r="C660" t="s">
        <v>132</v>
      </c>
      <c r="D660" t="s">
        <v>140</v>
      </c>
      <c r="E660" s="2">
        <v>44139.37777777778</v>
      </c>
      <c r="F660" s="2">
        <v>44139.385289351849</v>
      </c>
      <c r="G660" s="3">
        <v>7.5115740692126565E-3</v>
      </c>
      <c r="H660" s="3">
        <v>652.95323967425736</v>
      </c>
      <c r="I660" s="3">
        <v>10.882553994570957</v>
      </c>
      <c r="J660" s="3">
        <v>0.18137589990951594</v>
      </c>
      <c r="K660" t="s">
        <v>42</v>
      </c>
    </row>
    <row r="661" spans="1:11" x14ac:dyDescent="0.35">
      <c r="A661">
        <v>660</v>
      </c>
      <c r="B661" t="s">
        <v>2</v>
      </c>
      <c r="C661" t="s">
        <v>96</v>
      </c>
      <c r="D661" t="s">
        <v>140</v>
      </c>
      <c r="E661" s="2">
        <v>44139.38553240741</v>
      </c>
      <c r="F661" s="2">
        <v>44139.394768518519</v>
      </c>
      <c r="G661" s="3">
        <v>9.2361111092031933E-3</v>
      </c>
      <c r="H661" s="3">
        <v>802.86084050792704</v>
      </c>
      <c r="I661" s="3">
        <v>13.381014008465451</v>
      </c>
      <c r="J661" s="3">
        <v>0.22301690014109085</v>
      </c>
    </row>
    <row r="662" spans="1:11" x14ac:dyDescent="0.35">
      <c r="A662">
        <v>661</v>
      </c>
      <c r="B662" t="s">
        <v>16</v>
      </c>
      <c r="C662" t="s">
        <v>16</v>
      </c>
      <c r="D662" t="s">
        <v>140</v>
      </c>
      <c r="E662" s="2">
        <v>44139.394849537035</v>
      </c>
      <c r="F662" s="2">
        <v>44139.397407407407</v>
      </c>
      <c r="G662" s="3">
        <v>2.5578703716746531E-3</v>
      </c>
      <c r="H662" s="3">
        <v>222.34617278117636</v>
      </c>
      <c r="I662" s="3">
        <v>3.7057695463529394</v>
      </c>
      <c r="J662" s="3">
        <v>6.176282577254899E-2</v>
      </c>
    </row>
    <row r="663" spans="1:11" x14ac:dyDescent="0.35">
      <c r="A663">
        <v>662</v>
      </c>
      <c r="B663" t="s">
        <v>2</v>
      </c>
      <c r="C663" t="s">
        <v>132</v>
      </c>
      <c r="D663" t="s">
        <v>140</v>
      </c>
      <c r="E663" s="2">
        <v>44139.397546296299</v>
      </c>
      <c r="F663" s="2">
        <v>44139.416655092595</v>
      </c>
      <c r="G663" s="3">
        <v>1.9108796295768116E-2</v>
      </c>
      <c r="H663" s="3">
        <v>1661.0567016488278</v>
      </c>
      <c r="I663" s="3">
        <v>27.684278360813796</v>
      </c>
      <c r="J663" s="3">
        <v>0.46140463934689657</v>
      </c>
      <c r="K663" t="s">
        <v>41</v>
      </c>
    </row>
    <row r="664" spans="1:11" x14ac:dyDescent="0.35">
      <c r="A664">
        <v>663</v>
      </c>
      <c r="B664" t="s">
        <v>16</v>
      </c>
      <c r="C664" t="s">
        <v>16</v>
      </c>
      <c r="D664" t="s">
        <v>140</v>
      </c>
      <c r="E664" s="2">
        <v>44139.416724537034</v>
      </c>
      <c r="F664" s="2">
        <v>44139.419293981482</v>
      </c>
      <c r="G664" s="3">
        <v>2.5694444484543055E-3</v>
      </c>
      <c r="H664" s="3">
        <v>223.35226429540208</v>
      </c>
      <c r="I664" s="3">
        <v>3.7225377382567015</v>
      </c>
      <c r="J664" s="3">
        <v>6.204229563761169E-2</v>
      </c>
    </row>
    <row r="665" spans="1:11" x14ac:dyDescent="0.35">
      <c r="A665">
        <v>664</v>
      </c>
      <c r="B665" t="s">
        <v>2</v>
      </c>
      <c r="C665" t="s">
        <v>132</v>
      </c>
      <c r="D665" t="s">
        <v>140</v>
      </c>
      <c r="E665" s="2">
        <v>44139.419525462959</v>
      </c>
      <c r="F665" s="2">
        <v>44139.429861111108</v>
      </c>
      <c r="G665" s="3">
        <v>1.0335648148611654E-2</v>
      </c>
      <c r="H665" s="3">
        <v>898.43951222284886</v>
      </c>
      <c r="I665" s="3">
        <v>14.973991870380814</v>
      </c>
      <c r="J665" s="3">
        <v>0.24956653117301358</v>
      </c>
      <c r="K665" t="s">
        <v>40</v>
      </c>
    </row>
    <row r="666" spans="1:11" x14ac:dyDescent="0.35">
      <c r="A666">
        <v>665</v>
      </c>
      <c r="B666" t="s">
        <v>16</v>
      </c>
      <c r="C666" t="s">
        <v>16</v>
      </c>
      <c r="D666" t="s">
        <v>140</v>
      </c>
      <c r="E666" s="2">
        <v>44139.429965277777</v>
      </c>
      <c r="F666" s="2">
        <v>44139.431979166664</v>
      </c>
      <c r="G666" s="3">
        <v>2.0138888867222704E-3</v>
      </c>
      <c r="H666" s="3">
        <v>175.05988236459234</v>
      </c>
      <c r="I666" s="3">
        <v>2.9176647060765388</v>
      </c>
      <c r="J666" s="3">
        <v>4.8627745101275648E-2</v>
      </c>
    </row>
    <row r="667" spans="1:11" x14ac:dyDescent="0.35">
      <c r="A667">
        <v>666</v>
      </c>
      <c r="B667" t="s">
        <v>2</v>
      </c>
      <c r="C667" t="s">
        <v>132</v>
      </c>
      <c r="D667" t="s">
        <v>140</v>
      </c>
      <c r="E667" s="2">
        <v>44139.432164351849</v>
      </c>
      <c r="F667" s="2">
        <v>44139.439212962963</v>
      </c>
      <c r="G667" s="3">
        <v>7.0486111144418828E-3</v>
      </c>
      <c r="H667" s="3">
        <v>612.70958922478121</v>
      </c>
      <c r="I667" s="3">
        <v>10.211826487079687</v>
      </c>
      <c r="J667" s="3">
        <v>0.17019710811799479</v>
      </c>
      <c r="K667" t="s">
        <v>40</v>
      </c>
    </row>
    <row r="668" spans="1:11" x14ac:dyDescent="0.35">
      <c r="A668">
        <v>667</v>
      </c>
      <c r="B668" t="s">
        <v>2</v>
      </c>
      <c r="C668" t="s">
        <v>96</v>
      </c>
      <c r="D668" t="s">
        <v>140</v>
      </c>
      <c r="E668" s="2">
        <v>44139.439409722225</v>
      </c>
      <c r="F668" s="2">
        <v>44139.439930555556</v>
      </c>
      <c r="G668" s="3">
        <v>5.2083333139307797E-4</v>
      </c>
      <c r="H668" s="3">
        <v>45.274107388132641</v>
      </c>
      <c r="I668" s="3">
        <v>0.75456845646887738</v>
      </c>
      <c r="J668" s="3">
        <v>1.2576140941147956E-2</v>
      </c>
    </row>
    <row r="669" spans="1:11" x14ac:dyDescent="0.35">
      <c r="A669">
        <v>668</v>
      </c>
      <c r="B669" t="s">
        <v>11</v>
      </c>
      <c r="C669" t="s">
        <v>11</v>
      </c>
      <c r="D669" t="s">
        <v>140</v>
      </c>
      <c r="E669" s="2">
        <v>44139.440138888887</v>
      </c>
      <c r="F669" s="2">
        <v>44139.440682870372</v>
      </c>
      <c r="G669" s="3">
        <v>5.4398148495238274E-4</v>
      </c>
      <c r="H669" s="3">
        <v>47.286290416584031</v>
      </c>
      <c r="I669" s="3">
        <v>0.78810484027640049</v>
      </c>
      <c r="J669" s="3">
        <v>1.3135080671273341E-2</v>
      </c>
    </row>
    <row r="670" spans="1:11" x14ac:dyDescent="0.35">
      <c r="A670">
        <v>669</v>
      </c>
      <c r="B670" t="s">
        <v>2</v>
      </c>
      <c r="C670" t="s">
        <v>132</v>
      </c>
      <c r="D670" t="s">
        <v>140</v>
      </c>
      <c r="E670" s="2">
        <v>44139.44091435185</v>
      </c>
      <c r="F670" s="2">
        <v>44139.444189814814</v>
      </c>
      <c r="G670" s="3">
        <v>3.275462964666076E-3</v>
      </c>
      <c r="H670" s="3">
        <v>284.72383211631399</v>
      </c>
      <c r="I670" s="3">
        <v>4.7453972019385668</v>
      </c>
      <c r="J670" s="3">
        <v>7.9089953365642784E-2</v>
      </c>
      <c r="K670" t="s">
        <v>64</v>
      </c>
    </row>
    <row r="671" spans="1:11" x14ac:dyDescent="0.35">
      <c r="A671">
        <v>670</v>
      </c>
      <c r="B671" t="s">
        <v>11</v>
      </c>
      <c r="C671" t="s">
        <v>11</v>
      </c>
      <c r="D671" t="s">
        <v>140</v>
      </c>
      <c r="E671" s="2">
        <v>44139.444386574076</v>
      </c>
      <c r="F671" s="2">
        <v>44139.448101851849</v>
      </c>
      <c r="G671" s="3">
        <v>3.7152777731535025E-3</v>
      </c>
      <c r="H671" s="3">
        <v>322.9553001698107</v>
      </c>
      <c r="I671" s="3">
        <v>5.3825883361635114</v>
      </c>
      <c r="J671" s="3">
        <v>8.9709805602725193E-2</v>
      </c>
    </row>
    <row r="672" spans="1:11" x14ac:dyDescent="0.35">
      <c r="A672">
        <v>671</v>
      </c>
      <c r="B672" t="s">
        <v>2</v>
      </c>
      <c r="C672" t="s">
        <v>132</v>
      </c>
      <c r="D672" t="s">
        <v>140</v>
      </c>
      <c r="E672" s="2">
        <v>44139.448344907411</v>
      </c>
      <c r="F672" s="2">
        <v>44139.452268518522</v>
      </c>
      <c r="G672" s="3">
        <v>3.9236111115314998E-3</v>
      </c>
      <c r="H672" s="3">
        <v>341.06494363104133</v>
      </c>
      <c r="I672" s="3">
        <v>5.6844157271840219</v>
      </c>
      <c r="J672" s="3">
        <v>9.4740262119733701E-2</v>
      </c>
      <c r="K672" t="s">
        <v>41</v>
      </c>
    </row>
    <row r="673" spans="1:11" x14ac:dyDescent="0.35">
      <c r="A673">
        <v>672</v>
      </c>
      <c r="B673" t="s">
        <v>16</v>
      </c>
      <c r="C673" t="s">
        <v>16</v>
      </c>
      <c r="D673" t="s">
        <v>140</v>
      </c>
      <c r="E673" s="2">
        <v>44139.452499999999</v>
      </c>
      <c r="F673" s="2">
        <v>44139.465798611112</v>
      </c>
      <c r="G673" s="3">
        <v>1.3298611112986691E-2</v>
      </c>
      <c r="H673" s="3">
        <v>1155.9988797797889</v>
      </c>
      <c r="I673" s="3">
        <v>19.266647996329816</v>
      </c>
      <c r="J673" s="3">
        <v>0.32111079993883024</v>
      </c>
    </row>
    <row r="674" spans="1:11" x14ac:dyDescent="0.35">
      <c r="A674">
        <v>673</v>
      </c>
      <c r="B674" t="s">
        <v>16</v>
      </c>
      <c r="C674" t="s">
        <v>16</v>
      </c>
      <c r="D674" t="s">
        <v>140</v>
      </c>
      <c r="E674" s="2">
        <v>44139.465891203705</v>
      </c>
      <c r="F674" s="2">
        <v>44139.469837962963</v>
      </c>
      <c r="G674" s="3">
        <v>3.9467592578148469E-3</v>
      </c>
      <c r="H674" s="3">
        <v>343.07712602702077</v>
      </c>
      <c r="I674" s="3">
        <v>5.7179521004503462</v>
      </c>
      <c r="J674" s="3">
        <v>9.529920167417244E-2</v>
      </c>
    </row>
    <row r="675" spans="1:11" x14ac:dyDescent="0.35">
      <c r="A675">
        <v>674</v>
      </c>
      <c r="B675" t="s">
        <v>2</v>
      </c>
      <c r="C675" t="s">
        <v>132</v>
      </c>
      <c r="D675" t="s">
        <v>140</v>
      </c>
      <c r="E675" s="2">
        <v>44139.470081018517</v>
      </c>
      <c r="F675" s="2">
        <v>44139.471400462964</v>
      </c>
      <c r="G675" s="3">
        <v>1.3194444472901523E-3</v>
      </c>
      <c r="H675" s="3">
        <v>114.69440605790614</v>
      </c>
      <c r="I675" s="3">
        <v>1.9115734342984356</v>
      </c>
      <c r="J675" s="3">
        <v>3.1859557238307259E-2</v>
      </c>
      <c r="K675" t="s">
        <v>41</v>
      </c>
    </row>
    <row r="676" spans="1:11" x14ac:dyDescent="0.35">
      <c r="A676">
        <v>675</v>
      </c>
      <c r="B676" t="s">
        <v>2</v>
      </c>
      <c r="C676" t="s">
        <v>132</v>
      </c>
      <c r="D676" t="s">
        <v>140</v>
      </c>
      <c r="E676" s="2">
        <v>44139.47148148148</v>
      </c>
      <c r="F676" s="2">
        <v>44139.482418981483</v>
      </c>
      <c r="G676" s="3">
        <v>1.0937500002910383E-2</v>
      </c>
      <c r="H676" s="3">
        <v>950.75625894561745</v>
      </c>
      <c r="I676" s="3">
        <v>15.845937649093624</v>
      </c>
      <c r="J676" s="3">
        <v>0.26409896081822709</v>
      </c>
      <c r="K676" t="s">
        <v>41</v>
      </c>
    </row>
    <row r="677" spans="1:11" x14ac:dyDescent="0.35">
      <c r="A677">
        <v>676</v>
      </c>
      <c r="B677" t="s">
        <v>2</v>
      </c>
      <c r="C677" t="s">
        <v>96</v>
      </c>
      <c r="D677" t="s">
        <v>140</v>
      </c>
      <c r="E677" s="2">
        <v>44139.482627314814</v>
      </c>
      <c r="F677" s="2">
        <v>44139.487708333334</v>
      </c>
      <c r="G677" s="3">
        <v>5.0810185202863067E-3</v>
      </c>
      <c r="H677" s="3">
        <v>441.67407165214763</v>
      </c>
      <c r="I677" s="3">
        <v>7.3612345275357942</v>
      </c>
      <c r="J677" s="3">
        <v>0.12268724212559658</v>
      </c>
    </row>
    <row r="678" spans="1:11" x14ac:dyDescent="0.35">
      <c r="A678">
        <v>677</v>
      </c>
      <c r="B678" t="s">
        <v>16</v>
      </c>
      <c r="C678" t="s">
        <v>16</v>
      </c>
      <c r="D678" t="s">
        <v>140</v>
      </c>
      <c r="E678" s="2">
        <v>44139.487893518519</v>
      </c>
      <c r="F678" s="2">
        <v>44139.509363425925</v>
      </c>
      <c r="G678" s="3">
        <v>2.1469907405844424E-2</v>
      </c>
      <c r="H678" s="3">
        <v>1866.2993224829993</v>
      </c>
      <c r="I678" s="3">
        <v>31.104988708049987</v>
      </c>
      <c r="J678" s="3">
        <v>0.51841647846749983</v>
      </c>
    </row>
    <row r="679" spans="1:11" x14ac:dyDescent="0.35">
      <c r="A679">
        <v>678</v>
      </c>
      <c r="B679" t="s">
        <v>11</v>
      </c>
      <c r="C679" t="s">
        <v>11</v>
      </c>
      <c r="D679" t="s">
        <v>140</v>
      </c>
      <c r="E679" s="2">
        <v>44139.509513888886</v>
      </c>
      <c r="F679" s="2">
        <v>44139.514456018522</v>
      </c>
      <c r="G679" s="3">
        <v>4.9421296353102662E-3</v>
      </c>
      <c r="H679" s="3">
        <v>429.60097664379919</v>
      </c>
      <c r="I679" s="3">
        <v>7.1600162773966529</v>
      </c>
      <c r="J679" s="3">
        <v>0.11933360462327755</v>
      </c>
    </row>
    <row r="680" spans="1:11" x14ac:dyDescent="0.35">
      <c r="A680">
        <v>679</v>
      </c>
      <c r="B680" t="s">
        <v>2</v>
      </c>
      <c r="C680" t="s">
        <v>132</v>
      </c>
      <c r="D680" t="s">
        <v>140</v>
      </c>
      <c r="E680" s="2">
        <v>44139.514699074076</v>
      </c>
      <c r="F680" s="2">
        <v>44139.521180555559</v>
      </c>
      <c r="G680" s="3">
        <v>6.4814814832061529E-3</v>
      </c>
      <c r="H680" s="3">
        <v>563.41111641221767</v>
      </c>
      <c r="I680" s="3">
        <v>9.3901852735369609</v>
      </c>
      <c r="J680" s="3">
        <v>0.15650308789228268</v>
      </c>
      <c r="K680" t="s">
        <v>40</v>
      </c>
    </row>
    <row r="681" spans="1:11" x14ac:dyDescent="0.35">
      <c r="A681">
        <v>680</v>
      </c>
      <c r="B681" t="s">
        <v>16</v>
      </c>
      <c r="C681" t="s">
        <v>16</v>
      </c>
      <c r="D681" t="s">
        <v>140</v>
      </c>
      <c r="E681" s="2">
        <v>44139.521238425928</v>
      </c>
      <c r="F681" s="2">
        <v>44139.522592592592</v>
      </c>
      <c r="G681" s="3">
        <v>1.3541666630771942E-3</v>
      </c>
      <c r="H681" s="3">
        <v>117.71267933563927</v>
      </c>
      <c r="I681" s="3">
        <v>1.961877988927321</v>
      </c>
      <c r="J681" s="3">
        <v>3.2697966482122018E-2</v>
      </c>
    </row>
    <row r="682" spans="1:11" x14ac:dyDescent="0.35">
      <c r="A682">
        <v>681</v>
      </c>
      <c r="B682" t="s">
        <v>2</v>
      </c>
      <c r="C682" t="s">
        <v>132</v>
      </c>
      <c r="D682" t="s">
        <v>140</v>
      </c>
      <c r="E682" s="2">
        <v>44139.522673611114</v>
      </c>
      <c r="F682" s="2">
        <v>44139.52857638889</v>
      </c>
      <c r="G682" s="3">
        <v>5.9027777751907706E-3</v>
      </c>
      <c r="H682" s="3">
        <v>513.10655208542858</v>
      </c>
      <c r="I682" s="3">
        <v>8.551775868090477</v>
      </c>
      <c r="J682" s="3">
        <v>0.14252959780150795</v>
      </c>
      <c r="K682" t="s">
        <v>40</v>
      </c>
    </row>
    <row r="683" spans="1:11" x14ac:dyDescent="0.35">
      <c r="A683">
        <v>682</v>
      </c>
      <c r="B683" t="s">
        <v>2</v>
      </c>
      <c r="C683" t="s">
        <v>132</v>
      </c>
      <c r="D683" t="s">
        <v>140</v>
      </c>
      <c r="E683" s="2">
        <v>44139.528645833336</v>
      </c>
      <c r="F683" s="2">
        <v>44139.529976851853</v>
      </c>
      <c r="G683" s="3">
        <v>1.3310185167938471E-3</v>
      </c>
      <c r="H683" s="3">
        <v>115.70049693965986</v>
      </c>
      <c r="I683" s="3">
        <v>1.9283416156609976</v>
      </c>
      <c r="J683" s="3">
        <v>3.2139026927683292E-2</v>
      </c>
      <c r="K683" t="s">
        <v>41</v>
      </c>
    </row>
    <row r="684" spans="1:11" x14ac:dyDescent="0.35">
      <c r="A684">
        <v>683</v>
      </c>
      <c r="B684" t="s">
        <v>2</v>
      </c>
      <c r="C684" t="s">
        <v>132</v>
      </c>
      <c r="D684" t="s">
        <v>140</v>
      </c>
      <c r="E684" s="2">
        <v>44139.530162037037</v>
      </c>
      <c r="F684" s="2">
        <v>44139.547847222224</v>
      </c>
      <c r="G684" s="3">
        <v>1.7685185186564922E-2</v>
      </c>
      <c r="H684" s="3">
        <v>1537.3074744927783</v>
      </c>
      <c r="I684" s="3">
        <v>25.621791241546305</v>
      </c>
      <c r="J684" s="3">
        <v>0.42702985402577176</v>
      </c>
      <c r="K684" t="s">
        <v>40</v>
      </c>
    </row>
    <row r="685" spans="1:11" x14ac:dyDescent="0.35">
      <c r="A685">
        <v>684</v>
      </c>
      <c r="B685" t="s">
        <v>2</v>
      </c>
      <c r="C685" t="s">
        <v>132</v>
      </c>
      <c r="D685" t="s">
        <v>140</v>
      </c>
      <c r="E685" s="2">
        <v>44139.548032407409</v>
      </c>
      <c r="F685" s="2">
        <v>44139.559942129628</v>
      </c>
      <c r="G685" s="3">
        <v>1.190972221957054E-2</v>
      </c>
      <c r="H685" s="3">
        <v>1035.2679259014724</v>
      </c>
      <c r="I685" s="3">
        <v>17.254465431691205</v>
      </c>
      <c r="J685" s="3">
        <v>0.2875744238615201</v>
      </c>
      <c r="K685" t="s">
        <v>41</v>
      </c>
    </row>
    <row r="686" spans="1:11" x14ac:dyDescent="0.35">
      <c r="A686">
        <v>685</v>
      </c>
      <c r="B686" t="s">
        <v>11</v>
      </c>
      <c r="C686" t="s">
        <v>11</v>
      </c>
      <c r="D686" t="s">
        <v>140</v>
      </c>
      <c r="E686" s="2">
        <v>44139.560208333336</v>
      </c>
      <c r="F686" s="2">
        <v>44139.566701388889</v>
      </c>
      <c r="G686" s="3">
        <v>6.4930555527098477E-3</v>
      </c>
      <c r="H686" s="3">
        <v>564.41720729397139</v>
      </c>
      <c r="I686" s="3">
        <v>9.4069534548995239</v>
      </c>
      <c r="J686" s="3">
        <v>0.15678255758165874</v>
      </c>
    </row>
    <row r="687" spans="1:11" x14ac:dyDescent="0.35">
      <c r="A687">
        <v>686</v>
      </c>
      <c r="B687" t="s">
        <v>11</v>
      </c>
      <c r="C687" t="s">
        <v>11</v>
      </c>
      <c r="D687" t="s">
        <v>140</v>
      </c>
      <c r="E687" s="2">
        <v>44139.566921296297</v>
      </c>
      <c r="F687" s="2">
        <v>44139.582951388889</v>
      </c>
      <c r="G687" s="3">
        <v>1.6030092592700385E-2</v>
      </c>
      <c r="H687" s="3">
        <v>1393.4364214795187</v>
      </c>
      <c r="I687" s="3">
        <v>23.223940357991978</v>
      </c>
      <c r="J687" s="3">
        <v>0.38706567263319963</v>
      </c>
    </row>
    <row r="688" spans="1:11" x14ac:dyDescent="0.35">
      <c r="A688">
        <v>687</v>
      </c>
      <c r="B688" t="s">
        <v>2</v>
      </c>
      <c r="C688" t="s">
        <v>132</v>
      </c>
      <c r="D688" t="s">
        <v>140</v>
      </c>
      <c r="E688" s="2">
        <v>44139.583148148151</v>
      </c>
      <c r="F688" s="2">
        <v>44139.62908564815</v>
      </c>
      <c r="G688" s="3">
        <v>4.5937499999126885E-2</v>
      </c>
      <c r="H688" s="3">
        <v>3993.1762864331436</v>
      </c>
      <c r="I688" s="3">
        <v>66.552938107219063</v>
      </c>
      <c r="J688" s="3">
        <v>1.1092156351203177</v>
      </c>
      <c r="K688" t="s">
        <v>64</v>
      </c>
    </row>
    <row r="689" spans="1:11" x14ac:dyDescent="0.35">
      <c r="A689">
        <v>688</v>
      </c>
      <c r="B689" t="s">
        <v>11</v>
      </c>
      <c r="C689" t="s">
        <v>11</v>
      </c>
      <c r="D689" t="s">
        <v>140</v>
      </c>
      <c r="E689" s="2">
        <v>44139.629189814812</v>
      </c>
      <c r="F689" s="2">
        <v>44139.632418981484</v>
      </c>
      <c r="G689" s="3">
        <v>3.2291666720993817E-3</v>
      </c>
      <c r="H689" s="3">
        <v>280.69946732435511</v>
      </c>
      <c r="I689" s="3">
        <v>4.6783244554059182</v>
      </c>
      <c r="J689" s="3">
        <v>7.7972074256765306E-2</v>
      </c>
    </row>
    <row r="690" spans="1:11" x14ac:dyDescent="0.35">
      <c r="A690">
        <v>689</v>
      </c>
      <c r="B690" t="s">
        <v>16</v>
      </c>
      <c r="C690" t="s">
        <v>16</v>
      </c>
      <c r="D690" t="s">
        <v>140</v>
      </c>
      <c r="E690" s="2">
        <v>44139.632511574076</v>
      </c>
      <c r="F690" s="2">
        <v>44139.637974537036</v>
      </c>
      <c r="G690" s="3">
        <v>5.4629629594273865E-3</v>
      </c>
      <c r="H690" s="3">
        <v>474.87508339945987</v>
      </c>
      <c r="I690" s="3">
        <v>7.9145847233243307</v>
      </c>
      <c r="J690" s="3">
        <v>0.13190974538873884</v>
      </c>
    </row>
    <row r="691" spans="1:11" x14ac:dyDescent="0.35">
      <c r="A691">
        <v>690</v>
      </c>
      <c r="B691" t="s">
        <v>11</v>
      </c>
      <c r="C691" t="s">
        <v>11</v>
      </c>
      <c r="D691" t="s">
        <v>140</v>
      </c>
      <c r="E691" s="2">
        <v>44139.638032407405</v>
      </c>
      <c r="F691" s="2">
        <v>44139.641122685185</v>
      </c>
      <c r="G691" s="3">
        <v>3.0902777798473835E-3</v>
      </c>
      <c r="H691" s="3">
        <v>268.62637168353473</v>
      </c>
      <c r="I691" s="3">
        <v>4.4771061947255788</v>
      </c>
      <c r="J691" s="3">
        <v>7.4618436578759648E-2</v>
      </c>
    </row>
    <row r="692" spans="1:11" x14ac:dyDescent="0.35">
      <c r="A692">
        <v>691</v>
      </c>
      <c r="B692" t="s">
        <v>11</v>
      </c>
      <c r="C692" t="s">
        <v>11</v>
      </c>
      <c r="D692" t="s">
        <v>140</v>
      </c>
      <c r="E692" s="2">
        <v>44139.641250000001</v>
      </c>
      <c r="F692" s="2">
        <v>44139.684710648151</v>
      </c>
      <c r="G692" s="3">
        <v>4.3460648150357883E-2</v>
      </c>
      <c r="H692" s="3">
        <v>3777.8727529866028</v>
      </c>
      <c r="I692" s="3">
        <v>62.964545883110048</v>
      </c>
      <c r="J692" s="3">
        <v>1.0494090980518342</v>
      </c>
    </row>
    <row r="693" spans="1:11" x14ac:dyDescent="0.35">
      <c r="A693">
        <v>692</v>
      </c>
      <c r="B693" t="s">
        <v>11</v>
      </c>
      <c r="C693" t="s">
        <v>11</v>
      </c>
      <c r="D693" t="s">
        <v>140</v>
      </c>
      <c r="E693" s="2">
        <v>44139.686967592592</v>
      </c>
      <c r="F693" s="2">
        <v>44139.687349537038</v>
      </c>
      <c r="G693" s="3">
        <v>3.819444464170374E-4</v>
      </c>
      <c r="H693" s="3">
        <v>33.201012379784196</v>
      </c>
      <c r="I693" s="3">
        <v>0.55335020632973664</v>
      </c>
      <c r="J693" s="3">
        <v>9.2225034388289436E-3</v>
      </c>
    </row>
    <row r="694" spans="1:11" x14ac:dyDescent="0.35">
      <c r="A694">
        <v>693</v>
      </c>
      <c r="B694" t="s">
        <v>2</v>
      </c>
      <c r="C694" t="s">
        <v>132</v>
      </c>
      <c r="D694" t="s">
        <v>140</v>
      </c>
      <c r="E694" s="2">
        <v>44139.806030092594</v>
      </c>
      <c r="F694" s="2">
        <v>44139.806655092594</v>
      </c>
      <c r="G694" s="3">
        <v>6.2500000058207661E-4</v>
      </c>
      <c r="H694" s="3">
        <v>54.328929118747965</v>
      </c>
      <c r="I694" s="3">
        <v>0.90548215197913273</v>
      </c>
      <c r="J694" s="3">
        <v>1.5091369199652212E-2</v>
      </c>
      <c r="K694" t="s">
        <v>64</v>
      </c>
    </row>
    <row r="695" spans="1:11" x14ac:dyDescent="0.35">
      <c r="A695">
        <v>694</v>
      </c>
      <c r="B695" t="s">
        <v>11</v>
      </c>
      <c r="C695" t="s">
        <v>11</v>
      </c>
      <c r="D695" t="s">
        <v>140</v>
      </c>
      <c r="E695" s="2">
        <v>44140.326574074075</v>
      </c>
      <c r="F695" s="2">
        <v>44140.34715277778</v>
      </c>
      <c r="G695" s="3">
        <v>2.0578703704813961E-2</v>
      </c>
      <c r="H695" s="3">
        <v>1788.830294229308</v>
      </c>
      <c r="I695" s="3">
        <v>29.813838237155135</v>
      </c>
      <c r="J695" s="3">
        <v>0.49689730395258558</v>
      </c>
    </row>
    <row r="696" spans="1:11" x14ac:dyDescent="0.35">
      <c r="A696">
        <v>695</v>
      </c>
      <c r="B696" t="s">
        <v>11</v>
      </c>
      <c r="C696" t="s">
        <v>11</v>
      </c>
      <c r="D696" t="s">
        <v>140</v>
      </c>
      <c r="E696" s="2">
        <v>44140.347361111111</v>
      </c>
      <c r="F696" s="2">
        <v>44140.350671296299</v>
      </c>
      <c r="G696" s="3">
        <v>3.3101851877290756E-3</v>
      </c>
      <c r="H696" s="3">
        <v>287.74210602651908</v>
      </c>
      <c r="I696" s="3">
        <v>4.7957017671086515</v>
      </c>
      <c r="J696" s="3">
        <v>7.9928362785144189E-2</v>
      </c>
    </row>
    <row r="697" spans="1:11" x14ac:dyDescent="0.35">
      <c r="A697">
        <v>696</v>
      </c>
      <c r="B697" t="s">
        <v>11</v>
      </c>
      <c r="C697" t="s">
        <v>11</v>
      </c>
      <c r="D697" t="s">
        <v>140</v>
      </c>
      <c r="E697" s="2">
        <v>44140.350810185184</v>
      </c>
      <c r="F697" s="2">
        <v>44140.352280092593</v>
      </c>
      <c r="G697" s="3">
        <v>1.4699074090458453E-3</v>
      </c>
      <c r="H697" s="3">
        <v>127.77359258048028</v>
      </c>
      <c r="I697" s="3">
        <v>2.1295598763413381</v>
      </c>
      <c r="J697" s="3">
        <v>3.5492664605688971E-2</v>
      </c>
    </row>
    <row r="698" spans="1:11" x14ac:dyDescent="0.35">
      <c r="A698">
        <v>697</v>
      </c>
      <c r="B698" t="s">
        <v>2</v>
      </c>
      <c r="C698" t="s">
        <v>72</v>
      </c>
      <c r="D698" t="s">
        <v>140</v>
      </c>
      <c r="E698" s="2">
        <v>44140.352361111109</v>
      </c>
      <c r="F698" s="2">
        <v>44140.400300925925</v>
      </c>
      <c r="G698" s="3">
        <v>4.7939814816345461E-2</v>
      </c>
      <c r="H698" s="3">
        <v>4167.2300779159823</v>
      </c>
      <c r="I698" s="3">
        <v>69.453834631933034</v>
      </c>
      <c r="J698" s="3">
        <v>1.1575639105322173</v>
      </c>
      <c r="K698" t="s">
        <v>73</v>
      </c>
    </row>
    <row r="699" spans="1:11" x14ac:dyDescent="0.35">
      <c r="A699">
        <v>698</v>
      </c>
      <c r="B699" t="s">
        <v>11</v>
      </c>
      <c r="C699" t="s">
        <v>11</v>
      </c>
      <c r="D699" t="s">
        <v>140</v>
      </c>
      <c r="E699" s="2">
        <v>44140.400439814817</v>
      </c>
      <c r="F699" s="2">
        <v>44140.403599537036</v>
      </c>
      <c r="G699" s="3">
        <v>3.159722218697425E-3</v>
      </c>
      <c r="H699" s="3">
        <v>274.66291887147293</v>
      </c>
      <c r="I699" s="3">
        <v>4.5777153145245491</v>
      </c>
      <c r="J699" s="3">
        <v>7.6295255242075824E-2</v>
      </c>
    </row>
    <row r="700" spans="1:11" x14ac:dyDescent="0.35">
      <c r="A700">
        <v>699</v>
      </c>
      <c r="B700" t="s">
        <v>16</v>
      </c>
      <c r="C700" t="s">
        <v>16</v>
      </c>
      <c r="D700" t="s">
        <v>140</v>
      </c>
      <c r="E700" s="2">
        <v>44140.403749999998</v>
      </c>
      <c r="F700" s="2">
        <v>44140.415358796294</v>
      </c>
      <c r="G700" s="3">
        <v>1.1608796296059154E-2</v>
      </c>
      <c r="H700" s="3">
        <v>1009.1095528563242</v>
      </c>
      <c r="I700" s="3">
        <v>16.818492547605402</v>
      </c>
      <c r="J700" s="3">
        <v>0.28030820912675669</v>
      </c>
    </row>
    <row r="701" spans="1:11" x14ac:dyDescent="0.35">
      <c r="A701">
        <v>700</v>
      </c>
      <c r="B701" t="s">
        <v>11</v>
      </c>
      <c r="C701" t="s">
        <v>11</v>
      </c>
      <c r="D701" t="s">
        <v>140</v>
      </c>
      <c r="E701" s="2">
        <v>44140.415451388886</v>
      </c>
      <c r="F701" s="2">
        <v>44140.422210648147</v>
      </c>
      <c r="G701" s="3">
        <v>6.7592592604341917E-3</v>
      </c>
      <c r="H701" s="3">
        <v>587.55730706138661</v>
      </c>
      <c r="I701" s="3">
        <v>9.7926217843564434</v>
      </c>
      <c r="J701" s="3">
        <v>0.16321036307260739</v>
      </c>
    </row>
    <row r="702" spans="1:11" x14ac:dyDescent="0.35">
      <c r="A702">
        <v>701</v>
      </c>
      <c r="B702" t="s">
        <v>11</v>
      </c>
      <c r="C702" t="s">
        <v>11</v>
      </c>
      <c r="D702" t="s">
        <v>140</v>
      </c>
      <c r="E702" s="2">
        <v>44140.422337962962</v>
      </c>
      <c r="F702" s="2">
        <v>44140.429398148146</v>
      </c>
      <c r="G702" s="3">
        <v>7.0601851839455776E-3</v>
      </c>
      <c r="H702" s="3">
        <v>613.71568010653482</v>
      </c>
      <c r="I702" s="3">
        <v>10.228594668442247</v>
      </c>
      <c r="J702" s="3">
        <v>0.17047657780737077</v>
      </c>
    </row>
    <row r="703" spans="1:11" x14ac:dyDescent="0.35">
      <c r="A703">
        <v>702</v>
      </c>
      <c r="B703" t="s">
        <v>2</v>
      </c>
      <c r="C703" t="s">
        <v>132</v>
      </c>
      <c r="D703" t="s">
        <v>140</v>
      </c>
      <c r="E703" s="2">
        <v>44140.429699074077</v>
      </c>
      <c r="F703" s="2">
        <v>44140.435555555552</v>
      </c>
      <c r="G703" s="3">
        <v>5.8564814753481187E-3</v>
      </c>
      <c r="H703" s="3">
        <v>509.08218666099776</v>
      </c>
      <c r="I703" s="3">
        <v>8.4847031110166302</v>
      </c>
      <c r="J703" s="3">
        <v>0.14141171851694384</v>
      </c>
      <c r="K703" t="s">
        <v>42</v>
      </c>
    </row>
    <row r="704" spans="1:11" x14ac:dyDescent="0.35">
      <c r="A704">
        <v>703</v>
      </c>
      <c r="B704" t="s">
        <v>11</v>
      </c>
      <c r="C704" t="s">
        <v>11</v>
      </c>
      <c r="D704" t="s">
        <v>140</v>
      </c>
      <c r="E704" s="2">
        <v>44140.435636574075</v>
      </c>
      <c r="F704" s="2">
        <v>44140.437094907407</v>
      </c>
      <c r="G704" s="3">
        <v>1.4583333322661929E-3</v>
      </c>
      <c r="H704" s="3">
        <v>126.7675010662546</v>
      </c>
      <c r="I704" s="3">
        <v>2.1127916844375765</v>
      </c>
      <c r="J704" s="3">
        <v>3.5213194740626272E-2</v>
      </c>
    </row>
    <row r="705" spans="1:11" x14ac:dyDescent="0.35">
      <c r="A705">
        <v>704</v>
      </c>
      <c r="B705" t="s">
        <v>2</v>
      </c>
      <c r="C705" t="s">
        <v>132</v>
      </c>
      <c r="D705" t="s">
        <v>140</v>
      </c>
      <c r="E705" s="2">
        <v>44140.437280092592</v>
      </c>
      <c r="F705" s="2">
        <v>44140.466550925928</v>
      </c>
      <c r="G705" s="3">
        <v>2.9270833336340729E-2</v>
      </c>
      <c r="H705" s="3">
        <v>2544.4048449531228</v>
      </c>
      <c r="I705" s="3">
        <v>42.406747415885384</v>
      </c>
      <c r="J705" s="3">
        <v>0.7067791235980897</v>
      </c>
      <c r="K705" t="s">
        <v>42</v>
      </c>
    </row>
    <row r="706" spans="1:11" x14ac:dyDescent="0.35">
      <c r="A706">
        <v>705</v>
      </c>
      <c r="B706" t="s">
        <v>16</v>
      </c>
      <c r="C706" t="s">
        <v>16</v>
      </c>
      <c r="D706" t="s">
        <v>140</v>
      </c>
      <c r="E706" s="2">
        <v>44140.466620370367</v>
      </c>
      <c r="F706" s="2">
        <v>44140.47934027778</v>
      </c>
      <c r="G706" s="3">
        <v>1.2719907412247267E-2</v>
      </c>
      <c r="H706" s="3">
        <v>1105.6943160854717</v>
      </c>
      <c r="I706" s="3">
        <v>18.428238601424528</v>
      </c>
      <c r="J706" s="3">
        <v>0.30713731002374212</v>
      </c>
    </row>
    <row r="707" spans="1:11" x14ac:dyDescent="0.35">
      <c r="A707">
        <v>706</v>
      </c>
      <c r="B707" t="s">
        <v>2</v>
      </c>
      <c r="C707" t="s">
        <v>132</v>
      </c>
      <c r="D707" t="s">
        <v>140</v>
      </c>
      <c r="E707" s="2">
        <v>44140.479699074072</v>
      </c>
      <c r="F707" s="2">
        <v>44140.510011574072</v>
      </c>
      <c r="G707" s="3">
        <v>3.0312499999126885E-2</v>
      </c>
      <c r="H707" s="3">
        <v>2634.9530597293883</v>
      </c>
      <c r="I707" s="3">
        <v>43.91588432882314</v>
      </c>
      <c r="J707" s="3">
        <v>0.73193140548038571</v>
      </c>
      <c r="K707" t="s">
        <v>42</v>
      </c>
    </row>
    <row r="708" spans="1:11" x14ac:dyDescent="0.35">
      <c r="A708">
        <v>707</v>
      </c>
      <c r="B708" t="s">
        <v>11</v>
      </c>
      <c r="C708" t="s">
        <v>11</v>
      </c>
      <c r="D708" t="s">
        <v>140</v>
      </c>
      <c r="E708" s="2">
        <v>44140.510104166664</v>
      </c>
      <c r="F708" s="2">
        <v>44140.52103009259</v>
      </c>
      <c r="G708" s="3">
        <v>1.0925925926130731E-2</v>
      </c>
      <c r="H708" s="3">
        <v>949.75016743139167</v>
      </c>
      <c r="I708" s="3">
        <v>15.829169457189861</v>
      </c>
      <c r="J708" s="3">
        <v>0.26381949095316437</v>
      </c>
    </row>
    <row r="709" spans="1:11" x14ac:dyDescent="0.35">
      <c r="A709">
        <v>708</v>
      </c>
      <c r="B709" t="s">
        <v>16</v>
      </c>
      <c r="C709" t="s">
        <v>16</v>
      </c>
      <c r="D709" t="s">
        <v>140</v>
      </c>
      <c r="E709" s="2">
        <v>44140.521099537036</v>
      </c>
      <c r="F709" s="2">
        <v>44140.54619212963</v>
      </c>
      <c r="G709" s="3">
        <v>2.5092592593864538E-2</v>
      </c>
      <c r="H709" s="3">
        <v>2181.2058930688922</v>
      </c>
      <c r="I709" s="3">
        <v>36.353431551148205</v>
      </c>
      <c r="J709" s="3">
        <v>0.60589052585247005</v>
      </c>
    </row>
    <row r="710" spans="1:11" x14ac:dyDescent="0.35">
      <c r="A710">
        <v>709</v>
      </c>
      <c r="B710" t="s">
        <v>11</v>
      </c>
      <c r="C710" t="s">
        <v>11</v>
      </c>
      <c r="D710" t="s">
        <v>140</v>
      </c>
      <c r="E710" s="2">
        <v>44140.546238425923</v>
      </c>
      <c r="F710" s="2">
        <v>44140.555150462962</v>
      </c>
      <c r="G710" s="3">
        <v>8.9120370394084603E-3</v>
      </c>
      <c r="H710" s="3">
        <v>774.69028506679933</v>
      </c>
      <c r="I710" s="3">
        <v>12.911504751113322</v>
      </c>
      <c r="J710" s="3">
        <v>0.21519174585188869</v>
      </c>
    </row>
    <row r="711" spans="1:11" x14ac:dyDescent="0.35">
      <c r="A711">
        <v>710</v>
      </c>
      <c r="B711" t="s">
        <v>11</v>
      </c>
      <c r="C711" t="s">
        <v>11</v>
      </c>
      <c r="D711" t="s">
        <v>140</v>
      </c>
      <c r="E711" s="2">
        <v>44140.555266203701</v>
      </c>
      <c r="F711" s="2">
        <v>44140.557314814818</v>
      </c>
      <c r="G711" s="3">
        <v>2.0486111170612276E-3</v>
      </c>
      <c r="H711" s="3">
        <v>178.07815690726943</v>
      </c>
      <c r="I711" s="3">
        <v>2.9679692817878238</v>
      </c>
      <c r="J711" s="3">
        <v>4.9466154696463732E-2</v>
      </c>
    </row>
    <row r="712" spans="1:11" x14ac:dyDescent="0.35">
      <c r="A712">
        <v>711</v>
      </c>
      <c r="B712" t="s">
        <v>2</v>
      </c>
      <c r="C712" t="s">
        <v>132</v>
      </c>
      <c r="D712" t="s">
        <v>140</v>
      </c>
      <c r="E712" s="2">
        <v>44140.55746527778</v>
      </c>
      <c r="F712" s="2">
        <v>44140.560324074075</v>
      </c>
      <c r="G712" s="3">
        <v>2.8587962951860391E-3</v>
      </c>
      <c r="H712" s="3">
        <v>248.50454582632466</v>
      </c>
      <c r="I712" s="3">
        <v>4.141742430438744</v>
      </c>
      <c r="J712" s="3">
        <v>6.90290405073124E-2</v>
      </c>
      <c r="K712" t="s">
        <v>42</v>
      </c>
    </row>
    <row r="713" spans="1:11" x14ac:dyDescent="0.35">
      <c r="A713">
        <v>712</v>
      </c>
      <c r="B713" t="s">
        <v>16</v>
      </c>
      <c r="C713" t="s">
        <v>16</v>
      </c>
      <c r="D713" t="s">
        <v>140</v>
      </c>
      <c r="E713" s="2">
        <v>44140.56040509259</v>
      </c>
      <c r="F713" s="2">
        <v>44140.566840277781</v>
      </c>
      <c r="G713" s="3">
        <v>6.4351851906394586E-3</v>
      </c>
      <c r="H713" s="3">
        <v>559.38675162025891</v>
      </c>
      <c r="I713" s="3">
        <v>9.3231125270043158</v>
      </c>
      <c r="J713" s="3">
        <v>0.15538520878340525</v>
      </c>
    </row>
    <row r="714" spans="1:11" x14ac:dyDescent="0.35">
      <c r="A714">
        <v>713</v>
      </c>
      <c r="B714" t="s">
        <v>2</v>
      </c>
      <c r="C714" t="s">
        <v>132</v>
      </c>
      <c r="D714" t="s">
        <v>140</v>
      </c>
      <c r="E714" s="2">
        <v>44140.567071759258</v>
      </c>
      <c r="F714" s="2">
        <v>44140.575567129628</v>
      </c>
      <c r="G714" s="3">
        <v>8.4953703699284233E-3</v>
      </c>
      <c r="H714" s="3">
        <v>738.47099877681001</v>
      </c>
      <c r="I714" s="3">
        <v>12.307849979613501</v>
      </c>
      <c r="J714" s="3">
        <v>0.20513083299355833</v>
      </c>
      <c r="K714" t="s">
        <v>42</v>
      </c>
    </row>
    <row r="715" spans="1:11" x14ac:dyDescent="0.35">
      <c r="A715">
        <v>714</v>
      </c>
      <c r="B715" t="s">
        <v>2</v>
      </c>
      <c r="C715" t="s">
        <v>132</v>
      </c>
      <c r="D715" t="s">
        <v>140</v>
      </c>
      <c r="E715" s="2">
        <v>44140.576145833336</v>
      </c>
      <c r="F715" s="2">
        <v>44140.578981481478</v>
      </c>
      <c r="G715" s="3">
        <v>2.8356481416267343E-3</v>
      </c>
      <c r="H715" s="3">
        <v>246.49236279787328</v>
      </c>
      <c r="I715" s="3">
        <v>4.1082060466312216</v>
      </c>
      <c r="J715" s="3">
        <v>6.8470100777187029E-2</v>
      </c>
      <c r="K715" t="s">
        <v>42</v>
      </c>
    </row>
    <row r="716" spans="1:11" x14ac:dyDescent="0.35">
      <c r="A716">
        <v>715</v>
      </c>
      <c r="B716" t="s">
        <v>2</v>
      </c>
      <c r="C716" t="s">
        <v>132</v>
      </c>
      <c r="D716" t="s">
        <v>140</v>
      </c>
      <c r="E716" s="2">
        <v>44140.579189814816</v>
      </c>
      <c r="F716" s="2">
        <v>44140.582175925927</v>
      </c>
      <c r="G716" s="3">
        <v>2.9861111106583849E-3</v>
      </c>
      <c r="H716" s="3">
        <v>259.57154995291938</v>
      </c>
      <c r="I716" s="3">
        <v>4.3261924992153231</v>
      </c>
      <c r="J716" s="3">
        <v>7.210320832025538E-2</v>
      </c>
      <c r="K716" t="s">
        <v>42</v>
      </c>
    </row>
    <row r="717" spans="1:11" x14ac:dyDescent="0.35">
      <c r="A717">
        <v>716</v>
      </c>
      <c r="B717" t="s">
        <v>2</v>
      </c>
      <c r="C717" t="s">
        <v>132</v>
      </c>
      <c r="D717" t="s">
        <v>140</v>
      </c>
      <c r="E717" s="2">
        <v>44140.582314814812</v>
      </c>
      <c r="F717" s="2">
        <v>44140.591631944444</v>
      </c>
      <c r="G717" s="3">
        <v>9.3171296321088448E-3</v>
      </c>
      <c r="H717" s="3">
        <v>809.903479842563</v>
      </c>
      <c r="I717" s="3">
        <v>13.498391330709383</v>
      </c>
      <c r="J717" s="3">
        <v>0.22497318884515638</v>
      </c>
      <c r="K717" t="s">
        <v>40</v>
      </c>
    </row>
    <row r="718" spans="1:11" x14ac:dyDescent="0.35">
      <c r="A718">
        <v>717</v>
      </c>
      <c r="B718" t="s">
        <v>11</v>
      </c>
      <c r="C718" t="s">
        <v>11</v>
      </c>
      <c r="D718" t="s">
        <v>140</v>
      </c>
      <c r="E718" s="2">
        <v>44140.59170138889</v>
      </c>
      <c r="F718" s="2">
        <v>44140.598368055558</v>
      </c>
      <c r="G718" s="3">
        <v>6.6666666680248454E-3</v>
      </c>
      <c r="H718" s="3">
        <v>579.50857684499692</v>
      </c>
      <c r="I718" s="3">
        <v>9.658476280749948</v>
      </c>
      <c r="J718" s="3">
        <v>0.1609746046791658</v>
      </c>
    </row>
    <row r="719" spans="1:11" x14ac:dyDescent="0.35">
      <c r="A719">
        <v>718</v>
      </c>
      <c r="B719" t="s">
        <v>11</v>
      </c>
      <c r="C719" t="s">
        <v>11</v>
      </c>
      <c r="D719" t="s">
        <v>140</v>
      </c>
      <c r="E719" s="2">
        <v>44140.598449074074</v>
      </c>
      <c r="F719" s="2">
        <v>44140.600925925923</v>
      </c>
      <c r="G719" s="3">
        <v>2.4768518487690017E-3</v>
      </c>
      <c r="H719" s="3">
        <v>215.30353344654046</v>
      </c>
      <c r="I719" s="3">
        <v>3.5883922241090076</v>
      </c>
      <c r="J719" s="3">
        <v>5.9806537068483462E-2</v>
      </c>
    </row>
    <row r="720" spans="1:11" x14ac:dyDescent="0.35">
      <c r="A720">
        <v>719</v>
      </c>
      <c r="B720" t="s">
        <v>2</v>
      </c>
      <c r="C720" t="s">
        <v>132</v>
      </c>
      <c r="D720" t="s">
        <v>140</v>
      </c>
      <c r="E720" s="2">
        <v>44140.601076388892</v>
      </c>
      <c r="F720" s="2">
        <v>44140.601666666669</v>
      </c>
      <c r="G720" s="3">
        <v>5.9027777751907706E-4</v>
      </c>
      <c r="H720" s="3">
        <v>51.310655208542855</v>
      </c>
      <c r="I720" s="3">
        <v>0.85517758680904754</v>
      </c>
      <c r="J720" s="3">
        <v>1.4252959780150792E-2</v>
      </c>
      <c r="K720" t="s">
        <v>41</v>
      </c>
    </row>
    <row r="721" spans="1:11" x14ac:dyDescent="0.35">
      <c r="A721">
        <v>720</v>
      </c>
      <c r="B721" t="s">
        <v>11</v>
      </c>
      <c r="C721" t="s">
        <v>11</v>
      </c>
      <c r="D721" t="s">
        <v>140</v>
      </c>
      <c r="E721" s="2">
        <v>44140.601712962962</v>
      </c>
      <c r="F721" s="2">
        <v>44140.605023148149</v>
      </c>
      <c r="G721" s="3">
        <v>3.3101851877290756E-3</v>
      </c>
      <c r="H721" s="3">
        <v>287.74210602651908</v>
      </c>
      <c r="I721" s="3">
        <v>4.7957017671086515</v>
      </c>
      <c r="J721" s="3">
        <v>7.9928362785144189E-2</v>
      </c>
    </row>
    <row r="722" spans="1:11" x14ac:dyDescent="0.35">
      <c r="A722">
        <v>721</v>
      </c>
      <c r="B722" t="s">
        <v>2</v>
      </c>
      <c r="C722" t="s">
        <v>132</v>
      </c>
      <c r="D722" t="s">
        <v>140</v>
      </c>
      <c r="E722" s="2">
        <v>44140.605208333334</v>
      </c>
      <c r="F722" s="2">
        <v>44140.608634259261</v>
      </c>
      <c r="G722" s="3">
        <v>3.425925926421769E-3</v>
      </c>
      <c r="H722" s="3">
        <v>297.80301863888809</v>
      </c>
      <c r="I722" s="3">
        <v>4.9633836439814685</v>
      </c>
      <c r="J722" s="3">
        <v>8.2723060733024475E-2</v>
      </c>
      <c r="K722" t="s">
        <v>41</v>
      </c>
    </row>
    <row r="723" spans="1:11" x14ac:dyDescent="0.35">
      <c r="A723">
        <v>722</v>
      </c>
      <c r="B723" t="s">
        <v>2</v>
      </c>
      <c r="C723" t="s">
        <v>132</v>
      </c>
      <c r="D723" t="s">
        <v>140</v>
      </c>
      <c r="E723" s="2">
        <v>44140.608773148146</v>
      </c>
      <c r="F723" s="2">
        <v>44140.616539351853</v>
      </c>
      <c r="G723" s="3">
        <v>7.7662037074333057E-3</v>
      </c>
      <c r="H723" s="3">
        <v>675.08724855991875</v>
      </c>
      <c r="I723" s="3">
        <v>11.251454142665313</v>
      </c>
      <c r="J723" s="3">
        <v>0.18752423571108856</v>
      </c>
      <c r="K723" t="s">
        <v>42</v>
      </c>
    </row>
    <row r="724" spans="1:11" x14ac:dyDescent="0.35">
      <c r="A724">
        <v>723</v>
      </c>
      <c r="B724" t="s">
        <v>16</v>
      </c>
      <c r="C724" t="s">
        <v>16</v>
      </c>
      <c r="D724" t="s">
        <v>140</v>
      </c>
      <c r="E724" s="2">
        <v>44140.616608796299</v>
      </c>
      <c r="F724" s="2">
        <v>44140.61986111111</v>
      </c>
      <c r="G724" s="3">
        <v>3.2523148111067712E-3</v>
      </c>
      <c r="H724" s="3">
        <v>282.71164908786255</v>
      </c>
      <c r="I724" s="3">
        <v>4.7118608181310426</v>
      </c>
      <c r="J724" s="3">
        <v>7.8531013635517372E-2</v>
      </c>
    </row>
    <row r="725" spans="1:11" x14ac:dyDescent="0.35">
      <c r="A725">
        <v>724</v>
      </c>
      <c r="B725" t="s">
        <v>2</v>
      </c>
      <c r="C725" t="s">
        <v>96</v>
      </c>
      <c r="D725" t="s">
        <v>140</v>
      </c>
      <c r="E725" s="2">
        <v>44140.620127314818</v>
      </c>
      <c r="F725" s="2">
        <v>44140.630312499998</v>
      </c>
      <c r="G725" s="3">
        <v>1.0185185179580003E-2</v>
      </c>
      <c r="H725" s="3">
        <v>885.36032506780271</v>
      </c>
      <c r="I725" s="3">
        <v>14.756005417796711</v>
      </c>
      <c r="J725" s="3">
        <v>0.24593342362994519</v>
      </c>
    </row>
    <row r="726" spans="1:11" x14ac:dyDescent="0.35">
      <c r="A726">
        <v>725</v>
      </c>
      <c r="B726" t="s">
        <v>2</v>
      </c>
      <c r="C726" t="s">
        <v>132</v>
      </c>
      <c r="D726" t="s">
        <v>140</v>
      </c>
      <c r="E726" s="2">
        <v>44140.630787037036</v>
      </c>
      <c r="F726" s="2">
        <v>44140.632997685185</v>
      </c>
      <c r="G726" s="3">
        <v>2.2106481483206153E-3</v>
      </c>
      <c r="H726" s="3">
        <v>192.16343431159729</v>
      </c>
      <c r="I726" s="3">
        <v>3.2027239051932881</v>
      </c>
      <c r="J726" s="3">
        <v>5.337873175322147E-2</v>
      </c>
      <c r="K726" t="s">
        <v>42</v>
      </c>
    </row>
    <row r="727" spans="1:11" x14ac:dyDescent="0.35">
      <c r="A727">
        <v>726</v>
      </c>
      <c r="B727" t="s">
        <v>2</v>
      </c>
      <c r="C727" t="s">
        <v>96</v>
      </c>
      <c r="D727" t="s">
        <v>140</v>
      </c>
      <c r="E727" s="2">
        <v>44140.633344907408</v>
      </c>
      <c r="F727" s="2">
        <v>44140.640324074076</v>
      </c>
      <c r="G727" s="3">
        <v>6.9791666683158837E-3</v>
      </c>
      <c r="H727" s="3">
        <v>606.67304140437091</v>
      </c>
      <c r="I727" s="3">
        <v>10.111217356739514</v>
      </c>
      <c r="J727" s="3">
        <v>0.1685202892789919</v>
      </c>
    </row>
    <row r="728" spans="1:11" x14ac:dyDescent="0.35">
      <c r="A728">
        <v>727</v>
      </c>
      <c r="B728" t="s">
        <v>16</v>
      </c>
      <c r="C728" t="s">
        <v>16</v>
      </c>
      <c r="D728" t="s">
        <v>140</v>
      </c>
      <c r="E728" s="2">
        <v>44140.640381944446</v>
      </c>
      <c r="F728" s="2">
        <v>44140.641828703701</v>
      </c>
      <c r="G728" s="3">
        <v>1.4467592554865405E-3</v>
      </c>
      <c r="H728" s="3">
        <v>125.76140955202889</v>
      </c>
      <c r="I728" s="3">
        <v>2.0960234925338148</v>
      </c>
      <c r="J728" s="3">
        <v>3.4933724875563579E-2</v>
      </c>
    </row>
    <row r="729" spans="1:11" x14ac:dyDescent="0.35">
      <c r="A729">
        <v>728</v>
      </c>
      <c r="B729" t="s">
        <v>2</v>
      </c>
      <c r="C729" t="s">
        <v>96</v>
      </c>
      <c r="D729" t="s">
        <v>140</v>
      </c>
      <c r="E729" s="2">
        <v>44140.64199074074</v>
      </c>
      <c r="F729" s="2">
        <v>44140.645555555559</v>
      </c>
      <c r="G729" s="3">
        <v>3.5648148186737671E-3</v>
      </c>
      <c r="H729" s="3">
        <v>309.87611427970853</v>
      </c>
      <c r="I729" s="3">
        <v>5.1646019046618088</v>
      </c>
      <c r="J729" s="3">
        <v>8.6076698411030148E-2</v>
      </c>
    </row>
    <row r="730" spans="1:11" x14ac:dyDescent="0.35">
      <c r="A730">
        <v>729</v>
      </c>
      <c r="B730" t="s">
        <v>11</v>
      </c>
      <c r="C730" t="s">
        <v>11</v>
      </c>
      <c r="D730" t="s">
        <v>140</v>
      </c>
      <c r="E730" s="2">
        <v>44140.645752314813</v>
      </c>
      <c r="F730" s="2">
        <v>44140.661030092589</v>
      </c>
      <c r="G730" s="3">
        <v>1.5277777776645962E-2</v>
      </c>
      <c r="H730" s="3">
        <v>1328.0404882341761</v>
      </c>
      <c r="I730" s="3">
        <v>22.134008137236268</v>
      </c>
      <c r="J730" s="3">
        <v>0.36890013562060447</v>
      </c>
    </row>
    <row r="731" spans="1:11" x14ac:dyDescent="0.35">
      <c r="A731">
        <v>730</v>
      </c>
      <c r="B731" t="s">
        <v>2</v>
      </c>
      <c r="C731" t="s">
        <v>132</v>
      </c>
      <c r="D731" t="s">
        <v>140</v>
      </c>
      <c r="E731" s="2">
        <v>44140.661180555559</v>
      </c>
      <c r="F731" s="2">
        <v>44140.666041666664</v>
      </c>
      <c r="G731" s="3">
        <v>4.8611111051286571E-3</v>
      </c>
      <c r="H731" s="3">
        <v>422.55833667669128</v>
      </c>
      <c r="I731" s="3">
        <v>7.0426389446115216</v>
      </c>
      <c r="J731" s="3">
        <v>0.11737731574352536</v>
      </c>
      <c r="K731" t="s">
        <v>41</v>
      </c>
    </row>
    <row r="732" spans="1:11" x14ac:dyDescent="0.35">
      <c r="A732">
        <v>731</v>
      </c>
      <c r="B732" t="s">
        <v>2</v>
      </c>
      <c r="C732" t="s">
        <v>132</v>
      </c>
      <c r="D732" t="s">
        <v>140</v>
      </c>
      <c r="E732" s="2">
        <v>44140.666226851848</v>
      </c>
      <c r="F732" s="2">
        <v>44140.671273148146</v>
      </c>
      <c r="G732" s="3">
        <v>5.0462962972233072E-3</v>
      </c>
      <c r="H732" s="3">
        <v>438.65579774194254</v>
      </c>
      <c r="I732" s="3">
        <v>7.3109299623657087</v>
      </c>
      <c r="J732" s="3">
        <v>0.12184883270609514</v>
      </c>
      <c r="K732" t="s">
        <v>40</v>
      </c>
    </row>
    <row r="733" spans="1:11" x14ac:dyDescent="0.35">
      <c r="A733">
        <v>732</v>
      </c>
      <c r="B733" t="s">
        <v>11</v>
      </c>
      <c r="C733" t="s">
        <v>11</v>
      </c>
      <c r="D733" t="s">
        <v>140</v>
      </c>
      <c r="E733" s="2">
        <v>44140.671631944446</v>
      </c>
      <c r="F733" s="2">
        <v>44140.681585648148</v>
      </c>
      <c r="G733" s="3">
        <v>9.9537037021946162E-3</v>
      </c>
      <c r="H733" s="3">
        <v>865.23849984306469</v>
      </c>
      <c r="I733" s="3">
        <v>14.420641664051079</v>
      </c>
      <c r="J733" s="3">
        <v>0.24034402773418465</v>
      </c>
    </row>
    <row r="734" spans="1:11" x14ac:dyDescent="0.35">
      <c r="A734">
        <v>733</v>
      </c>
      <c r="B734" t="s">
        <v>11</v>
      </c>
      <c r="C734" t="s">
        <v>11</v>
      </c>
      <c r="D734" t="s">
        <v>140</v>
      </c>
      <c r="E734" s="2">
        <v>44140.681643518517</v>
      </c>
      <c r="F734" s="2">
        <v>44140.693495370368</v>
      </c>
      <c r="G734" s="3">
        <v>1.1851851850224193E-2</v>
      </c>
      <c r="H734" s="3">
        <v>1030.2374695952878</v>
      </c>
      <c r="I734" s="3">
        <v>17.170624493254799</v>
      </c>
      <c r="J734" s="3">
        <v>0.28617707488757999</v>
      </c>
    </row>
    <row r="735" spans="1:11" x14ac:dyDescent="0.35">
      <c r="A735">
        <v>734</v>
      </c>
      <c r="B735" t="s">
        <v>11</v>
      </c>
      <c r="C735" t="s">
        <v>11</v>
      </c>
      <c r="D735" t="s">
        <v>140</v>
      </c>
      <c r="E735" s="2">
        <v>44141.332245370373</v>
      </c>
      <c r="F735" s="2">
        <v>44141.339965277781</v>
      </c>
      <c r="G735" s="3">
        <v>7.7199074075906537E-3</v>
      </c>
      <c r="H735" s="3">
        <v>671.06288313548794</v>
      </c>
      <c r="I735" s="3">
        <v>11.184381385591466</v>
      </c>
      <c r="J735" s="3">
        <v>0.18640635642652445</v>
      </c>
    </row>
    <row r="736" spans="1:11" x14ac:dyDescent="0.35">
      <c r="A736">
        <v>735</v>
      </c>
      <c r="B736" t="s">
        <v>2</v>
      </c>
      <c r="C736" t="s">
        <v>132</v>
      </c>
      <c r="D736" t="s">
        <v>140</v>
      </c>
      <c r="E736" s="2">
        <v>44141.340266203704</v>
      </c>
      <c r="F736" s="2">
        <v>44141.372337962966</v>
      </c>
      <c r="G736" s="3">
        <v>3.2071759262180422E-2</v>
      </c>
      <c r="H736" s="3">
        <v>2787.8789344732631</v>
      </c>
      <c r="I736" s="3">
        <v>46.464648907887721</v>
      </c>
      <c r="J736" s="3">
        <v>0.77441081513146204</v>
      </c>
      <c r="K736" t="s">
        <v>64</v>
      </c>
    </row>
    <row r="737" spans="1:11" x14ac:dyDescent="0.35">
      <c r="A737">
        <v>736</v>
      </c>
      <c r="B737" t="s">
        <v>2</v>
      </c>
      <c r="C737" t="s">
        <v>72</v>
      </c>
      <c r="D737" t="s">
        <v>140</v>
      </c>
      <c r="E737" s="2">
        <v>44141.372465277775</v>
      </c>
      <c r="F737" s="2">
        <v>44141.42087962963</v>
      </c>
      <c r="G737" s="3">
        <v>4.8414351855171844E-2</v>
      </c>
      <c r="H737" s="3">
        <v>4208.479820512156</v>
      </c>
      <c r="I737" s="3">
        <v>70.141330341869264</v>
      </c>
      <c r="J737" s="3">
        <v>1.1690221723644878</v>
      </c>
      <c r="K737" t="s">
        <v>73</v>
      </c>
    </row>
    <row r="738" spans="1:11" x14ac:dyDescent="0.35">
      <c r="A738">
        <v>737</v>
      </c>
      <c r="B738" t="s">
        <v>2</v>
      </c>
      <c r="C738" t="s">
        <v>96</v>
      </c>
      <c r="D738" t="s">
        <v>140</v>
      </c>
      <c r="E738" s="2">
        <v>44141.423009259262</v>
      </c>
      <c r="F738" s="2">
        <v>44141.437268518515</v>
      </c>
      <c r="G738" s="3">
        <v>1.4259259252867196E-2</v>
      </c>
      <c r="H738" s="3">
        <v>1239.5044552214183</v>
      </c>
      <c r="I738" s="3">
        <v>20.658407587023639</v>
      </c>
      <c r="J738" s="3">
        <v>0.34430679311706064</v>
      </c>
    </row>
    <row r="739" spans="1:11" x14ac:dyDescent="0.35">
      <c r="A739">
        <v>738</v>
      </c>
      <c r="B739" t="s">
        <v>11</v>
      </c>
      <c r="C739" t="s">
        <v>11</v>
      </c>
      <c r="D739" t="s">
        <v>140</v>
      </c>
      <c r="E739" s="2">
        <v>44141.437418981484</v>
      </c>
      <c r="F739" s="2">
        <v>44141.453703703701</v>
      </c>
      <c r="G739" s="3">
        <v>1.6284722216369119E-2</v>
      </c>
      <c r="H739" s="3">
        <v>1415.5704291002362</v>
      </c>
      <c r="I739" s="3">
        <v>23.592840485003936</v>
      </c>
      <c r="J739" s="3">
        <v>0.39321400808339896</v>
      </c>
    </row>
    <row r="740" spans="1:11" x14ac:dyDescent="0.35">
      <c r="A740">
        <v>739</v>
      </c>
      <c r="B740" t="s">
        <v>11</v>
      </c>
      <c r="C740" t="s">
        <v>11</v>
      </c>
      <c r="D740" t="s">
        <v>140</v>
      </c>
      <c r="E740" s="2">
        <v>44141.453750000001</v>
      </c>
      <c r="F740" s="2">
        <v>44141.469837962963</v>
      </c>
      <c r="G740" s="3">
        <v>1.6087962962046731E-2</v>
      </c>
      <c r="H740" s="3">
        <v>1398.4668777857032</v>
      </c>
      <c r="I740" s="3">
        <v>23.307781296428388</v>
      </c>
      <c r="J740" s="3">
        <v>0.3884630216071398</v>
      </c>
    </row>
    <row r="741" spans="1:11" x14ac:dyDescent="0.35">
      <c r="A741">
        <v>740</v>
      </c>
      <c r="B741" t="s">
        <v>11</v>
      </c>
      <c r="C741" t="s">
        <v>11</v>
      </c>
      <c r="D741" t="s">
        <v>140</v>
      </c>
      <c r="E741" s="2">
        <v>44141.469918981478</v>
      </c>
      <c r="F741" s="2">
        <v>44141.482291666667</v>
      </c>
      <c r="G741" s="3">
        <v>1.2372685188893229E-2</v>
      </c>
      <c r="H741" s="3">
        <v>1075.5115776158925</v>
      </c>
      <c r="I741" s="3">
        <v>17.925192960264877</v>
      </c>
      <c r="J741" s="3">
        <v>0.29875321600441462</v>
      </c>
    </row>
    <row r="742" spans="1:11" x14ac:dyDescent="0.35">
      <c r="A742">
        <v>741</v>
      </c>
      <c r="B742" t="s">
        <v>11</v>
      </c>
      <c r="C742" t="s">
        <v>11</v>
      </c>
      <c r="D742" t="s">
        <v>140</v>
      </c>
      <c r="E742" s="2">
        <v>44141.48238425926</v>
      </c>
      <c r="F742" s="2">
        <v>44141.483680555553</v>
      </c>
      <c r="G742" s="3">
        <v>1.2962962937308475E-3</v>
      </c>
      <c r="H742" s="3">
        <v>112.68222302945475</v>
      </c>
      <c r="I742" s="3">
        <v>1.8780370504909125</v>
      </c>
      <c r="J742" s="3">
        <v>3.1300617508181874E-2</v>
      </c>
    </row>
    <row r="743" spans="1:11" x14ac:dyDescent="0.35">
      <c r="A743">
        <v>742</v>
      </c>
      <c r="B743" t="s">
        <v>16</v>
      </c>
      <c r="C743" t="s">
        <v>16</v>
      </c>
      <c r="D743" t="s">
        <v>140</v>
      </c>
      <c r="E743" s="2">
        <v>44141.483749999999</v>
      </c>
      <c r="F743" s="2">
        <v>44141.48510416667</v>
      </c>
      <c r="G743" s="3">
        <v>1.3541666703531519E-3</v>
      </c>
      <c r="H743" s="3">
        <v>117.71267996811125</v>
      </c>
      <c r="I743" s="3">
        <v>1.9618779994685207</v>
      </c>
      <c r="J743" s="3">
        <v>3.2697966657808678E-2</v>
      </c>
    </row>
    <row r="744" spans="1:11" x14ac:dyDescent="0.35">
      <c r="A744">
        <v>743</v>
      </c>
      <c r="B744" t="s">
        <v>16</v>
      </c>
      <c r="C744" t="s">
        <v>16</v>
      </c>
      <c r="D744" t="s">
        <v>140</v>
      </c>
      <c r="E744" s="2">
        <v>44141.485185185185</v>
      </c>
      <c r="F744" s="2">
        <v>44141.51939814815</v>
      </c>
      <c r="G744" s="3">
        <v>3.4212962964375038E-2</v>
      </c>
      <c r="H744" s="3">
        <v>2974.0058209644503</v>
      </c>
      <c r="I744" s="3">
        <v>49.566763682740842</v>
      </c>
      <c r="J744" s="3">
        <v>0.8261127280456807</v>
      </c>
    </row>
    <row r="745" spans="1:11" x14ac:dyDescent="0.35">
      <c r="A745">
        <v>744</v>
      </c>
      <c r="B745" t="s">
        <v>11</v>
      </c>
      <c r="C745" t="s">
        <v>11</v>
      </c>
      <c r="D745" t="s">
        <v>140</v>
      </c>
      <c r="E745" s="2">
        <v>44141.519537037035</v>
      </c>
      <c r="F745" s="2">
        <v>44141.52616898148</v>
      </c>
      <c r="G745" s="3">
        <v>6.6319444449618459E-3</v>
      </c>
      <c r="H745" s="3">
        <v>576.49030293479188</v>
      </c>
      <c r="I745" s="3">
        <v>9.6081717155798643</v>
      </c>
      <c r="J745" s="3">
        <v>0.16013619525966441</v>
      </c>
    </row>
    <row r="746" spans="1:11" x14ac:dyDescent="0.35">
      <c r="A746">
        <v>745</v>
      </c>
      <c r="B746" t="s">
        <v>2</v>
      </c>
      <c r="C746" t="s">
        <v>96</v>
      </c>
      <c r="D746" t="s">
        <v>140</v>
      </c>
      <c r="E746" s="2">
        <v>44141.526354166665</v>
      </c>
      <c r="F746" s="2">
        <v>44141.540543981479</v>
      </c>
      <c r="G746" s="3">
        <v>1.4189814814017154E-2</v>
      </c>
      <c r="H746" s="3">
        <v>1233.4679080334799</v>
      </c>
      <c r="I746" s="3">
        <v>20.557798467224664</v>
      </c>
      <c r="J746" s="3">
        <v>0.34262997445374438</v>
      </c>
    </row>
    <row r="747" spans="1:11" x14ac:dyDescent="0.35">
      <c r="A747">
        <v>746</v>
      </c>
      <c r="B747" t="s">
        <v>2</v>
      </c>
      <c r="C747" t="s">
        <v>132</v>
      </c>
      <c r="D747" t="s">
        <v>140</v>
      </c>
      <c r="E747" s="2">
        <v>44141.540891203702</v>
      </c>
      <c r="F747" s="2">
        <v>44141.55028935185</v>
      </c>
      <c r="G747" s="3">
        <v>9.3981481477385387E-3</v>
      </c>
      <c r="H747" s="3">
        <v>816.94611854472691</v>
      </c>
      <c r="I747" s="3">
        <v>13.615768642412116</v>
      </c>
      <c r="J747" s="3">
        <v>0.22692947737353525</v>
      </c>
      <c r="K747" t="s">
        <v>41</v>
      </c>
    </row>
    <row r="748" spans="1:11" x14ac:dyDescent="0.35">
      <c r="A748">
        <v>747</v>
      </c>
      <c r="B748" t="s">
        <v>2</v>
      </c>
      <c r="C748" t="s">
        <v>132</v>
      </c>
      <c r="D748" t="s">
        <v>140</v>
      </c>
      <c r="E748" s="2">
        <v>44141.550474537034</v>
      </c>
      <c r="F748" s="2">
        <v>44141.554745370369</v>
      </c>
      <c r="G748" s="3">
        <v>4.2708333348855376E-3</v>
      </c>
      <c r="H748" s="3">
        <v>371.24768210062041</v>
      </c>
      <c r="I748" s="3">
        <v>6.1874613683436737</v>
      </c>
      <c r="J748" s="3">
        <v>0.10312435613906122</v>
      </c>
      <c r="K748" t="s">
        <v>40</v>
      </c>
    </row>
    <row r="749" spans="1:11" x14ac:dyDescent="0.35">
      <c r="A749">
        <v>748</v>
      </c>
      <c r="B749" t="s">
        <v>11</v>
      </c>
      <c r="C749" t="s">
        <v>11</v>
      </c>
      <c r="D749" t="s">
        <v>140</v>
      </c>
      <c r="E749" s="2">
        <v>44141.574502314812</v>
      </c>
      <c r="F749" s="2">
        <v>44141.586481481485</v>
      </c>
      <c r="G749" s="3">
        <v>1.1979166672972497E-2</v>
      </c>
      <c r="H749" s="3">
        <v>1041.3044743543546</v>
      </c>
      <c r="I749" s="3">
        <v>17.355074572572576</v>
      </c>
      <c r="J749" s="3">
        <v>0.28925124287620962</v>
      </c>
    </row>
    <row r="750" spans="1:11" x14ac:dyDescent="0.35">
      <c r="A750">
        <v>749</v>
      </c>
      <c r="B750" t="s">
        <v>2</v>
      </c>
      <c r="C750" t="s">
        <v>132</v>
      </c>
      <c r="D750" t="s">
        <v>140</v>
      </c>
      <c r="E750" s="2">
        <v>44141.586689814816</v>
      </c>
      <c r="F750" s="2">
        <v>44141.595081018517</v>
      </c>
      <c r="G750" s="3">
        <v>8.3912037007394247E-3</v>
      </c>
      <c r="H750" s="3">
        <v>729.41617704619478</v>
      </c>
      <c r="I750" s="3">
        <v>12.156936284103246</v>
      </c>
      <c r="J750" s="3">
        <v>0.20261560473505411</v>
      </c>
      <c r="K750" t="s">
        <v>40</v>
      </c>
    </row>
    <row r="751" spans="1:11" x14ac:dyDescent="0.35">
      <c r="A751">
        <v>750</v>
      </c>
      <c r="B751" t="s">
        <v>2</v>
      </c>
      <c r="C751" t="s">
        <v>96</v>
      </c>
      <c r="D751" t="s">
        <v>140</v>
      </c>
      <c r="E751" s="2">
        <v>44141.595277777778</v>
      </c>
      <c r="F751" s="2">
        <v>44141.602384259262</v>
      </c>
      <c r="G751" s="3">
        <v>7.1064814837882295E-3</v>
      </c>
      <c r="H751" s="3">
        <v>617.74004553096563</v>
      </c>
      <c r="I751" s="3">
        <v>10.295667425516093</v>
      </c>
      <c r="J751" s="3">
        <v>0.17159445709193488</v>
      </c>
    </row>
    <row r="752" spans="1:11" x14ac:dyDescent="0.35">
      <c r="A752">
        <v>751</v>
      </c>
      <c r="B752" t="s">
        <v>11</v>
      </c>
      <c r="C752" t="s">
        <v>11</v>
      </c>
      <c r="D752" t="s">
        <v>140</v>
      </c>
      <c r="E752" s="2">
        <v>44141.602430555555</v>
      </c>
      <c r="F752" s="2">
        <v>44141.610497685186</v>
      </c>
      <c r="G752" s="3">
        <v>8.0671296309446916E-3</v>
      </c>
      <c r="H752" s="3">
        <v>701.24562160506707</v>
      </c>
      <c r="I752" s="3">
        <v>11.687427026751118</v>
      </c>
      <c r="J752" s="3">
        <v>0.19479045044585197</v>
      </c>
    </row>
    <row r="753" spans="1:11" x14ac:dyDescent="0.35">
      <c r="A753">
        <v>752</v>
      </c>
      <c r="B753" t="s">
        <v>2</v>
      </c>
      <c r="C753" t="s">
        <v>96</v>
      </c>
      <c r="D753" t="s">
        <v>140</v>
      </c>
      <c r="E753" s="2">
        <v>44141.610752314817</v>
      </c>
      <c r="F753" s="2">
        <v>44141.624212962961</v>
      </c>
      <c r="G753" s="3">
        <v>1.3460648144246079E-2</v>
      </c>
      <c r="H753" s="3">
        <v>1170.0841571841167</v>
      </c>
      <c r="I753" s="3">
        <v>19.501402619735281</v>
      </c>
      <c r="J753" s="3">
        <v>0.32502337699558803</v>
      </c>
    </row>
    <row r="754" spans="1:11" x14ac:dyDescent="0.35">
      <c r="A754">
        <v>753</v>
      </c>
      <c r="B754" t="s">
        <v>2</v>
      </c>
      <c r="C754" t="s">
        <v>72</v>
      </c>
      <c r="D754" t="s">
        <v>140</v>
      </c>
      <c r="E754" s="2">
        <v>44141.624340277776</v>
      </c>
      <c r="F754" s="2">
        <v>44141.626666666663</v>
      </c>
      <c r="G754" s="3">
        <v>2.3263888870133087E-3</v>
      </c>
      <c r="H754" s="3">
        <v>202.22434692396632</v>
      </c>
      <c r="I754" s="3">
        <v>3.3704057820661055</v>
      </c>
      <c r="J754" s="3">
        <v>5.6173429701101757E-2</v>
      </c>
      <c r="K754" t="s">
        <v>73</v>
      </c>
    </row>
    <row r="755" spans="1:11" x14ac:dyDescent="0.35">
      <c r="A755">
        <v>754</v>
      </c>
      <c r="B755" t="s">
        <v>2</v>
      </c>
      <c r="C755" t="s">
        <v>132</v>
      </c>
      <c r="D755" t="s">
        <v>140</v>
      </c>
      <c r="E755" s="2">
        <v>44141.626956018517</v>
      </c>
      <c r="F755" s="2">
        <v>44141.635972222219</v>
      </c>
      <c r="G755" s="3">
        <v>9.0162037013215013E-3</v>
      </c>
      <c r="H755" s="3">
        <v>783.74510616494274</v>
      </c>
      <c r="I755" s="3">
        <v>13.062418436082378</v>
      </c>
      <c r="J755" s="3">
        <v>0.21770697393470631</v>
      </c>
      <c r="K755" t="s">
        <v>41</v>
      </c>
    </row>
    <row r="756" spans="1:11" x14ac:dyDescent="0.35">
      <c r="A756">
        <v>755</v>
      </c>
      <c r="B756" t="s">
        <v>2</v>
      </c>
      <c r="C756" t="s">
        <v>72</v>
      </c>
      <c r="D756" t="s">
        <v>140</v>
      </c>
      <c r="E756" s="2">
        <v>44141.636423611111</v>
      </c>
      <c r="F756" s="2">
        <v>44141.65730324074</v>
      </c>
      <c r="G756" s="3">
        <v>2.0879629628325347E-2</v>
      </c>
      <c r="H756" s="3">
        <v>1814.9886672744562</v>
      </c>
      <c r="I756" s="3">
        <v>30.249811121240938</v>
      </c>
      <c r="J756" s="3">
        <v>0.50416351868734899</v>
      </c>
      <c r="K756" t="s">
        <v>73</v>
      </c>
    </row>
    <row r="757" spans="1:11" x14ac:dyDescent="0.35">
      <c r="A757">
        <v>756</v>
      </c>
      <c r="B757" t="s">
        <v>11</v>
      </c>
      <c r="C757" t="s">
        <v>11</v>
      </c>
      <c r="D757" t="s">
        <v>140</v>
      </c>
      <c r="E757" s="2">
        <v>44144.317106481481</v>
      </c>
      <c r="F757" s="2">
        <v>44144.327094907407</v>
      </c>
      <c r="G757" s="3">
        <v>9.9884259252576157E-3</v>
      </c>
      <c r="H757" s="3">
        <v>868.25677375326973</v>
      </c>
      <c r="I757" s="3">
        <v>14.470946229221163</v>
      </c>
      <c r="J757" s="3">
        <v>0.24118243715368604</v>
      </c>
    </row>
    <row r="758" spans="1:11" x14ac:dyDescent="0.35">
      <c r="A758">
        <v>757</v>
      </c>
      <c r="B758" t="s">
        <v>2</v>
      </c>
      <c r="C758" t="s">
        <v>132</v>
      </c>
      <c r="D758" t="s">
        <v>140</v>
      </c>
      <c r="E758" s="2">
        <v>44144.327337962961</v>
      </c>
      <c r="F758" s="2">
        <v>44144.33189814815</v>
      </c>
      <c r="G758" s="3">
        <v>4.5601851888932288E-3</v>
      </c>
      <c r="H758" s="3">
        <v>396.39996426401501</v>
      </c>
      <c r="I758" s="3">
        <v>6.6066660710669165</v>
      </c>
      <c r="J758" s="3">
        <v>0.11011110118444861</v>
      </c>
      <c r="K758" t="s">
        <v>41</v>
      </c>
    </row>
    <row r="759" spans="1:11" x14ac:dyDescent="0.35">
      <c r="A759">
        <v>758</v>
      </c>
      <c r="B759" t="s">
        <v>11</v>
      </c>
      <c r="C759" t="s">
        <v>11</v>
      </c>
      <c r="D759" t="s">
        <v>140</v>
      </c>
      <c r="E759" s="2">
        <v>44144.331990740742</v>
      </c>
      <c r="F759" s="2">
        <v>44144.332881944443</v>
      </c>
      <c r="G759" s="3">
        <v>8.9120370103046298E-4</v>
      </c>
      <c r="H759" s="3">
        <v>77.46902825369115</v>
      </c>
      <c r="I759" s="3">
        <v>1.2911504708948525</v>
      </c>
      <c r="J759" s="3">
        <v>2.1519174514914207E-2</v>
      </c>
    </row>
    <row r="760" spans="1:11" x14ac:dyDescent="0.35">
      <c r="A760">
        <v>759</v>
      </c>
      <c r="B760" t="s">
        <v>2</v>
      </c>
      <c r="C760" t="s">
        <v>132</v>
      </c>
      <c r="D760" t="s">
        <v>140</v>
      </c>
      <c r="E760" s="2">
        <v>44144.333009259259</v>
      </c>
      <c r="F760" s="2">
        <v>44144.339629629627</v>
      </c>
      <c r="G760" s="3">
        <v>6.6203703681821935E-3</v>
      </c>
      <c r="H760" s="3">
        <v>575.48421142056611</v>
      </c>
      <c r="I760" s="3">
        <v>9.5914035236761013</v>
      </c>
      <c r="J760" s="3">
        <v>0.15985672539460169</v>
      </c>
      <c r="K760" t="s">
        <v>40</v>
      </c>
    </row>
    <row r="761" spans="1:11" x14ac:dyDescent="0.35">
      <c r="A761">
        <v>760</v>
      </c>
      <c r="B761" t="s">
        <v>11</v>
      </c>
      <c r="C761" t="s">
        <v>11</v>
      </c>
      <c r="D761" t="s">
        <v>140</v>
      </c>
      <c r="E761" s="2">
        <v>44144.339722222219</v>
      </c>
      <c r="F761" s="2">
        <v>44144.343634259261</v>
      </c>
      <c r="G761" s="3">
        <v>3.912037042027805E-3</v>
      </c>
      <c r="H761" s="3">
        <v>340.05885274928761</v>
      </c>
      <c r="I761" s="3">
        <v>5.6676475458214606</v>
      </c>
      <c r="J761" s="3">
        <v>9.4460792430357682E-2</v>
      </c>
    </row>
    <row r="762" spans="1:11" x14ac:dyDescent="0.35">
      <c r="A762">
        <v>761</v>
      </c>
      <c r="B762" t="s">
        <v>2</v>
      </c>
      <c r="C762" t="s">
        <v>132</v>
      </c>
      <c r="D762" t="s">
        <v>140</v>
      </c>
      <c r="E762" s="2">
        <v>44144.343854166669</v>
      </c>
      <c r="F762" s="2">
        <v>44144.346851851849</v>
      </c>
      <c r="G762" s="3">
        <v>2.9976851801620796E-3</v>
      </c>
      <c r="H762" s="3">
        <v>260.5776408346731</v>
      </c>
      <c r="I762" s="3">
        <v>4.3429606805778853</v>
      </c>
      <c r="J762" s="3">
        <v>7.2382678009631427E-2</v>
      </c>
      <c r="K762" t="s">
        <v>40</v>
      </c>
    </row>
    <row r="763" spans="1:11" x14ac:dyDescent="0.35">
      <c r="A763">
        <v>762</v>
      </c>
      <c r="B763" t="s">
        <v>11</v>
      </c>
      <c r="C763" t="s">
        <v>11</v>
      </c>
      <c r="D763" t="s">
        <v>140</v>
      </c>
      <c r="E763" s="2">
        <v>44144.346956018519</v>
      </c>
      <c r="F763" s="2">
        <v>44144.348599537036</v>
      </c>
      <c r="G763" s="3">
        <v>1.6435185170848854E-3</v>
      </c>
      <c r="H763" s="3">
        <v>142.86496149903385</v>
      </c>
      <c r="I763" s="3">
        <v>2.3810826916505641</v>
      </c>
      <c r="J763" s="3">
        <v>3.9684711527509402E-2</v>
      </c>
    </row>
    <row r="764" spans="1:11" x14ac:dyDescent="0.35">
      <c r="A764">
        <v>763</v>
      </c>
      <c r="B764" t="s">
        <v>11</v>
      </c>
      <c r="C764" t="s">
        <v>11</v>
      </c>
      <c r="D764" t="s">
        <v>140</v>
      </c>
      <c r="E764" s="2">
        <v>44144.348738425928</v>
      </c>
      <c r="F764" s="2">
        <v>44144.353877314818</v>
      </c>
      <c r="G764" s="3">
        <v>5.1388888896326534E-3</v>
      </c>
      <c r="H764" s="3">
        <v>446.70452795833216</v>
      </c>
      <c r="I764" s="3">
        <v>7.4450754659722032</v>
      </c>
      <c r="J764" s="3">
        <v>0.12408459109953672</v>
      </c>
    </row>
    <row r="765" spans="1:11" x14ac:dyDescent="0.35">
      <c r="A765">
        <v>764</v>
      </c>
      <c r="B765" t="s">
        <v>2</v>
      </c>
      <c r="C765" t="s">
        <v>132</v>
      </c>
      <c r="D765" t="s">
        <v>140</v>
      </c>
      <c r="E765" s="2">
        <v>44144.354074074072</v>
      </c>
      <c r="F765" s="2">
        <v>44144.40289351852</v>
      </c>
      <c r="G765" s="3">
        <v>4.8819444447872229E-2</v>
      </c>
      <c r="H765" s="3">
        <v>4243.6930152879195</v>
      </c>
      <c r="I765" s="3">
        <v>70.728216921465318</v>
      </c>
      <c r="J765" s="3">
        <v>1.1788036153577552</v>
      </c>
      <c r="K765" t="s">
        <v>64</v>
      </c>
    </row>
    <row r="766" spans="1:11" x14ac:dyDescent="0.35">
      <c r="A766">
        <v>765</v>
      </c>
      <c r="B766" t="s">
        <v>2</v>
      </c>
      <c r="C766" t="s">
        <v>96</v>
      </c>
      <c r="D766" t="s">
        <v>140</v>
      </c>
      <c r="E766" s="2">
        <v>44144.403194444443</v>
      </c>
      <c r="F766" s="2">
        <v>44144.443807870368</v>
      </c>
      <c r="G766" s="3">
        <v>4.0613425924675539E-2</v>
      </c>
      <c r="H766" s="3">
        <v>3530.374298042032</v>
      </c>
      <c r="I766" s="3">
        <v>58.839571634033867</v>
      </c>
      <c r="J766" s="3">
        <v>0.98065952723389782</v>
      </c>
    </row>
    <row r="767" spans="1:11" x14ac:dyDescent="0.35">
      <c r="A767">
        <v>766</v>
      </c>
      <c r="B767" t="s">
        <v>11</v>
      </c>
      <c r="C767" t="s">
        <v>11</v>
      </c>
      <c r="D767" t="s">
        <v>140</v>
      </c>
      <c r="E767" s="2">
        <v>44144.444004629629</v>
      </c>
      <c r="F767" s="2">
        <v>44144.456493055557</v>
      </c>
      <c r="G767" s="3">
        <v>1.2488425927585922E-2</v>
      </c>
      <c r="H767" s="3">
        <v>1085.5724902282616</v>
      </c>
      <c r="I767" s="3">
        <v>18.092874837137693</v>
      </c>
      <c r="J767" s="3">
        <v>0.30154791395229485</v>
      </c>
    </row>
    <row r="768" spans="1:11" x14ac:dyDescent="0.35">
      <c r="A768">
        <v>767</v>
      </c>
      <c r="B768" t="s">
        <v>2</v>
      </c>
      <c r="C768" t="s">
        <v>132</v>
      </c>
      <c r="D768" t="s">
        <v>140</v>
      </c>
      <c r="E768" s="2">
        <v>44144.456666666665</v>
      </c>
      <c r="F768" s="2">
        <v>44144.462118055555</v>
      </c>
      <c r="G768" s="3">
        <v>5.4513888899236917E-3</v>
      </c>
      <c r="H768" s="3">
        <v>473.86899251770615</v>
      </c>
      <c r="I768" s="3">
        <v>7.8978165419617694</v>
      </c>
      <c r="J768" s="3">
        <v>0.13163027569936284</v>
      </c>
      <c r="K768" t="s">
        <v>40</v>
      </c>
    </row>
    <row r="769" spans="1:11" x14ac:dyDescent="0.35">
      <c r="A769">
        <v>768</v>
      </c>
      <c r="B769" t="s">
        <v>2</v>
      </c>
      <c r="C769" t="s">
        <v>132</v>
      </c>
      <c r="D769" t="s">
        <v>140</v>
      </c>
      <c r="E769" s="2">
        <v>44144.462638888886</v>
      </c>
      <c r="F769" s="2">
        <v>44144.470138888886</v>
      </c>
      <c r="G769" s="3">
        <v>7.4999999997089617E-3</v>
      </c>
      <c r="H769" s="3">
        <v>651.94714879250364</v>
      </c>
      <c r="I769" s="3">
        <v>10.865785813208394</v>
      </c>
      <c r="J769" s="3">
        <v>0.18109643022013991</v>
      </c>
      <c r="K769" t="s">
        <v>40</v>
      </c>
    </row>
    <row r="770" spans="1:11" x14ac:dyDescent="0.35">
      <c r="A770">
        <v>769</v>
      </c>
      <c r="B770" t="s">
        <v>2</v>
      </c>
      <c r="C770" t="s">
        <v>96</v>
      </c>
      <c r="D770" t="s">
        <v>140</v>
      </c>
      <c r="E770" s="2">
        <v>44144.470497685186</v>
      </c>
      <c r="F770" s="2">
        <v>44144.473333333335</v>
      </c>
      <c r="G770" s="3">
        <v>2.8356481489026919E-3</v>
      </c>
      <c r="H770" s="3">
        <v>246.49236343034525</v>
      </c>
      <c r="I770" s="3">
        <v>4.1082060571724206</v>
      </c>
      <c r="J770" s="3">
        <v>6.8470100952873675E-2</v>
      </c>
    </row>
    <row r="771" spans="1:11" x14ac:dyDescent="0.35">
      <c r="A771">
        <v>770</v>
      </c>
      <c r="B771" t="s">
        <v>11</v>
      </c>
      <c r="C771" t="s">
        <v>11</v>
      </c>
      <c r="D771" t="s">
        <v>140</v>
      </c>
      <c r="E771" s="2">
        <v>44144.473449074074</v>
      </c>
      <c r="F771" s="2">
        <v>44144.479583333334</v>
      </c>
      <c r="G771" s="3">
        <v>6.1342592598521151E-3</v>
      </c>
      <c r="H771" s="3">
        <v>533.22837794263864</v>
      </c>
      <c r="I771" s="3">
        <v>8.8871396323773109</v>
      </c>
      <c r="J771" s="3">
        <v>0.14811899387295518</v>
      </c>
    </row>
    <row r="772" spans="1:11" x14ac:dyDescent="0.35">
      <c r="A772">
        <v>771</v>
      </c>
      <c r="B772" t="s">
        <v>2</v>
      </c>
      <c r="C772" t="s">
        <v>132</v>
      </c>
      <c r="D772" t="s">
        <v>140</v>
      </c>
      <c r="E772" s="2">
        <v>44144.479814814818</v>
      </c>
      <c r="F772" s="2">
        <v>44144.501388888886</v>
      </c>
      <c r="G772" s="3">
        <v>2.1574074067757465E-2</v>
      </c>
      <c r="H772" s="3">
        <v>1875.3541435811426</v>
      </c>
      <c r="I772" s="3">
        <v>31.255902393019042</v>
      </c>
      <c r="J772" s="3">
        <v>0.5209317065503174</v>
      </c>
      <c r="K772" t="s">
        <v>64</v>
      </c>
    </row>
    <row r="773" spans="1:11" x14ac:dyDescent="0.35">
      <c r="A773">
        <v>772</v>
      </c>
      <c r="B773" t="s">
        <v>16</v>
      </c>
      <c r="C773" t="s">
        <v>16</v>
      </c>
      <c r="D773" t="s">
        <v>140</v>
      </c>
      <c r="E773" s="2">
        <v>44144.501458333332</v>
      </c>
      <c r="F773" s="2">
        <v>44144.534513888888</v>
      </c>
      <c r="G773" s="3">
        <v>3.3055555555620231E-2</v>
      </c>
      <c r="H773" s="3">
        <v>2873.3966929433441</v>
      </c>
      <c r="I773" s="3">
        <v>47.889944882389067</v>
      </c>
      <c r="J773" s="3">
        <v>0.79816574803981777</v>
      </c>
    </row>
    <row r="774" spans="1:11" x14ac:dyDescent="0.35">
      <c r="A774">
        <v>773</v>
      </c>
      <c r="B774" t="s">
        <v>11</v>
      </c>
      <c r="C774" t="s">
        <v>11</v>
      </c>
      <c r="D774" t="s">
        <v>140</v>
      </c>
      <c r="E774" s="2">
        <v>44144.534618055557</v>
      </c>
      <c r="F774" s="2">
        <v>44144.537986111114</v>
      </c>
      <c r="G774" s="3">
        <v>3.3680555570754223E-3</v>
      </c>
      <c r="H774" s="3">
        <v>292.77256233270361</v>
      </c>
      <c r="I774" s="3">
        <v>4.8795427055450604</v>
      </c>
      <c r="J774" s="3">
        <v>8.1325711759084346E-2</v>
      </c>
    </row>
    <row r="775" spans="1:11" x14ac:dyDescent="0.35">
      <c r="A775">
        <v>774</v>
      </c>
      <c r="B775" t="s">
        <v>2</v>
      </c>
      <c r="C775" t="s">
        <v>132</v>
      </c>
      <c r="D775" t="s">
        <v>140</v>
      </c>
      <c r="E775" s="2">
        <v>44144.538113425922</v>
      </c>
      <c r="F775" s="2">
        <v>44144.544085648151</v>
      </c>
      <c r="G775" s="3">
        <v>5.9722222285927273E-3</v>
      </c>
      <c r="H775" s="3">
        <v>519.14310053831082</v>
      </c>
      <c r="I775" s="3">
        <v>8.6523850089718461</v>
      </c>
      <c r="J775" s="3">
        <v>0.14420641681619745</v>
      </c>
      <c r="K775" t="s">
        <v>42</v>
      </c>
    </row>
    <row r="776" spans="1:11" x14ac:dyDescent="0.35">
      <c r="A776">
        <v>775</v>
      </c>
      <c r="B776" t="s">
        <v>2</v>
      </c>
      <c r="C776" t="s">
        <v>96</v>
      </c>
      <c r="D776" t="s">
        <v>140</v>
      </c>
      <c r="E776" s="2">
        <v>44144.544259259259</v>
      </c>
      <c r="F776" s="2">
        <v>44144.548611111109</v>
      </c>
      <c r="G776" s="3">
        <v>4.3518518505152315E-3</v>
      </c>
      <c r="H776" s="3">
        <v>378.29032080278438</v>
      </c>
      <c r="I776" s="3">
        <v>6.304838680046406</v>
      </c>
      <c r="J776" s="3">
        <v>0.1050806446674401</v>
      </c>
    </row>
    <row r="777" spans="1:11" x14ac:dyDescent="0.35">
      <c r="A777">
        <v>776</v>
      </c>
      <c r="B777" t="s">
        <v>11</v>
      </c>
      <c r="C777" t="s">
        <v>11</v>
      </c>
      <c r="D777" t="s">
        <v>140</v>
      </c>
      <c r="E777" s="2">
        <v>44144.548738425925</v>
      </c>
      <c r="F777" s="2">
        <v>44144.574004629627</v>
      </c>
      <c r="G777" s="3">
        <v>2.5266203701903578E-2</v>
      </c>
      <c r="H777" s="3">
        <v>2196.2972619874458</v>
      </c>
      <c r="I777" s="3">
        <v>36.604954366457427</v>
      </c>
      <c r="J777" s="3">
        <v>0.61008257277429045</v>
      </c>
    </row>
    <row r="778" spans="1:11" x14ac:dyDescent="0.35">
      <c r="A778">
        <v>777</v>
      </c>
      <c r="B778" t="s">
        <v>11</v>
      </c>
      <c r="C778" t="s">
        <v>11</v>
      </c>
      <c r="D778" t="s">
        <v>140</v>
      </c>
      <c r="E778" s="2">
        <v>44144.574120370373</v>
      </c>
      <c r="F778" s="2">
        <v>44144.594942129632</v>
      </c>
      <c r="G778" s="3">
        <v>2.0821759258979E-2</v>
      </c>
      <c r="H778" s="3">
        <v>1809.9582109682717</v>
      </c>
      <c r="I778" s="3">
        <v>30.165970182804529</v>
      </c>
      <c r="J778" s="3">
        <v>0.50276616971340882</v>
      </c>
    </row>
    <row r="779" spans="1:11" x14ac:dyDescent="0.35">
      <c r="A779">
        <v>778</v>
      </c>
      <c r="B779" t="s">
        <v>2</v>
      </c>
      <c r="C779" t="s">
        <v>96</v>
      </c>
      <c r="D779" t="s">
        <v>140</v>
      </c>
      <c r="E779" s="2">
        <v>44144.595312500001</v>
      </c>
      <c r="F779" s="2">
        <v>44144.596284722225</v>
      </c>
      <c r="G779" s="3">
        <v>9.7222222393611446E-4</v>
      </c>
      <c r="H779" s="3">
        <v>84.511667588327057</v>
      </c>
      <c r="I779" s="3">
        <v>1.4085277931387843</v>
      </c>
      <c r="J779" s="3">
        <v>2.3475463218979739E-2</v>
      </c>
    </row>
    <row r="780" spans="1:11" x14ac:dyDescent="0.35">
      <c r="A780">
        <v>779</v>
      </c>
      <c r="B780" t="s">
        <v>11</v>
      </c>
      <c r="C780" t="s">
        <v>11</v>
      </c>
      <c r="D780" t="s">
        <v>140</v>
      </c>
      <c r="E780" s="2">
        <v>44144.596377314818</v>
      </c>
      <c r="F780" s="2">
        <v>44144.597638888888</v>
      </c>
      <c r="G780" s="3">
        <v>1.261574070667848E-3</v>
      </c>
      <c r="H780" s="3">
        <v>109.66394911924965</v>
      </c>
      <c r="I780" s="3">
        <v>1.8277324853208274</v>
      </c>
      <c r="J780" s="3">
        <v>3.0462208088680456E-2</v>
      </c>
    </row>
    <row r="781" spans="1:11" x14ac:dyDescent="0.35">
      <c r="A781">
        <v>780</v>
      </c>
      <c r="B781" t="s">
        <v>2</v>
      </c>
      <c r="C781" t="s">
        <v>132</v>
      </c>
      <c r="D781" t="s">
        <v>140</v>
      </c>
      <c r="E781" s="2">
        <v>44144.597800925927</v>
      </c>
      <c r="F781" s="2">
        <v>44144.601527777777</v>
      </c>
      <c r="G781" s="3">
        <v>3.7268518499331549E-3</v>
      </c>
      <c r="H781" s="3">
        <v>323.96139168403641</v>
      </c>
      <c r="I781" s="3">
        <v>5.3993565280672735</v>
      </c>
      <c r="J781" s="3">
        <v>8.9989275467787885E-2</v>
      </c>
      <c r="K781" t="s">
        <v>64</v>
      </c>
    </row>
    <row r="782" spans="1:11" x14ac:dyDescent="0.35">
      <c r="A782">
        <v>781</v>
      </c>
      <c r="B782" t="s">
        <v>2</v>
      </c>
      <c r="C782" t="s">
        <v>96</v>
      </c>
      <c r="D782" t="s">
        <v>140</v>
      </c>
      <c r="E782" s="2">
        <v>44144.601782407408</v>
      </c>
      <c r="F782" s="2">
        <v>44144.608043981483</v>
      </c>
      <c r="G782" s="3">
        <v>6.2615740753244609E-3</v>
      </c>
      <c r="H782" s="3">
        <v>544.29538206923337</v>
      </c>
      <c r="I782" s="3">
        <v>9.07158970115389</v>
      </c>
      <c r="J782" s="3">
        <v>0.15119316168589816</v>
      </c>
    </row>
    <row r="783" spans="1:11" x14ac:dyDescent="0.35">
      <c r="A783">
        <v>782</v>
      </c>
      <c r="B783" t="s">
        <v>16</v>
      </c>
      <c r="C783" t="s">
        <v>16</v>
      </c>
      <c r="D783" t="s">
        <v>140</v>
      </c>
      <c r="E783" s="2">
        <v>44144.608171296299</v>
      </c>
      <c r="F783" s="2">
        <v>44144.608854166669</v>
      </c>
      <c r="G783" s="3">
        <v>6.8287036992842332E-4</v>
      </c>
      <c r="H783" s="3">
        <v>59.359385424932483</v>
      </c>
      <c r="I783" s="3">
        <v>0.98932309041554134</v>
      </c>
      <c r="J783" s="3">
        <v>1.6488718173592355E-2</v>
      </c>
    </row>
    <row r="784" spans="1:11" x14ac:dyDescent="0.35">
      <c r="A784">
        <v>783</v>
      </c>
      <c r="B784" t="s">
        <v>2</v>
      </c>
      <c r="C784" t="s">
        <v>96</v>
      </c>
      <c r="D784" t="s">
        <v>140</v>
      </c>
      <c r="E784" s="2">
        <v>44144.6090625</v>
      </c>
      <c r="F784" s="2">
        <v>44144.62462962963</v>
      </c>
      <c r="G784" s="3">
        <v>1.5567129630653653E-2</v>
      </c>
      <c r="H784" s="3">
        <v>1353.1927703975707</v>
      </c>
      <c r="I784" s="3">
        <v>22.55321283995951</v>
      </c>
      <c r="J784" s="3">
        <v>0.37588688066599185</v>
      </c>
    </row>
    <row r="785" spans="1:11" x14ac:dyDescent="0.35">
      <c r="A785">
        <v>784</v>
      </c>
      <c r="B785" t="s">
        <v>2</v>
      </c>
      <c r="C785" t="s">
        <v>132</v>
      </c>
      <c r="D785" t="s">
        <v>140</v>
      </c>
      <c r="E785" s="2">
        <v>44144.624803240738</v>
      </c>
      <c r="F785" s="2">
        <v>44144.704050925924</v>
      </c>
      <c r="G785" s="3">
        <v>7.9247685185691807E-2</v>
      </c>
      <c r="H785" s="3">
        <v>6888.7069876296773</v>
      </c>
      <c r="I785" s="3">
        <v>114.81178312716129</v>
      </c>
      <c r="J785" s="3">
        <v>1.9135297187860216</v>
      </c>
      <c r="K785" t="s">
        <v>64</v>
      </c>
    </row>
    <row r="786" spans="1:11" x14ac:dyDescent="0.35">
      <c r="A786">
        <v>785</v>
      </c>
      <c r="B786" t="s">
        <v>2</v>
      </c>
      <c r="C786" t="s">
        <v>96</v>
      </c>
      <c r="D786" t="s">
        <v>140</v>
      </c>
      <c r="E786" s="2">
        <v>44144.706053240741</v>
      </c>
      <c r="F786" s="2">
        <v>44144.716111111113</v>
      </c>
      <c r="G786" s="3">
        <v>1.0057870371383615E-2</v>
      </c>
      <c r="H786" s="3">
        <v>874.29332157367992</v>
      </c>
      <c r="I786" s="3">
        <v>14.571555359561332</v>
      </c>
      <c r="J786" s="3">
        <v>0.24285925599268887</v>
      </c>
    </row>
    <row r="787" spans="1:11" x14ac:dyDescent="0.35">
      <c r="A787">
        <v>786</v>
      </c>
      <c r="B787" t="s">
        <v>2</v>
      </c>
      <c r="C787" t="s">
        <v>132</v>
      </c>
      <c r="D787" t="s">
        <v>140</v>
      </c>
      <c r="E787" s="2">
        <v>44144.716446759259</v>
      </c>
      <c r="F787" s="2">
        <v>44144.720590277779</v>
      </c>
      <c r="G787" s="3">
        <v>4.1435185194131918E-3</v>
      </c>
      <c r="H787" s="3">
        <v>360.18067797402568</v>
      </c>
      <c r="I787" s="3">
        <v>6.0030112995670946</v>
      </c>
      <c r="J787" s="3">
        <v>0.10005018832611824</v>
      </c>
      <c r="K787" t="s">
        <v>41</v>
      </c>
    </row>
    <row r="788" spans="1:11" x14ac:dyDescent="0.35">
      <c r="A788">
        <v>787</v>
      </c>
      <c r="B788" t="s">
        <v>11</v>
      </c>
      <c r="C788" t="s">
        <v>11</v>
      </c>
      <c r="D788" t="s">
        <v>140</v>
      </c>
      <c r="E788" s="2">
        <v>44145.306469907409</v>
      </c>
      <c r="F788" s="2">
        <v>44145.313055555554</v>
      </c>
      <c r="G788" s="3">
        <v>6.5856481451191939E-3</v>
      </c>
      <c r="H788" s="3">
        <v>572.46593751036107</v>
      </c>
      <c r="I788" s="3">
        <v>9.5410989585060175</v>
      </c>
      <c r="J788" s="3">
        <v>0.1590183159751003</v>
      </c>
    </row>
    <row r="789" spans="1:11" x14ac:dyDescent="0.35">
      <c r="A789">
        <v>788</v>
      </c>
      <c r="B789" t="s">
        <v>16</v>
      </c>
      <c r="C789" t="s">
        <v>16</v>
      </c>
      <c r="D789" t="s">
        <v>140</v>
      </c>
      <c r="E789" s="2">
        <v>44145.313136574077</v>
      </c>
      <c r="F789" s="2">
        <v>44145.315439814818</v>
      </c>
      <c r="G789" s="3">
        <v>2.3032407407299615E-3</v>
      </c>
      <c r="H789" s="3">
        <v>200.21216452798691</v>
      </c>
      <c r="I789" s="3">
        <v>3.3368694087997821</v>
      </c>
      <c r="J789" s="3">
        <v>5.5614490146663038E-2</v>
      </c>
    </row>
    <row r="790" spans="1:11" x14ac:dyDescent="0.35">
      <c r="A790">
        <v>789</v>
      </c>
      <c r="B790" t="s">
        <v>11</v>
      </c>
      <c r="C790" t="s">
        <v>11</v>
      </c>
      <c r="D790" t="s">
        <v>140</v>
      </c>
      <c r="E790" s="2">
        <v>44145.31554398148</v>
      </c>
      <c r="F790" s="2">
        <v>44145.316099537034</v>
      </c>
      <c r="G790" s="3">
        <v>5.5555555445607752E-4</v>
      </c>
      <c r="H790" s="3">
        <v>48.292381298337752</v>
      </c>
      <c r="I790" s="3">
        <v>0.80487302163896257</v>
      </c>
      <c r="J790" s="3">
        <v>1.3414550360649376E-2</v>
      </c>
    </row>
    <row r="791" spans="1:11" x14ac:dyDescent="0.35">
      <c r="A791">
        <v>790</v>
      </c>
      <c r="B791" t="s">
        <v>2</v>
      </c>
      <c r="C791" t="s">
        <v>132</v>
      </c>
      <c r="D791" t="s">
        <v>140</v>
      </c>
      <c r="E791" s="2">
        <v>44145.316400462965</v>
      </c>
      <c r="F791" s="2">
        <v>44145.322199074071</v>
      </c>
      <c r="G791" s="3">
        <v>5.798611106001772E-3</v>
      </c>
      <c r="H791" s="3">
        <v>504.05173035481323</v>
      </c>
      <c r="I791" s="3">
        <v>8.4008621725802204</v>
      </c>
      <c r="J791" s="3">
        <v>0.14001436954300367</v>
      </c>
      <c r="K791" t="s">
        <v>42</v>
      </c>
    </row>
    <row r="792" spans="1:11" x14ac:dyDescent="0.35">
      <c r="A792">
        <v>791</v>
      </c>
      <c r="B792" t="s">
        <v>2</v>
      </c>
      <c r="C792" t="s">
        <v>132</v>
      </c>
      <c r="D792" t="s">
        <v>140</v>
      </c>
      <c r="E792" s="2">
        <v>44145.322476851848</v>
      </c>
      <c r="F792" s="2">
        <v>44145.336087962962</v>
      </c>
      <c r="G792" s="3">
        <v>1.361111111327773E-2</v>
      </c>
      <c r="H792" s="3">
        <v>1183.1633443391629</v>
      </c>
      <c r="I792" s="3">
        <v>19.71938907231938</v>
      </c>
      <c r="J792" s="3">
        <v>0.32865648453865631</v>
      </c>
      <c r="K792" t="s">
        <v>41</v>
      </c>
    </row>
    <row r="793" spans="1:11" x14ac:dyDescent="0.35">
      <c r="A793">
        <v>792</v>
      </c>
      <c r="B793" t="s">
        <v>11</v>
      </c>
      <c r="C793" t="s">
        <v>11</v>
      </c>
      <c r="D793" t="s">
        <v>140</v>
      </c>
      <c r="E793" s="2">
        <v>44145.336180555554</v>
      </c>
      <c r="F793" s="2">
        <v>44145.33697916667</v>
      </c>
      <c r="G793" s="3">
        <v>7.9861111589707434E-4</v>
      </c>
      <c r="H793" s="3">
        <v>69.420298669773501</v>
      </c>
      <c r="I793" s="3">
        <v>1.1570049778295584</v>
      </c>
      <c r="J793" s="3">
        <v>1.9283416297159305E-2</v>
      </c>
    </row>
    <row r="794" spans="1:11" x14ac:dyDescent="0.35">
      <c r="A794">
        <v>793</v>
      </c>
      <c r="B794" t="s">
        <v>2</v>
      </c>
      <c r="C794" t="s">
        <v>96</v>
      </c>
      <c r="D794" t="s">
        <v>140</v>
      </c>
      <c r="E794" s="2">
        <v>44145.337245370371</v>
      </c>
      <c r="F794" s="2">
        <v>44145.339120370372</v>
      </c>
      <c r="G794" s="3">
        <v>1.8750000017462298E-3</v>
      </c>
      <c r="H794" s="3">
        <v>162.98678735624389</v>
      </c>
      <c r="I794" s="3">
        <v>2.7164464559373984</v>
      </c>
      <c r="J794" s="3">
        <v>4.5274107598956642E-2</v>
      </c>
    </row>
    <row r="795" spans="1:11" x14ac:dyDescent="0.35">
      <c r="A795">
        <v>794</v>
      </c>
      <c r="B795" t="s">
        <v>2</v>
      </c>
      <c r="C795" t="s">
        <v>96</v>
      </c>
      <c r="D795" t="s">
        <v>140</v>
      </c>
      <c r="E795" s="2">
        <v>44145.339305555557</v>
      </c>
      <c r="F795" s="2">
        <v>44145.344675925924</v>
      </c>
      <c r="G795" s="3">
        <v>5.3703703670180403E-3</v>
      </c>
      <c r="H795" s="3">
        <v>466.82635318307024</v>
      </c>
      <c r="I795" s="3">
        <v>7.7804392197178371</v>
      </c>
      <c r="J795" s="3">
        <v>0.12967398699529728</v>
      </c>
    </row>
    <row r="796" spans="1:11" x14ac:dyDescent="0.35">
      <c r="A796">
        <v>795</v>
      </c>
      <c r="B796" t="s">
        <v>11</v>
      </c>
      <c r="C796" t="s">
        <v>11</v>
      </c>
      <c r="D796" t="s">
        <v>140</v>
      </c>
      <c r="E796" s="2">
        <v>44145.344849537039</v>
      </c>
      <c r="F796" s="2">
        <v>44145.346122685187</v>
      </c>
      <c r="G796" s="3">
        <v>1.2731481474475004E-3</v>
      </c>
      <c r="H796" s="3">
        <v>110.67004063347534</v>
      </c>
      <c r="I796" s="3">
        <v>1.8445006772245889</v>
      </c>
      <c r="J796" s="3">
        <v>3.0741677953743149E-2</v>
      </c>
    </row>
    <row r="797" spans="1:11" x14ac:dyDescent="0.35">
      <c r="A797">
        <v>796</v>
      </c>
      <c r="B797" t="s">
        <v>11</v>
      </c>
      <c r="C797" t="s">
        <v>11</v>
      </c>
      <c r="D797" t="s">
        <v>140</v>
      </c>
      <c r="E797" s="2">
        <v>44145.346284722225</v>
      </c>
      <c r="F797" s="2">
        <v>44145.371747685182</v>
      </c>
      <c r="G797" s="3">
        <v>2.5462962956225965E-2</v>
      </c>
      <c r="H797" s="3">
        <v>2213.4008133019788</v>
      </c>
      <c r="I797" s="3">
        <v>36.890013555032979</v>
      </c>
      <c r="J797" s="3">
        <v>0.61483355925054961</v>
      </c>
    </row>
    <row r="798" spans="1:11" x14ac:dyDescent="0.35">
      <c r="A798">
        <v>797</v>
      </c>
      <c r="B798" t="s">
        <v>2</v>
      </c>
      <c r="C798" t="s">
        <v>132</v>
      </c>
      <c r="D798" t="s">
        <v>140</v>
      </c>
      <c r="E798" s="2">
        <v>44145.37232638889</v>
      </c>
      <c r="F798" s="2">
        <v>44145.372708333336</v>
      </c>
      <c r="G798" s="3">
        <v>3.819444464170374E-4</v>
      </c>
      <c r="H798" s="3">
        <v>33.201012379784196</v>
      </c>
      <c r="I798" s="3">
        <v>0.55335020632973664</v>
      </c>
      <c r="J798" s="3">
        <v>9.2225034388289436E-3</v>
      </c>
      <c r="K798" t="s">
        <v>41</v>
      </c>
    </row>
    <row r="799" spans="1:11" x14ac:dyDescent="0.35">
      <c r="A799">
        <v>798</v>
      </c>
      <c r="B799" t="s">
        <v>11</v>
      </c>
      <c r="C799" t="s">
        <v>11</v>
      </c>
      <c r="D799" t="s">
        <v>140</v>
      </c>
      <c r="E799" s="2">
        <v>44145.372858796298</v>
      </c>
      <c r="F799" s="2">
        <v>44145.377511574072</v>
      </c>
      <c r="G799" s="3">
        <v>4.6527777740266174E-3</v>
      </c>
      <c r="H799" s="3">
        <v>404.44869384793265</v>
      </c>
      <c r="I799" s="3">
        <v>6.7408115641322111</v>
      </c>
      <c r="J799" s="3">
        <v>0.11234685940220351</v>
      </c>
    </row>
    <row r="800" spans="1:11" x14ac:dyDescent="0.35">
      <c r="A800">
        <v>799</v>
      </c>
      <c r="B800" t="s">
        <v>2</v>
      </c>
      <c r="C800" t="s">
        <v>132</v>
      </c>
      <c r="D800" t="s">
        <v>140</v>
      </c>
      <c r="E800" s="2">
        <v>44145.37767361111</v>
      </c>
      <c r="F800" s="2">
        <v>44145.397696759261</v>
      </c>
      <c r="G800" s="3">
        <v>2.0023148150357883E-2</v>
      </c>
      <c r="H800" s="3">
        <v>1740.5379129309704</v>
      </c>
      <c r="I800" s="3">
        <v>29.008965215516174</v>
      </c>
      <c r="J800" s="3">
        <v>0.48348275359193621</v>
      </c>
      <c r="K800" t="s">
        <v>41</v>
      </c>
    </row>
    <row r="801" spans="1:11" x14ac:dyDescent="0.35">
      <c r="A801">
        <v>800</v>
      </c>
      <c r="B801" t="s">
        <v>2</v>
      </c>
      <c r="C801" t="s">
        <v>132</v>
      </c>
      <c r="D801" t="s">
        <v>140</v>
      </c>
      <c r="E801" s="2">
        <v>44145.397974537038</v>
      </c>
      <c r="F801" s="2">
        <v>44145.400995370372</v>
      </c>
      <c r="G801" s="3">
        <v>3.0208333337213844E-3</v>
      </c>
      <c r="H801" s="3">
        <v>262.58982386312448</v>
      </c>
      <c r="I801" s="3">
        <v>4.3764970643854078</v>
      </c>
      <c r="J801" s="3">
        <v>7.2941617739756798E-2</v>
      </c>
      <c r="K801" t="s">
        <v>41</v>
      </c>
    </row>
    <row r="802" spans="1:11" x14ac:dyDescent="0.35">
      <c r="A802">
        <v>801</v>
      </c>
      <c r="B802" t="s">
        <v>11</v>
      </c>
      <c r="C802" t="s">
        <v>11</v>
      </c>
      <c r="D802" t="s">
        <v>140</v>
      </c>
      <c r="E802" s="2">
        <v>44145.401446759257</v>
      </c>
      <c r="F802" s="2">
        <v>44145.406608796293</v>
      </c>
      <c r="G802" s="3">
        <v>5.1620370359160006E-3</v>
      </c>
      <c r="H802" s="3">
        <v>448.71671035431154</v>
      </c>
      <c r="I802" s="3">
        <v>7.4786118392385257</v>
      </c>
      <c r="J802" s="3">
        <v>0.12464353065397543</v>
      </c>
    </row>
    <row r="803" spans="1:11" x14ac:dyDescent="0.35">
      <c r="A803">
        <v>802</v>
      </c>
      <c r="B803" t="s">
        <v>16</v>
      </c>
      <c r="C803" t="s">
        <v>16</v>
      </c>
      <c r="D803" t="s">
        <v>140</v>
      </c>
      <c r="E803" s="2">
        <v>44145.406689814816</v>
      </c>
      <c r="F803" s="2">
        <v>44145.408842592595</v>
      </c>
      <c r="G803" s="3">
        <v>2.1527777789742686E-3</v>
      </c>
      <c r="H803" s="3">
        <v>187.13297800541278</v>
      </c>
      <c r="I803" s="3">
        <v>3.1188829667568796</v>
      </c>
      <c r="J803" s="3">
        <v>5.1981382779281327E-2</v>
      </c>
    </row>
    <row r="804" spans="1:11" x14ac:dyDescent="0.35">
      <c r="A804">
        <v>803</v>
      </c>
      <c r="B804" t="s">
        <v>2</v>
      </c>
      <c r="C804" t="s">
        <v>132</v>
      </c>
      <c r="D804" t="s">
        <v>140</v>
      </c>
      <c r="E804" s="2">
        <v>44145.409687500003</v>
      </c>
      <c r="F804" s="2">
        <v>44145.411157407405</v>
      </c>
      <c r="G804" s="3">
        <v>1.4699074017698877E-3</v>
      </c>
      <c r="H804" s="3">
        <v>127.7735919480083</v>
      </c>
      <c r="I804" s="3">
        <v>2.1295598658001382</v>
      </c>
      <c r="J804" s="3">
        <v>3.5492664430002305E-2</v>
      </c>
      <c r="K804" t="s">
        <v>64</v>
      </c>
    </row>
    <row r="805" spans="1:11" x14ac:dyDescent="0.35">
      <c r="A805">
        <v>804</v>
      </c>
      <c r="B805" t="s">
        <v>2</v>
      </c>
      <c r="C805" t="s">
        <v>96</v>
      </c>
      <c r="D805" t="s">
        <v>140</v>
      </c>
      <c r="E805" s="2">
        <v>44145.411458333336</v>
      </c>
      <c r="F805" s="2">
        <v>44145.422893518517</v>
      </c>
      <c r="G805" s="3">
        <v>1.1435185180744156E-2</v>
      </c>
      <c r="H805" s="3">
        <v>994.01818330529863</v>
      </c>
      <c r="I805" s="3">
        <v>16.566969721754976</v>
      </c>
      <c r="J805" s="3">
        <v>0.2761161620292496</v>
      </c>
    </row>
    <row r="806" spans="1:11" x14ac:dyDescent="0.35">
      <c r="A806">
        <v>805</v>
      </c>
      <c r="B806" t="s">
        <v>11</v>
      </c>
      <c r="C806" t="s">
        <v>11</v>
      </c>
      <c r="D806" t="s">
        <v>140</v>
      </c>
      <c r="E806" s="2">
        <v>44145.422962962963</v>
      </c>
      <c r="F806" s="2">
        <v>44145.434664351851</v>
      </c>
      <c r="G806" s="3">
        <v>1.17013888884685E-2</v>
      </c>
      <c r="H806" s="3">
        <v>1017.1582830727139</v>
      </c>
      <c r="I806" s="3">
        <v>16.952638051211899</v>
      </c>
      <c r="J806" s="3">
        <v>0.28254396752019834</v>
      </c>
    </row>
    <row r="807" spans="1:11" x14ac:dyDescent="0.35">
      <c r="A807">
        <v>806</v>
      </c>
      <c r="B807" t="s">
        <v>2</v>
      </c>
      <c r="C807" t="s">
        <v>96</v>
      </c>
      <c r="D807" t="s">
        <v>140</v>
      </c>
      <c r="E807" s="2">
        <v>44145.434803240743</v>
      </c>
      <c r="F807" s="2">
        <v>44145.478750000002</v>
      </c>
      <c r="G807" s="3">
        <v>4.3946759258687962E-2</v>
      </c>
      <c r="H807" s="3">
        <v>3820.1285864645306</v>
      </c>
      <c r="I807" s="3">
        <v>63.668809774408842</v>
      </c>
      <c r="J807" s="3">
        <v>1.0611468295734807</v>
      </c>
    </row>
    <row r="808" spans="1:11" x14ac:dyDescent="0.35">
      <c r="A808">
        <v>807</v>
      </c>
      <c r="B808" t="s">
        <v>11</v>
      </c>
      <c r="C808" t="s">
        <v>96</v>
      </c>
      <c r="D808" t="s">
        <v>140</v>
      </c>
      <c r="E808" s="2">
        <v>44145.478854166664</v>
      </c>
      <c r="F808" s="2">
        <v>44145.480428240742</v>
      </c>
      <c r="G808" s="3">
        <v>1.5740740782348439E-3</v>
      </c>
      <c r="H808" s="3">
        <v>136.8284143110956</v>
      </c>
      <c r="I808" s="3">
        <v>2.2804735718515934</v>
      </c>
      <c r="J808" s="3">
        <v>3.8007892864193225E-2</v>
      </c>
    </row>
    <row r="809" spans="1:11" x14ac:dyDescent="0.35">
      <c r="A809">
        <v>808</v>
      </c>
      <c r="B809" t="s">
        <v>16</v>
      </c>
      <c r="C809" t="s">
        <v>16</v>
      </c>
      <c r="D809" t="s">
        <v>140</v>
      </c>
      <c r="E809" s="2">
        <v>44145.480509259258</v>
      </c>
      <c r="F809" s="2">
        <v>44145.507430555554</v>
      </c>
      <c r="G809" s="3">
        <v>2.6921296295768116E-2</v>
      </c>
      <c r="H809" s="3">
        <v>2340.1683150007052</v>
      </c>
      <c r="I809" s="3">
        <v>39.002805250011754</v>
      </c>
      <c r="J809" s="3">
        <v>0.65004675416686253</v>
      </c>
    </row>
    <row r="810" spans="1:11" x14ac:dyDescent="0.35">
      <c r="A810">
        <v>809</v>
      </c>
      <c r="B810" t="s">
        <v>2</v>
      </c>
      <c r="C810" t="s">
        <v>96</v>
      </c>
      <c r="D810" t="s">
        <v>140</v>
      </c>
      <c r="E810" s="2">
        <v>44145.507592592592</v>
      </c>
      <c r="F810" s="2">
        <v>44145.508715277778</v>
      </c>
      <c r="G810" s="3">
        <v>1.1226851856918074E-3</v>
      </c>
      <c r="H810" s="3">
        <v>97.590854110901191</v>
      </c>
      <c r="I810" s="3">
        <v>1.6265142351816866</v>
      </c>
      <c r="J810" s="3">
        <v>2.7108570586361444E-2</v>
      </c>
    </row>
    <row r="811" spans="1:11" x14ac:dyDescent="0.35">
      <c r="A811">
        <v>810</v>
      </c>
      <c r="B811" t="s">
        <v>2</v>
      </c>
      <c r="C811" t="s">
        <v>96</v>
      </c>
      <c r="D811" t="s">
        <v>140</v>
      </c>
      <c r="E811" s="2">
        <v>44145.508969907409</v>
      </c>
      <c r="F811" s="2">
        <v>44145.566030092596</v>
      </c>
      <c r="G811" s="3">
        <v>5.7060185186855961E-2</v>
      </c>
      <c r="H811" s="3">
        <v>4960.0300058115399</v>
      </c>
      <c r="I811" s="3">
        <v>82.667166763525671</v>
      </c>
      <c r="J811" s="3">
        <v>1.3777861127254278</v>
      </c>
    </row>
    <row r="812" spans="1:11" x14ac:dyDescent="0.35">
      <c r="A812">
        <v>811</v>
      </c>
      <c r="B812" t="s">
        <v>11</v>
      </c>
      <c r="C812" t="s">
        <v>11</v>
      </c>
      <c r="D812" t="s">
        <v>140</v>
      </c>
      <c r="E812" s="2">
        <v>44145.566122685188</v>
      </c>
      <c r="F812" s="2">
        <v>44145.56622685185</v>
      </c>
      <c r="G812" s="3">
        <v>1.0416666191304103E-4</v>
      </c>
      <c r="H812" s="3">
        <v>9.0548210981433428</v>
      </c>
      <c r="I812" s="3">
        <v>0.15091368496905572</v>
      </c>
      <c r="J812" s="3">
        <v>2.5152280828175952E-3</v>
      </c>
    </row>
    <row r="813" spans="1:11" x14ac:dyDescent="0.35">
      <c r="A813">
        <v>812</v>
      </c>
      <c r="B813" t="s">
        <v>16</v>
      </c>
      <c r="C813" t="s">
        <v>16</v>
      </c>
      <c r="D813" t="s">
        <v>140</v>
      </c>
      <c r="E813" s="2">
        <v>44145.566284722219</v>
      </c>
      <c r="F813" s="2">
        <v>44145.57135416667</v>
      </c>
      <c r="G813" s="3">
        <v>5.069444450782612E-3</v>
      </c>
      <c r="H813" s="3">
        <v>440.66798077039391</v>
      </c>
      <c r="I813" s="3">
        <v>7.344466346173232</v>
      </c>
      <c r="J813" s="3">
        <v>0.12240777243622053</v>
      </c>
    </row>
    <row r="814" spans="1:11" x14ac:dyDescent="0.35">
      <c r="A814">
        <v>813</v>
      </c>
      <c r="B814" t="s">
        <v>11</v>
      </c>
      <c r="C814" t="s">
        <v>11</v>
      </c>
      <c r="D814" t="s">
        <v>140</v>
      </c>
      <c r="E814" s="2">
        <v>44145.571400462963</v>
      </c>
      <c r="F814" s="2">
        <v>44145.576215277775</v>
      </c>
      <c r="G814" s="3">
        <v>4.8148148125619628E-3</v>
      </c>
      <c r="H814" s="3">
        <v>418.53397188473247</v>
      </c>
      <c r="I814" s="3">
        <v>6.9755661980788748</v>
      </c>
      <c r="J814" s="3">
        <v>0.11625943663464791</v>
      </c>
    </row>
    <row r="815" spans="1:11" x14ac:dyDescent="0.35">
      <c r="A815">
        <v>814</v>
      </c>
      <c r="B815" t="s">
        <v>2</v>
      </c>
      <c r="C815" t="s">
        <v>132</v>
      </c>
      <c r="D815" t="s">
        <v>140</v>
      </c>
      <c r="E815" s="2">
        <v>44145.576481481483</v>
      </c>
      <c r="F815" s="2">
        <v>44145.600162037037</v>
      </c>
      <c r="G815" s="3">
        <v>2.3680555554165039E-2</v>
      </c>
      <c r="H815" s="3">
        <v>2058.4627567945963</v>
      </c>
      <c r="I815" s="3">
        <v>34.307712613243275</v>
      </c>
      <c r="J815" s="3">
        <v>0.57179521022072122</v>
      </c>
      <c r="K815" t="s">
        <v>42</v>
      </c>
    </row>
    <row r="816" spans="1:11" x14ac:dyDescent="0.35">
      <c r="A816">
        <v>815</v>
      </c>
      <c r="B816" t="s">
        <v>11</v>
      </c>
      <c r="C816" t="s">
        <v>11</v>
      </c>
      <c r="D816" t="s">
        <v>140</v>
      </c>
      <c r="E816" s="2">
        <v>44145.600335648145</v>
      </c>
      <c r="F816" s="2">
        <v>44145.600787037038</v>
      </c>
      <c r="G816" s="3">
        <v>4.5138889254303649E-4</v>
      </c>
      <c r="H816" s="3">
        <v>39.237560200194409</v>
      </c>
      <c r="I816" s="3">
        <v>0.6539593366699068</v>
      </c>
      <c r="J816" s="3">
        <v>1.089932227783178E-2</v>
      </c>
    </row>
    <row r="817" spans="1:11" x14ac:dyDescent="0.35">
      <c r="A817">
        <v>816</v>
      </c>
      <c r="B817" t="s">
        <v>2</v>
      </c>
      <c r="C817" t="s">
        <v>132</v>
      </c>
      <c r="D817" t="s">
        <v>140</v>
      </c>
      <c r="E817" s="2">
        <v>44145.601006944446</v>
      </c>
      <c r="F817" s="2">
        <v>44145.604479166665</v>
      </c>
      <c r="G817" s="3">
        <v>3.4722222189884633E-3</v>
      </c>
      <c r="H817" s="3">
        <v>301.82738343084691</v>
      </c>
      <c r="I817" s="3">
        <v>5.0304563905141153</v>
      </c>
      <c r="J817" s="3">
        <v>8.3840939841901926E-2</v>
      </c>
      <c r="K817" t="s">
        <v>41</v>
      </c>
    </row>
    <row r="818" spans="1:11" x14ac:dyDescent="0.35">
      <c r="A818">
        <v>817</v>
      </c>
      <c r="B818" t="s">
        <v>2</v>
      </c>
      <c r="C818" t="s">
        <v>96</v>
      </c>
      <c r="D818" t="s">
        <v>140</v>
      </c>
      <c r="E818" s="2">
        <v>44145.604641203703</v>
      </c>
      <c r="F818" s="2">
        <v>44145.609872685185</v>
      </c>
      <c r="G818" s="3">
        <v>5.2314814820419997E-3</v>
      </c>
      <c r="H818" s="3">
        <v>454.75325817472179</v>
      </c>
      <c r="I818" s="3">
        <v>7.5792209695786967</v>
      </c>
      <c r="J818" s="3">
        <v>0.12632034949297827</v>
      </c>
    </row>
    <row r="819" spans="1:11" x14ac:dyDescent="0.35">
      <c r="A819">
        <v>818</v>
      </c>
      <c r="B819" t="s">
        <v>2</v>
      </c>
      <c r="C819" t="s">
        <v>132</v>
      </c>
      <c r="D819" t="s">
        <v>140</v>
      </c>
      <c r="E819" s="2">
        <v>44145.610034722224</v>
      </c>
      <c r="F819" s="2">
        <v>44145.62164351852</v>
      </c>
      <c r="G819" s="3">
        <v>1.1608796296059154E-2</v>
      </c>
      <c r="H819" s="3">
        <v>1009.1095528563242</v>
      </c>
      <c r="I819" s="3">
        <v>16.818492547605402</v>
      </c>
      <c r="J819" s="3">
        <v>0.28030820912675669</v>
      </c>
      <c r="K819" t="s">
        <v>41</v>
      </c>
    </row>
    <row r="820" spans="1:11" x14ac:dyDescent="0.35">
      <c r="A820">
        <v>819</v>
      </c>
      <c r="B820" t="s">
        <v>2</v>
      </c>
      <c r="C820" t="s">
        <v>96</v>
      </c>
      <c r="D820" t="s">
        <v>140</v>
      </c>
      <c r="E820" s="2">
        <v>44145.621770833335</v>
      </c>
      <c r="F820" s="2">
        <v>44145.642696759256</v>
      </c>
      <c r="G820" s="3">
        <v>2.0925925920892041E-2</v>
      </c>
      <c r="H820" s="3">
        <v>1819.0130320664152</v>
      </c>
      <c r="I820" s="3">
        <v>30.316883867773587</v>
      </c>
      <c r="J820" s="3">
        <v>0.50528139779622649</v>
      </c>
    </row>
    <row r="821" spans="1:11" x14ac:dyDescent="0.35">
      <c r="A821">
        <v>820</v>
      </c>
      <c r="B821" t="s">
        <v>16</v>
      </c>
      <c r="C821" t="s">
        <v>16</v>
      </c>
      <c r="D821" t="s">
        <v>140</v>
      </c>
      <c r="E821" s="2">
        <v>44145.642824074072</v>
      </c>
      <c r="F821" s="2">
        <v>44145.646504629629</v>
      </c>
      <c r="G821" s="3">
        <v>3.6805555573664606E-3</v>
      </c>
      <c r="H821" s="3">
        <v>319.9370268920776</v>
      </c>
      <c r="I821" s="3">
        <v>5.3322837815346267</v>
      </c>
      <c r="J821" s="3">
        <v>8.8871396358910448E-2</v>
      </c>
    </row>
    <row r="822" spans="1:11" x14ac:dyDescent="0.35">
      <c r="A822">
        <v>821</v>
      </c>
      <c r="B822" t="s">
        <v>2</v>
      </c>
      <c r="C822" t="s">
        <v>132</v>
      </c>
      <c r="D822" t="s">
        <v>140</v>
      </c>
      <c r="E822" s="2">
        <v>44145.646701388891</v>
      </c>
      <c r="F822" s="2">
        <v>44145.648125</v>
      </c>
      <c r="G822" s="3">
        <v>1.4236111092031933E-3</v>
      </c>
      <c r="H822" s="3">
        <v>123.74922715604949</v>
      </c>
      <c r="I822" s="3">
        <v>2.0624871192674914</v>
      </c>
      <c r="J822" s="3">
        <v>3.4374785321124854E-2</v>
      </c>
      <c r="K822" t="s">
        <v>41</v>
      </c>
    </row>
    <row r="823" spans="1:11" x14ac:dyDescent="0.35">
      <c r="A823">
        <v>822</v>
      </c>
      <c r="B823" t="s">
        <v>16</v>
      </c>
      <c r="C823" t="s">
        <v>16</v>
      </c>
      <c r="D823" t="s">
        <v>140</v>
      </c>
      <c r="E823" s="2">
        <v>44145.648263888892</v>
      </c>
      <c r="F823" s="2">
        <v>44145.653078703705</v>
      </c>
      <c r="G823" s="3">
        <v>4.8148148125619628E-3</v>
      </c>
      <c r="H823" s="3">
        <v>418.53397188473247</v>
      </c>
      <c r="I823" s="3">
        <v>6.9755661980788748</v>
      </c>
      <c r="J823" s="3">
        <v>0.11625943663464791</v>
      </c>
    </row>
    <row r="824" spans="1:11" x14ac:dyDescent="0.35">
      <c r="A824">
        <v>823</v>
      </c>
      <c r="B824" t="s">
        <v>11</v>
      </c>
      <c r="C824" t="s">
        <v>11</v>
      </c>
      <c r="D824" t="s">
        <v>140</v>
      </c>
      <c r="E824" s="2">
        <v>44145.653275462966</v>
      </c>
      <c r="F824" s="2">
        <v>44145.654432870368</v>
      </c>
      <c r="G824" s="3">
        <v>1.1574074014788494E-3</v>
      </c>
      <c r="H824" s="3">
        <v>100.60912738863432</v>
      </c>
      <c r="I824" s="3">
        <v>1.676818789810572</v>
      </c>
      <c r="J824" s="3">
        <v>2.7946979830176199E-2</v>
      </c>
    </row>
    <row r="825" spans="1:11" x14ac:dyDescent="0.35">
      <c r="A825">
        <v>824</v>
      </c>
      <c r="B825" t="s">
        <v>2</v>
      </c>
      <c r="C825" t="s">
        <v>132</v>
      </c>
      <c r="D825" t="s">
        <v>140</v>
      </c>
      <c r="E825" s="2">
        <v>44145.654641203706</v>
      </c>
      <c r="F825" s="2">
        <v>44145.668043981481</v>
      </c>
      <c r="G825" s="3">
        <v>1.3402777774899732E-2</v>
      </c>
      <c r="H825" s="3">
        <v>1165.0537008779322</v>
      </c>
      <c r="I825" s="3">
        <v>19.417561681298871</v>
      </c>
      <c r="J825" s="3">
        <v>0.32362602802164786</v>
      </c>
      <c r="K825" t="s">
        <v>41</v>
      </c>
    </row>
    <row r="826" spans="1:11" x14ac:dyDescent="0.35">
      <c r="A826">
        <v>825</v>
      </c>
      <c r="B826" t="s">
        <v>11</v>
      </c>
      <c r="C826" t="s">
        <v>11</v>
      </c>
      <c r="D826" t="s">
        <v>140</v>
      </c>
      <c r="E826" s="2">
        <v>44145.668275462966</v>
      </c>
      <c r="F826" s="2">
        <v>44145.754745370374</v>
      </c>
      <c r="G826" s="3">
        <v>8.646990740817273E-2</v>
      </c>
      <c r="H826" s="3">
        <v>7516.5079457730117</v>
      </c>
      <c r="I826" s="3">
        <v>125.2751324295502</v>
      </c>
      <c r="J826" s="3">
        <v>2.0879188738258367</v>
      </c>
    </row>
    <row r="827" spans="1:11" x14ac:dyDescent="0.35">
      <c r="A827">
        <v>826</v>
      </c>
      <c r="B827" t="s">
        <v>11</v>
      </c>
      <c r="C827" t="s">
        <v>11</v>
      </c>
      <c r="D827" t="s">
        <v>140</v>
      </c>
      <c r="E827" s="2">
        <v>44145.756747685184</v>
      </c>
      <c r="F827" s="2">
        <v>44145.820243055554</v>
      </c>
      <c r="G827" s="3">
        <v>6.3495370370219462E-2</v>
      </c>
      <c r="H827" s="3">
        <v>5519.4167567993272</v>
      </c>
      <c r="I827" s="3">
        <v>91.990279279988783</v>
      </c>
      <c r="J827" s="3">
        <v>1.5331713213331464</v>
      </c>
    </row>
    <row r="828" spans="1:11" x14ac:dyDescent="0.35">
      <c r="A828">
        <v>827</v>
      </c>
      <c r="B828" t="s">
        <v>11</v>
      </c>
      <c r="C828" t="s">
        <v>11</v>
      </c>
      <c r="D828" t="s">
        <v>140</v>
      </c>
      <c r="E828" s="2">
        <v>44145.843923611108</v>
      </c>
      <c r="F828" s="2">
        <v>44145.927083333336</v>
      </c>
      <c r="G828" s="3">
        <v>8.3159722227719612E-2</v>
      </c>
      <c r="H828" s="3">
        <v>7228.7658403789646</v>
      </c>
      <c r="I828" s="3">
        <v>120.47943067298274</v>
      </c>
      <c r="J828" s="3">
        <v>2.0079905112163789</v>
      </c>
    </row>
    <row r="829" spans="1:11" x14ac:dyDescent="0.35">
      <c r="A829">
        <v>828</v>
      </c>
      <c r="B829" t="s">
        <v>2</v>
      </c>
      <c r="C829" t="s">
        <v>72</v>
      </c>
      <c r="D829" t="s">
        <v>140</v>
      </c>
      <c r="E829" s="2">
        <v>44146.331828703704</v>
      </c>
      <c r="F829" s="2">
        <v>44146.352094907408</v>
      </c>
      <c r="G829" s="3">
        <v>2.0266203704522923E-2</v>
      </c>
      <c r="H829" s="3">
        <v>1761.6658296699341</v>
      </c>
      <c r="I829" s="3">
        <v>29.361097161165567</v>
      </c>
      <c r="J829" s="3">
        <v>0.48935161935275945</v>
      </c>
      <c r="K829" t="s">
        <v>73</v>
      </c>
    </row>
    <row r="830" spans="1:11" x14ac:dyDescent="0.35">
      <c r="A830">
        <v>829</v>
      </c>
      <c r="B830" t="s">
        <v>11</v>
      </c>
      <c r="C830" t="s">
        <v>11</v>
      </c>
      <c r="D830" t="s">
        <v>140</v>
      </c>
      <c r="E830" s="2">
        <v>44146.352199074077</v>
      </c>
      <c r="F830" s="2">
        <v>44146.361689814818</v>
      </c>
      <c r="G830" s="3">
        <v>9.4907407401478849E-3</v>
      </c>
      <c r="H830" s="3">
        <v>824.99484876111649</v>
      </c>
      <c r="I830" s="3">
        <v>13.749914146018607</v>
      </c>
      <c r="J830" s="3">
        <v>0.22916523576697678</v>
      </c>
    </row>
    <row r="831" spans="1:11" x14ac:dyDescent="0.35">
      <c r="A831">
        <v>830</v>
      </c>
      <c r="B831" t="s">
        <v>16</v>
      </c>
      <c r="C831" t="s">
        <v>16</v>
      </c>
      <c r="D831" t="s">
        <v>140</v>
      </c>
      <c r="E831" s="2">
        <v>44146.361770833333</v>
      </c>
      <c r="F831" s="2">
        <v>44146.370578703703</v>
      </c>
      <c r="G831" s="3">
        <v>8.8078703702194616E-3</v>
      </c>
      <c r="H831" s="3">
        <v>765.63546333618399</v>
      </c>
      <c r="I831" s="3">
        <v>12.760591055603067</v>
      </c>
      <c r="J831" s="3">
        <v>0.21267651759338443</v>
      </c>
    </row>
    <row r="832" spans="1:11" x14ac:dyDescent="0.35">
      <c r="A832">
        <v>831</v>
      </c>
      <c r="B832" t="s">
        <v>11</v>
      </c>
      <c r="C832" t="s">
        <v>11</v>
      </c>
      <c r="D832" t="s">
        <v>140</v>
      </c>
      <c r="E832" s="2">
        <v>44146.370659722219</v>
      </c>
      <c r="F832" s="2">
        <v>44146.399826388886</v>
      </c>
      <c r="G832" s="3">
        <v>2.9166666667151731E-2</v>
      </c>
      <c r="H832" s="3">
        <v>2535.3500232225078</v>
      </c>
      <c r="I832" s="3">
        <v>42.255833720375129</v>
      </c>
      <c r="J832" s="3">
        <v>0.70426389533958544</v>
      </c>
    </row>
    <row r="833" spans="1:11" x14ac:dyDescent="0.35">
      <c r="A833">
        <v>832</v>
      </c>
      <c r="B833" t="s">
        <v>2</v>
      </c>
      <c r="C833" t="s">
        <v>132</v>
      </c>
      <c r="D833" t="s">
        <v>140</v>
      </c>
      <c r="E833" s="2">
        <v>44146.400219907409</v>
      </c>
      <c r="F833" s="2">
        <v>44146.412939814814</v>
      </c>
      <c r="G833" s="3">
        <v>1.2719907404971309E-2</v>
      </c>
      <c r="H833" s="3">
        <v>1105.6943154529997</v>
      </c>
      <c r="I833" s="3">
        <v>18.428238590883328</v>
      </c>
      <c r="J833" s="3">
        <v>0.30713730984805548</v>
      </c>
      <c r="K833" t="s">
        <v>64</v>
      </c>
    </row>
    <row r="834" spans="1:11" x14ac:dyDescent="0.35">
      <c r="A834">
        <v>833</v>
      </c>
      <c r="B834" t="s">
        <v>2</v>
      </c>
      <c r="C834" t="s">
        <v>96</v>
      </c>
      <c r="D834" t="s">
        <v>140</v>
      </c>
      <c r="E834" s="2">
        <v>44146.413229166668</v>
      </c>
      <c r="F834" s="2">
        <v>44146.416539351849</v>
      </c>
      <c r="G834" s="3">
        <v>3.3101851804531179E-3</v>
      </c>
      <c r="H834" s="3">
        <v>287.74210539404709</v>
      </c>
      <c r="I834" s="3">
        <v>4.7957017565674516</v>
      </c>
      <c r="J834" s="3">
        <v>7.9928362609457529E-2</v>
      </c>
    </row>
    <row r="835" spans="1:11" x14ac:dyDescent="0.35">
      <c r="A835">
        <v>834</v>
      </c>
      <c r="B835" t="s">
        <v>2</v>
      </c>
      <c r="C835" t="s">
        <v>96</v>
      </c>
      <c r="D835" t="s">
        <v>140</v>
      </c>
      <c r="E835" s="2">
        <v>44146.416909722226</v>
      </c>
      <c r="F835" s="2">
        <v>44146.425995370373</v>
      </c>
      <c r="G835" s="3">
        <v>9.0856481474475004E-3</v>
      </c>
      <c r="H835" s="3">
        <v>789.78165398535293</v>
      </c>
      <c r="I835" s="3">
        <v>13.163027566422549</v>
      </c>
      <c r="J835" s="3">
        <v>0.21938379277370915</v>
      </c>
    </row>
    <row r="836" spans="1:11" x14ac:dyDescent="0.35">
      <c r="A836">
        <v>835</v>
      </c>
      <c r="B836" t="s">
        <v>16</v>
      </c>
      <c r="C836" t="s">
        <v>16</v>
      </c>
      <c r="D836" t="s">
        <v>140</v>
      </c>
      <c r="E836" s="2">
        <v>44146.426122685189</v>
      </c>
      <c r="F836" s="2">
        <v>44146.428414351853</v>
      </c>
      <c r="G836" s="3">
        <v>2.2916666639503092E-3</v>
      </c>
      <c r="H836" s="3">
        <v>199.20607301376123</v>
      </c>
      <c r="I836" s="3">
        <v>3.3201012168960204</v>
      </c>
      <c r="J836" s="3">
        <v>5.5335020281600339E-2</v>
      </c>
    </row>
    <row r="837" spans="1:11" x14ac:dyDescent="0.35">
      <c r="A837">
        <v>836</v>
      </c>
      <c r="B837" t="s">
        <v>11</v>
      </c>
      <c r="C837" t="s">
        <v>11</v>
      </c>
      <c r="D837" t="s">
        <v>140</v>
      </c>
      <c r="E837" s="2">
        <v>44146.428541666668</v>
      </c>
      <c r="F837" s="2">
        <v>44146.44327546296</v>
      </c>
      <c r="G837" s="3">
        <v>1.4733796291693579E-2</v>
      </c>
      <c r="H837" s="3">
        <v>1280.7541978175921</v>
      </c>
      <c r="I837" s="3">
        <v>21.345903296959868</v>
      </c>
      <c r="J837" s="3">
        <v>0.35576505494933114</v>
      </c>
    </row>
    <row r="838" spans="1:11" x14ac:dyDescent="0.35">
      <c r="A838">
        <v>837</v>
      </c>
      <c r="B838" t="s">
        <v>11</v>
      </c>
      <c r="C838" t="s">
        <v>11</v>
      </c>
      <c r="D838" t="s">
        <v>140</v>
      </c>
      <c r="E838" s="2">
        <v>44146.443379629629</v>
      </c>
      <c r="F838" s="2">
        <v>44146.462256944447</v>
      </c>
      <c r="G838" s="3">
        <v>1.8877314818382729E-2</v>
      </c>
      <c r="H838" s="3">
        <v>1640.9348764240897</v>
      </c>
      <c r="I838" s="3">
        <v>27.34891460706816</v>
      </c>
      <c r="J838" s="3">
        <v>0.455815243451136</v>
      </c>
    </row>
    <row r="839" spans="1:11" x14ac:dyDescent="0.35">
      <c r="A839">
        <v>838</v>
      </c>
      <c r="B839" t="s">
        <v>2</v>
      </c>
      <c r="C839" t="s">
        <v>132</v>
      </c>
      <c r="D839" t="s">
        <v>140</v>
      </c>
      <c r="E839" s="2">
        <v>44146.462476851855</v>
      </c>
      <c r="F839" s="2">
        <v>44146.467094907406</v>
      </c>
      <c r="G839" s="3">
        <v>4.6180555509636179E-3</v>
      </c>
      <c r="H839" s="3">
        <v>401.43041993772755</v>
      </c>
      <c r="I839" s="3">
        <v>6.6905069989621255</v>
      </c>
      <c r="J839" s="3">
        <v>0.1115084499827021</v>
      </c>
      <c r="K839" t="s">
        <v>40</v>
      </c>
    </row>
    <row r="840" spans="1:11" x14ac:dyDescent="0.35">
      <c r="A840">
        <v>839</v>
      </c>
      <c r="B840" t="s">
        <v>11</v>
      </c>
      <c r="C840" t="s">
        <v>11</v>
      </c>
      <c r="D840" t="s">
        <v>140</v>
      </c>
      <c r="E840" s="2">
        <v>44146.467175925929</v>
      </c>
      <c r="F840" s="2">
        <v>44146.469293981485</v>
      </c>
      <c r="G840" s="3">
        <v>2.118055555911269E-3</v>
      </c>
      <c r="H840" s="3">
        <v>184.11470409520766</v>
      </c>
      <c r="I840" s="3">
        <v>3.0685784015867941</v>
      </c>
      <c r="J840" s="3">
        <v>5.1142973359779902E-2</v>
      </c>
    </row>
    <row r="841" spans="1:11" x14ac:dyDescent="0.35">
      <c r="A841">
        <v>840</v>
      </c>
      <c r="B841" t="s">
        <v>2</v>
      </c>
      <c r="C841" t="s">
        <v>132</v>
      </c>
      <c r="D841" t="s">
        <v>140</v>
      </c>
      <c r="E841" s="2">
        <v>44146.469571759262</v>
      </c>
      <c r="F841" s="2">
        <v>44146.474236111113</v>
      </c>
      <c r="G841" s="3">
        <v>4.6643518508062698E-3</v>
      </c>
      <c r="H841" s="3">
        <v>405.45478536215836</v>
      </c>
      <c r="I841" s="3">
        <v>6.7575797560359723</v>
      </c>
      <c r="J841" s="3">
        <v>0.11262632926726621</v>
      </c>
      <c r="K841" t="s">
        <v>40</v>
      </c>
    </row>
    <row r="842" spans="1:11" x14ac:dyDescent="0.35">
      <c r="A842">
        <v>841</v>
      </c>
      <c r="B842" t="s">
        <v>11</v>
      </c>
      <c r="C842" t="s">
        <v>11</v>
      </c>
      <c r="D842" t="s">
        <v>140</v>
      </c>
      <c r="E842" s="2">
        <v>44146.474363425928</v>
      </c>
      <c r="F842" s="2">
        <v>44146.479548611111</v>
      </c>
      <c r="G842" s="3">
        <v>5.1851851821993478E-3</v>
      </c>
      <c r="H842" s="3">
        <v>450.72889275029098</v>
      </c>
      <c r="I842" s="3">
        <v>7.51214821250485</v>
      </c>
      <c r="J842" s="3">
        <v>0.12520247020841416</v>
      </c>
    </row>
    <row r="843" spans="1:11" x14ac:dyDescent="0.35">
      <c r="A843">
        <v>842</v>
      </c>
      <c r="B843" t="s">
        <v>2</v>
      </c>
      <c r="C843" t="s">
        <v>96</v>
      </c>
      <c r="D843" t="s">
        <v>140</v>
      </c>
      <c r="E843" s="2">
        <v>44146.479687500003</v>
      </c>
      <c r="F843" s="2">
        <v>44146.500590277778</v>
      </c>
      <c r="G843" s="3">
        <v>2.0902777774608694E-2</v>
      </c>
      <c r="H843" s="3">
        <v>1817.0008496704359</v>
      </c>
      <c r="I843" s="3">
        <v>30.283347494507264</v>
      </c>
      <c r="J843" s="3">
        <v>0.50472245824178774</v>
      </c>
    </row>
    <row r="844" spans="1:11" x14ac:dyDescent="0.35">
      <c r="A844">
        <v>843</v>
      </c>
      <c r="B844" t="s">
        <v>11</v>
      </c>
      <c r="C844" t="s">
        <v>11</v>
      </c>
      <c r="D844" t="s">
        <v>140</v>
      </c>
      <c r="E844" s="2">
        <v>44146.500740740739</v>
      </c>
      <c r="F844" s="2">
        <v>44146.508194444446</v>
      </c>
      <c r="G844" s="3">
        <v>7.4537037071422674E-3</v>
      </c>
      <c r="H844" s="3">
        <v>647.92278400054477</v>
      </c>
      <c r="I844" s="3">
        <v>10.798713066675747</v>
      </c>
      <c r="J844" s="3">
        <v>0.17997855111126246</v>
      </c>
    </row>
    <row r="845" spans="1:11" x14ac:dyDescent="0.35">
      <c r="A845">
        <v>844</v>
      </c>
      <c r="B845" t="s">
        <v>16</v>
      </c>
      <c r="C845" t="s">
        <v>16</v>
      </c>
      <c r="D845" t="s">
        <v>140</v>
      </c>
      <c r="E845" s="2">
        <v>44146.508275462962</v>
      </c>
      <c r="F845" s="2">
        <v>44146.527662037035</v>
      </c>
      <c r="G845" s="3">
        <v>1.9386574072996154E-2</v>
      </c>
      <c r="H845" s="3">
        <v>1685.2028922979966</v>
      </c>
      <c r="I845" s="3">
        <v>28.086714871633276</v>
      </c>
      <c r="J845" s="3">
        <v>0.46811191452722128</v>
      </c>
    </row>
    <row r="846" spans="1:11" x14ac:dyDescent="0.35">
      <c r="A846">
        <v>845</v>
      </c>
      <c r="B846" t="s">
        <v>11</v>
      </c>
      <c r="C846" t="s">
        <v>11</v>
      </c>
      <c r="D846" t="s">
        <v>140</v>
      </c>
      <c r="E846" s="2">
        <v>44146.527731481481</v>
      </c>
      <c r="F846" s="2">
        <v>44146.542071759257</v>
      </c>
      <c r="G846" s="3">
        <v>1.4340277775772847E-2</v>
      </c>
      <c r="H846" s="3">
        <v>1246.5470945560542</v>
      </c>
      <c r="I846" s="3">
        <v>20.775784909267568</v>
      </c>
      <c r="J846" s="3">
        <v>0.34626308182112614</v>
      </c>
    </row>
    <row r="847" spans="1:11" x14ac:dyDescent="0.35">
      <c r="A847">
        <v>846</v>
      </c>
      <c r="B847" t="s">
        <v>2</v>
      </c>
      <c r="C847" t="s">
        <v>96</v>
      </c>
      <c r="D847" t="s">
        <v>140</v>
      </c>
      <c r="E847" s="2">
        <v>44146.542175925926</v>
      </c>
      <c r="F847" s="2">
        <v>44146.5549537037</v>
      </c>
      <c r="G847" s="3">
        <v>1.2777777774317656E-2</v>
      </c>
      <c r="H847" s="3">
        <v>1110.7247717591843</v>
      </c>
      <c r="I847" s="3">
        <v>18.512079529319738</v>
      </c>
      <c r="J847" s="3">
        <v>0.30853465882199566</v>
      </c>
    </row>
    <row r="848" spans="1:11" x14ac:dyDescent="0.35">
      <c r="A848">
        <v>847</v>
      </c>
      <c r="B848" t="s">
        <v>2</v>
      </c>
      <c r="C848" t="s">
        <v>132</v>
      </c>
      <c r="D848" t="s">
        <v>140</v>
      </c>
      <c r="E848" s="2">
        <v>44146.555127314816</v>
      </c>
      <c r="F848" s="2">
        <v>44146.557708333334</v>
      </c>
      <c r="G848" s="3">
        <v>2.5810185179580003E-3</v>
      </c>
      <c r="H848" s="3">
        <v>224.35835517715577</v>
      </c>
      <c r="I848" s="3">
        <v>3.7393059196192628</v>
      </c>
      <c r="J848" s="3">
        <v>6.2321765326987716E-2</v>
      </c>
      <c r="K848" t="s">
        <v>40</v>
      </c>
    </row>
    <row r="849" spans="1:11" x14ac:dyDescent="0.35">
      <c r="A849">
        <v>848</v>
      </c>
      <c r="B849" t="s">
        <v>2</v>
      </c>
      <c r="C849" t="s">
        <v>132</v>
      </c>
      <c r="D849" t="s">
        <v>140</v>
      </c>
      <c r="E849" s="2">
        <v>44146.557939814818</v>
      </c>
      <c r="F849" s="2">
        <v>44146.563877314817</v>
      </c>
      <c r="G849" s="3">
        <v>5.9374999982537702E-3</v>
      </c>
      <c r="H849" s="3">
        <v>516.12482599563373</v>
      </c>
      <c r="I849" s="3">
        <v>8.6020804332605625</v>
      </c>
      <c r="J849" s="3">
        <v>0.14336800722100937</v>
      </c>
      <c r="K849" t="s">
        <v>64</v>
      </c>
    </row>
    <row r="850" spans="1:11" x14ac:dyDescent="0.35">
      <c r="A850">
        <v>849</v>
      </c>
      <c r="B850" t="s">
        <v>2</v>
      </c>
      <c r="C850" t="s">
        <v>132</v>
      </c>
      <c r="D850" t="s">
        <v>140</v>
      </c>
      <c r="E850" s="2">
        <v>44146.564050925925</v>
      </c>
      <c r="F850" s="2">
        <v>44146.577337962961</v>
      </c>
      <c r="G850" s="3">
        <v>1.3287037036207039E-2</v>
      </c>
      <c r="H850" s="3">
        <v>1154.9927882655631</v>
      </c>
      <c r="I850" s="3">
        <v>19.249879804426051</v>
      </c>
      <c r="J850" s="3">
        <v>0.32083133007376752</v>
      </c>
      <c r="K850" t="s">
        <v>42</v>
      </c>
    </row>
    <row r="851" spans="1:11" x14ac:dyDescent="0.35">
      <c r="A851">
        <v>850</v>
      </c>
      <c r="B851" t="s">
        <v>11</v>
      </c>
      <c r="C851" t="s">
        <v>11</v>
      </c>
      <c r="D851" t="s">
        <v>140</v>
      </c>
      <c r="E851" s="2">
        <v>44146.57744212963</v>
      </c>
      <c r="F851" s="2">
        <v>44146.588252314818</v>
      </c>
      <c r="G851" s="3">
        <v>1.0810185187438037E-2</v>
      </c>
      <c r="H851" s="3">
        <v>939.68925481902261</v>
      </c>
      <c r="I851" s="3">
        <v>15.661487580317043</v>
      </c>
      <c r="J851" s="3">
        <v>0.26102479300528408</v>
      </c>
    </row>
    <row r="852" spans="1:11" x14ac:dyDescent="0.35">
      <c r="A852">
        <v>851</v>
      </c>
      <c r="B852" t="s">
        <v>11</v>
      </c>
      <c r="C852" t="s">
        <v>11</v>
      </c>
      <c r="D852" t="s">
        <v>140</v>
      </c>
      <c r="E852" s="2">
        <v>44146.588460648149</v>
      </c>
      <c r="F852" s="2">
        <v>44146.596041666664</v>
      </c>
      <c r="G852" s="3">
        <v>7.5810185153386556E-3</v>
      </c>
      <c r="H852" s="3">
        <v>658.98978749466755</v>
      </c>
      <c r="I852" s="3">
        <v>10.983163124911126</v>
      </c>
      <c r="J852" s="3">
        <v>0.18305271874851878</v>
      </c>
    </row>
    <row r="853" spans="1:11" x14ac:dyDescent="0.35">
      <c r="A853">
        <v>852</v>
      </c>
      <c r="B853" t="s">
        <v>11</v>
      </c>
      <c r="C853" t="s">
        <v>11</v>
      </c>
      <c r="D853" t="s">
        <v>140</v>
      </c>
      <c r="E853" s="2">
        <v>44146.596122685187</v>
      </c>
      <c r="F853" s="2">
        <v>44146.605150462965</v>
      </c>
      <c r="G853" s="3">
        <v>9.0277777781011537E-3</v>
      </c>
      <c r="H853" s="3">
        <v>784.7511976791684</v>
      </c>
      <c r="I853" s="3">
        <v>13.07918662798614</v>
      </c>
      <c r="J853" s="3">
        <v>0.217986443799769</v>
      </c>
    </row>
    <row r="854" spans="1:11" x14ac:dyDescent="0.35">
      <c r="A854">
        <v>853</v>
      </c>
      <c r="B854" t="s">
        <v>11</v>
      </c>
      <c r="C854" t="s">
        <v>11</v>
      </c>
      <c r="D854" t="s">
        <v>140</v>
      </c>
      <c r="E854" s="2">
        <v>44146.605243055557</v>
      </c>
      <c r="F854" s="2">
        <v>44146.606134259258</v>
      </c>
      <c r="G854" s="3">
        <v>8.9120370103046298E-4</v>
      </c>
      <c r="H854" s="3">
        <v>77.46902825369115</v>
      </c>
      <c r="I854" s="3">
        <v>1.2911504708948525</v>
      </c>
      <c r="J854" s="3">
        <v>2.1519174514914207E-2</v>
      </c>
    </row>
    <row r="855" spans="1:11" x14ac:dyDescent="0.35">
      <c r="A855">
        <v>854</v>
      </c>
      <c r="B855" t="s">
        <v>11</v>
      </c>
      <c r="C855" t="s">
        <v>11</v>
      </c>
      <c r="D855" t="s">
        <v>140</v>
      </c>
      <c r="E855" s="2">
        <v>44146.606203703705</v>
      </c>
      <c r="F855" s="2">
        <v>44146.61409722222</v>
      </c>
      <c r="G855" s="3">
        <v>7.8935185156296939E-3</v>
      </c>
      <c r="H855" s="3">
        <v>686.15425205404154</v>
      </c>
      <c r="I855" s="3">
        <v>11.435904200900692</v>
      </c>
      <c r="J855" s="3">
        <v>0.19059840334834488</v>
      </c>
    </row>
    <row r="856" spans="1:11" x14ac:dyDescent="0.35">
      <c r="A856">
        <v>855</v>
      </c>
      <c r="B856" t="s">
        <v>2</v>
      </c>
      <c r="C856" t="s">
        <v>96</v>
      </c>
      <c r="D856" t="s">
        <v>140</v>
      </c>
      <c r="E856" s="2">
        <v>44146.614351851851</v>
      </c>
      <c r="F856" s="2">
        <v>44146.634351851855</v>
      </c>
      <c r="G856" s="3">
        <v>2.0000000004074536E-2</v>
      </c>
      <c r="H856" s="3">
        <v>1738.525730534991</v>
      </c>
      <c r="I856" s="3">
        <v>28.975428842249851</v>
      </c>
      <c r="J856" s="3">
        <v>0.48292381403749751</v>
      </c>
    </row>
    <row r="857" spans="1:11" x14ac:dyDescent="0.35">
      <c r="A857">
        <v>856</v>
      </c>
      <c r="B857" t="s">
        <v>2</v>
      </c>
      <c r="C857" t="s">
        <v>132</v>
      </c>
      <c r="D857" t="s">
        <v>140</v>
      </c>
      <c r="E857" s="2">
        <v>44146.634502314817</v>
      </c>
      <c r="F857" s="2">
        <v>44146.636018518519</v>
      </c>
      <c r="G857" s="3">
        <v>1.5162037016125396E-3</v>
      </c>
      <c r="H857" s="3">
        <v>131.7979573724391</v>
      </c>
      <c r="I857" s="3">
        <v>2.196632622873985</v>
      </c>
      <c r="J857" s="3">
        <v>3.6610543714566415E-2</v>
      </c>
      <c r="K857" t="s">
        <v>64</v>
      </c>
    </row>
    <row r="858" spans="1:11" x14ac:dyDescent="0.35">
      <c r="A858">
        <v>857</v>
      </c>
      <c r="B858" t="s">
        <v>11</v>
      </c>
      <c r="C858" t="s">
        <v>11</v>
      </c>
      <c r="D858" t="s">
        <v>140</v>
      </c>
      <c r="E858" s="2">
        <v>44146.636203703703</v>
      </c>
      <c r="F858" s="2">
        <v>44146.670162037037</v>
      </c>
      <c r="G858" s="3">
        <v>3.3958333333430346E-2</v>
      </c>
      <c r="H858" s="3">
        <v>2951.8718127112606</v>
      </c>
      <c r="I858" s="3">
        <v>49.19786354518768</v>
      </c>
      <c r="J858" s="3">
        <v>0.81996439241979469</v>
      </c>
    </row>
    <row r="859" spans="1:11" x14ac:dyDescent="0.35">
      <c r="A859">
        <v>858</v>
      </c>
      <c r="B859" t="s">
        <v>2</v>
      </c>
      <c r="C859" t="s">
        <v>96</v>
      </c>
      <c r="D859" t="s">
        <v>140</v>
      </c>
      <c r="E859" s="2">
        <v>44146.670335648145</v>
      </c>
      <c r="F859" s="2">
        <v>44146.685277777775</v>
      </c>
      <c r="G859" s="3">
        <v>1.4942129630071577E-2</v>
      </c>
      <c r="H859" s="3">
        <v>1298.8638412788227</v>
      </c>
      <c r="I859" s="3">
        <v>21.647730687980378</v>
      </c>
      <c r="J859" s="3">
        <v>0.36079551146633965</v>
      </c>
    </row>
    <row r="860" spans="1:11" x14ac:dyDescent="0.35">
      <c r="A860">
        <v>859</v>
      </c>
      <c r="B860" t="s">
        <v>11</v>
      </c>
      <c r="C860" t="s">
        <v>11</v>
      </c>
      <c r="D860" t="s">
        <v>140</v>
      </c>
      <c r="E860" s="2">
        <v>44146.685567129629</v>
      </c>
      <c r="F860" s="2">
        <v>44146.728136574071</v>
      </c>
      <c r="G860" s="3">
        <v>4.2569444442051463E-2</v>
      </c>
      <c r="H860" s="3">
        <v>3700.4037241004398</v>
      </c>
      <c r="I860" s="3">
        <v>61.673395401674</v>
      </c>
      <c r="J860" s="3">
        <v>1.0278899233612333</v>
      </c>
    </row>
    <row r="861" spans="1:11" x14ac:dyDescent="0.35">
      <c r="A861">
        <v>860</v>
      </c>
      <c r="B861" t="s">
        <v>11</v>
      </c>
      <c r="C861" t="s">
        <v>11</v>
      </c>
      <c r="D861" t="s">
        <v>140</v>
      </c>
      <c r="E861" s="2">
        <v>44147.332314814812</v>
      </c>
      <c r="F861" s="2">
        <v>44147.335613425923</v>
      </c>
      <c r="G861" s="3">
        <v>3.2986111109494232E-3</v>
      </c>
      <c r="H861" s="3">
        <v>286.73601451229337</v>
      </c>
      <c r="I861" s="3">
        <v>4.7789335752048894</v>
      </c>
      <c r="J861" s="3">
        <v>7.9648892920081496E-2</v>
      </c>
    </row>
    <row r="862" spans="1:11" x14ac:dyDescent="0.35">
      <c r="A862">
        <v>861</v>
      </c>
      <c r="B862" t="s">
        <v>2</v>
      </c>
      <c r="C862" t="s">
        <v>132</v>
      </c>
      <c r="D862" t="s">
        <v>140</v>
      </c>
      <c r="E862" s="2">
        <v>44147.335798611108</v>
      </c>
      <c r="F862" s="2">
        <v>44147.375717592593</v>
      </c>
      <c r="G862" s="3">
        <v>3.9918981485243421E-2</v>
      </c>
      <c r="H862" s="3">
        <v>3470.0088217353459</v>
      </c>
      <c r="I862" s="3">
        <v>57.833480362255763</v>
      </c>
      <c r="J862" s="3">
        <v>0.96389133937092941</v>
      </c>
      <c r="K862" t="s">
        <v>64</v>
      </c>
    </row>
    <row r="863" spans="1:11" x14ac:dyDescent="0.35">
      <c r="A863">
        <v>862</v>
      </c>
      <c r="B863" t="s">
        <v>11</v>
      </c>
      <c r="C863" t="s">
        <v>11</v>
      </c>
      <c r="D863" t="s">
        <v>140</v>
      </c>
      <c r="E863" s="2">
        <v>44147.375810185185</v>
      </c>
      <c r="F863" s="2">
        <v>44147.386678240742</v>
      </c>
      <c r="G863" s="3">
        <v>1.0868055556784384E-2</v>
      </c>
      <c r="H863" s="3">
        <v>944.71971112520714</v>
      </c>
      <c r="I863" s="3">
        <v>15.745328518753452</v>
      </c>
      <c r="J863" s="3">
        <v>0.2624221419792242</v>
      </c>
    </row>
    <row r="864" spans="1:11" x14ac:dyDescent="0.35">
      <c r="A864">
        <v>863</v>
      </c>
      <c r="B864" t="s">
        <v>16</v>
      </c>
      <c r="C864" t="s">
        <v>16</v>
      </c>
      <c r="D864" t="s">
        <v>140</v>
      </c>
      <c r="E864" s="2">
        <v>44147.386759259258</v>
      </c>
      <c r="F864" s="2">
        <v>44147.395300925928</v>
      </c>
      <c r="G864" s="3">
        <v>8.5416666697710752E-3</v>
      </c>
      <c r="H864" s="3">
        <v>742.49536420124082</v>
      </c>
      <c r="I864" s="3">
        <v>12.374922736687347</v>
      </c>
      <c r="J864" s="3">
        <v>0.20624871227812244</v>
      </c>
    </row>
    <row r="865" spans="1:11" x14ac:dyDescent="0.35">
      <c r="A865">
        <v>864</v>
      </c>
      <c r="B865" t="s">
        <v>11</v>
      </c>
      <c r="C865" t="s">
        <v>11</v>
      </c>
      <c r="D865" t="s">
        <v>140</v>
      </c>
      <c r="E865" s="2">
        <v>44147.395405092589</v>
      </c>
      <c r="F865" s="2">
        <v>44147.399201388886</v>
      </c>
      <c r="G865" s="3">
        <v>3.796296296059154E-3</v>
      </c>
      <c r="H865" s="3">
        <v>329.99793950444661</v>
      </c>
      <c r="I865" s="3">
        <v>5.4999656584074437</v>
      </c>
      <c r="J865" s="3">
        <v>9.1666094306790721E-2</v>
      </c>
    </row>
    <row r="866" spans="1:11" x14ac:dyDescent="0.35">
      <c r="A866">
        <v>865</v>
      </c>
      <c r="B866" t="s">
        <v>2</v>
      </c>
      <c r="C866" t="s">
        <v>96</v>
      </c>
      <c r="D866" t="s">
        <v>140</v>
      </c>
      <c r="E866" s="2">
        <v>44147.399456018517</v>
      </c>
      <c r="F866" s="2">
        <v>44147.402858796297</v>
      </c>
      <c r="G866" s="3">
        <v>3.4027777801384218E-3</v>
      </c>
      <c r="H866" s="3">
        <v>295.79083624290871</v>
      </c>
      <c r="I866" s="3">
        <v>4.9298472707151451</v>
      </c>
      <c r="J866" s="3">
        <v>8.216412117858575E-2</v>
      </c>
    </row>
    <row r="867" spans="1:11" x14ac:dyDescent="0.35">
      <c r="A867">
        <v>866</v>
      </c>
      <c r="B867" t="s">
        <v>11</v>
      </c>
      <c r="C867" t="s">
        <v>11</v>
      </c>
      <c r="D867" t="s">
        <v>140</v>
      </c>
      <c r="E867" s="2">
        <v>44147.403124999997</v>
      </c>
      <c r="F867" s="2">
        <v>44147.406875000001</v>
      </c>
      <c r="G867" s="3">
        <v>3.7500000034924597E-3</v>
      </c>
      <c r="H867" s="3">
        <v>325.97357471248779</v>
      </c>
      <c r="I867" s="3">
        <v>5.4328929118747968</v>
      </c>
      <c r="J867" s="3">
        <v>9.0548215197913284E-2</v>
      </c>
    </row>
    <row r="868" spans="1:11" x14ac:dyDescent="0.35">
      <c r="A868">
        <v>867</v>
      </c>
      <c r="B868" t="s">
        <v>2</v>
      </c>
      <c r="C868" t="s">
        <v>96</v>
      </c>
      <c r="D868" t="s">
        <v>140</v>
      </c>
      <c r="E868" s="2">
        <v>44147.407152777778</v>
      </c>
      <c r="F868" s="2">
        <v>44147.417268518519</v>
      </c>
      <c r="G868" s="3">
        <v>1.0115740740729962E-2</v>
      </c>
      <c r="H868" s="3">
        <v>879.32377787986445</v>
      </c>
      <c r="I868" s="3">
        <v>14.655396297997742</v>
      </c>
      <c r="J868" s="3">
        <v>0.24425660496662902</v>
      </c>
    </row>
    <row r="869" spans="1:11" x14ac:dyDescent="0.35">
      <c r="A869">
        <v>868</v>
      </c>
      <c r="B869" t="s">
        <v>2</v>
      </c>
      <c r="C869" t="s">
        <v>96</v>
      </c>
      <c r="D869" t="s">
        <v>140</v>
      </c>
      <c r="E869" s="2">
        <v>44147.417442129627</v>
      </c>
      <c r="F869" s="2">
        <v>44147.473599537036</v>
      </c>
      <c r="G869" s="3">
        <v>5.6157407409045845E-2</v>
      </c>
      <c r="H869" s="3">
        <v>4881.5548860436229</v>
      </c>
      <c r="I869" s="3">
        <v>81.359248100727044</v>
      </c>
      <c r="J869" s="3">
        <v>1.3559874683454507</v>
      </c>
    </row>
    <row r="870" spans="1:11" x14ac:dyDescent="0.35">
      <c r="A870">
        <v>869</v>
      </c>
      <c r="B870" t="s">
        <v>11</v>
      </c>
      <c r="C870" t="s">
        <v>11</v>
      </c>
      <c r="D870" t="s">
        <v>140</v>
      </c>
      <c r="E870" s="2">
        <v>44147.47378472222</v>
      </c>
      <c r="F870" s="2">
        <v>44147.484629629631</v>
      </c>
      <c r="G870" s="3">
        <v>1.0844907410501037E-2</v>
      </c>
      <c r="H870" s="3">
        <v>942.70752872922776</v>
      </c>
      <c r="I870" s="3">
        <v>15.711792145487129</v>
      </c>
      <c r="J870" s="3">
        <v>0.2618632024247855</v>
      </c>
    </row>
    <row r="871" spans="1:11" x14ac:dyDescent="0.35">
      <c r="A871">
        <v>870</v>
      </c>
      <c r="B871" t="s">
        <v>16</v>
      </c>
      <c r="C871" t="s">
        <v>16</v>
      </c>
      <c r="D871" t="s">
        <v>140</v>
      </c>
      <c r="E871" s="2">
        <v>44147.484722222223</v>
      </c>
      <c r="F871" s="2">
        <v>44147.523541666669</v>
      </c>
      <c r="G871" s="3">
        <v>3.8819444445834961E-2</v>
      </c>
      <c r="H871" s="3">
        <v>3374.4301500204242</v>
      </c>
      <c r="I871" s="3">
        <v>56.240502500340405</v>
      </c>
      <c r="J871" s="3">
        <v>0.93734170833900676</v>
      </c>
    </row>
    <row r="872" spans="1:11" x14ac:dyDescent="0.35">
      <c r="A872">
        <v>871</v>
      </c>
      <c r="B872" t="s">
        <v>2</v>
      </c>
      <c r="C872" t="s">
        <v>132</v>
      </c>
      <c r="D872" t="s">
        <v>140</v>
      </c>
      <c r="E872" s="2">
        <v>44147.523761574077</v>
      </c>
      <c r="F872" s="2">
        <v>44147.531076388892</v>
      </c>
      <c r="G872" s="3">
        <v>7.3148148148902692E-3</v>
      </c>
      <c r="H872" s="3">
        <v>635.84968835972438</v>
      </c>
      <c r="I872" s="3">
        <v>10.597494805995407</v>
      </c>
      <c r="J872" s="3">
        <v>0.17662491343325679</v>
      </c>
      <c r="K872" t="s">
        <v>42</v>
      </c>
    </row>
    <row r="873" spans="1:11" x14ac:dyDescent="0.35">
      <c r="A873">
        <v>872</v>
      </c>
      <c r="B873" t="s">
        <v>2</v>
      </c>
      <c r="C873" t="s">
        <v>132</v>
      </c>
      <c r="D873" t="s">
        <v>140</v>
      </c>
      <c r="E873" s="2">
        <v>44147.531284722223</v>
      </c>
      <c r="F873" s="2">
        <v>44147.541493055556</v>
      </c>
      <c r="G873" s="3">
        <v>1.0208333333139308E-2</v>
      </c>
      <c r="H873" s="3">
        <v>887.37250809625414</v>
      </c>
      <c r="I873" s="3">
        <v>14.789541801604235</v>
      </c>
      <c r="J873" s="3">
        <v>0.24649236336007058</v>
      </c>
      <c r="K873" t="s">
        <v>42</v>
      </c>
    </row>
    <row r="874" spans="1:11" x14ac:dyDescent="0.35">
      <c r="A874">
        <v>873</v>
      </c>
      <c r="B874" t="s">
        <v>2</v>
      </c>
      <c r="C874" t="s">
        <v>96</v>
      </c>
      <c r="D874" t="s">
        <v>140</v>
      </c>
      <c r="E874" s="2">
        <v>44147.541562500002</v>
      </c>
      <c r="F874" s="2">
        <v>44147.566782407404</v>
      </c>
      <c r="G874" s="3">
        <v>2.5219907402060926E-2</v>
      </c>
      <c r="H874" s="3">
        <v>2192.2728965630149</v>
      </c>
      <c r="I874" s="3">
        <v>36.537881609383582</v>
      </c>
      <c r="J874" s="3">
        <v>0.60896469348972637</v>
      </c>
    </row>
    <row r="875" spans="1:11" x14ac:dyDescent="0.35">
      <c r="A875">
        <v>874</v>
      </c>
      <c r="B875" t="s">
        <v>2</v>
      </c>
      <c r="C875" t="s">
        <v>132</v>
      </c>
      <c r="D875" t="s">
        <v>140</v>
      </c>
      <c r="E875" s="2">
        <v>44147.566944444443</v>
      </c>
      <c r="F875" s="2">
        <v>44147.578414351854</v>
      </c>
      <c r="G875" s="3">
        <v>1.1469907411083113E-2</v>
      </c>
      <c r="H875" s="3">
        <v>997.03645784797573</v>
      </c>
      <c r="I875" s="3">
        <v>16.617274297466263</v>
      </c>
      <c r="J875" s="3">
        <v>0.27695457162443771</v>
      </c>
      <c r="K875" t="s">
        <v>42</v>
      </c>
    </row>
    <row r="876" spans="1:11" x14ac:dyDescent="0.35">
      <c r="A876">
        <v>875</v>
      </c>
      <c r="B876" t="s">
        <v>11</v>
      </c>
      <c r="C876" t="s">
        <v>11</v>
      </c>
      <c r="D876" t="s">
        <v>140</v>
      </c>
      <c r="E876" s="2">
        <v>44147.57849537037</v>
      </c>
      <c r="F876" s="2">
        <v>44147.579467592594</v>
      </c>
      <c r="G876" s="3">
        <v>9.7222222393611446E-4</v>
      </c>
      <c r="H876" s="3">
        <v>84.511667588327057</v>
      </c>
      <c r="I876" s="3">
        <v>1.4085277931387843</v>
      </c>
      <c r="J876" s="3">
        <v>2.3475463218979739E-2</v>
      </c>
    </row>
    <row r="877" spans="1:11" x14ac:dyDescent="0.35">
      <c r="A877">
        <v>876</v>
      </c>
      <c r="B877" t="s">
        <v>2</v>
      </c>
      <c r="C877" t="s">
        <v>96</v>
      </c>
      <c r="D877" t="s">
        <v>140</v>
      </c>
      <c r="E877" s="2">
        <v>44147.579722222225</v>
      </c>
      <c r="F877" s="2">
        <v>44147.587800925925</v>
      </c>
      <c r="G877" s="3">
        <v>8.0787037004483864E-3</v>
      </c>
      <c r="H877" s="3">
        <v>702.25171248682079</v>
      </c>
      <c r="I877" s="3">
        <v>11.70419520811368</v>
      </c>
      <c r="J877" s="3">
        <v>0.195069920135228</v>
      </c>
    </row>
    <row r="878" spans="1:11" x14ac:dyDescent="0.35">
      <c r="A878">
        <v>877</v>
      </c>
      <c r="B878" t="s">
        <v>2</v>
      </c>
      <c r="C878" t="s">
        <v>132</v>
      </c>
      <c r="D878" t="s">
        <v>140</v>
      </c>
      <c r="E878" s="2">
        <v>44147.588090277779</v>
      </c>
      <c r="F878" s="2">
        <v>44147.606249999997</v>
      </c>
      <c r="G878" s="3">
        <v>1.8159722218115348E-2</v>
      </c>
      <c r="H878" s="3">
        <v>1578.5572164564801</v>
      </c>
      <c r="I878" s="3">
        <v>26.309286940941334</v>
      </c>
      <c r="J878" s="3">
        <v>0.43848811568235557</v>
      </c>
      <c r="K878" t="s">
        <v>41</v>
      </c>
    </row>
    <row r="879" spans="1:11" x14ac:dyDescent="0.35">
      <c r="A879">
        <v>878</v>
      </c>
      <c r="B879" t="s">
        <v>2</v>
      </c>
      <c r="C879" t="s">
        <v>132</v>
      </c>
      <c r="D879" t="s">
        <v>140</v>
      </c>
      <c r="E879" s="2">
        <v>44147.606400462966</v>
      </c>
      <c r="F879" s="2">
        <v>44147.616030092591</v>
      </c>
      <c r="G879" s="3">
        <v>9.6296296251239255E-3</v>
      </c>
      <c r="H879" s="3">
        <v>837.06794376946493</v>
      </c>
      <c r="I879" s="3">
        <v>13.95113239615775</v>
      </c>
      <c r="J879" s="3">
        <v>0.23251887326929582</v>
      </c>
      <c r="K879" t="s">
        <v>42</v>
      </c>
    </row>
    <row r="880" spans="1:11" x14ac:dyDescent="0.35">
      <c r="A880">
        <v>879</v>
      </c>
      <c r="B880" t="s">
        <v>11</v>
      </c>
      <c r="C880" t="s">
        <v>11</v>
      </c>
      <c r="D880" t="s">
        <v>140</v>
      </c>
      <c r="E880" s="2">
        <v>44147.616249999999</v>
      </c>
      <c r="F880" s="2">
        <v>44147.638020833336</v>
      </c>
      <c r="G880" s="3">
        <v>2.1770833336631767E-2</v>
      </c>
      <c r="H880" s="3">
        <v>1892.4576961606194</v>
      </c>
      <c r="I880" s="3">
        <v>31.54096160267699</v>
      </c>
      <c r="J880" s="3">
        <v>0.52568269337794982</v>
      </c>
    </row>
    <row r="881" spans="1:11" x14ac:dyDescent="0.35">
      <c r="A881">
        <v>880</v>
      </c>
      <c r="B881" t="s">
        <v>11</v>
      </c>
      <c r="C881" t="s">
        <v>11</v>
      </c>
      <c r="D881" t="s">
        <v>140</v>
      </c>
      <c r="E881" s="2">
        <v>44147.638124999998</v>
      </c>
      <c r="F881" s="2">
        <v>44147.642604166664</v>
      </c>
      <c r="G881" s="3">
        <v>4.4791666659875773E-3</v>
      </c>
      <c r="H881" s="3">
        <v>389.3573249293791</v>
      </c>
      <c r="I881" s="3">
        <v>6.4892887488229851</v>
      </c>
      <c r="J881" s="3">
        <v>0.10815481248038308</v>
      </c>
    </row>
    <row r="882" spans="1:11" x14ac:dyDescent="0.35">
      <c r="A882">
        <v>881</v>
      </c>
      <c r="B882" t="s">
        <v>2</v>
      </c>
      <c r="C882" t="s">
        <v>96</v>
      </c>
      <c r="D882" t="s">
        <v>140</v>
      </c>
      <c r="E882" s="2">
        <v>44147.642731481479</v>
      </c>
      <c r="F882" s="2">
        <v>44147.652696759258</v>
      </c>
      <c r="G882" s="3">
        <v>9.9652777789742686E-3</v>
      </c>
      <c r="H882" s="3">
        <v>866.24459135729035</v>
      </c>
      <c r="I882" s="3">
        <v>14.437409855954838</v>
      </c>
      <c r="J882" s="3">
        <v>0.24062349759924731</v>
      </c>
    </row>
    <row r="883" spans="1:11" x14ac:dyDescent="0.35">
      <c r="A883">
        <v>882</v>
      </c>
      <c r="B883" t="s">
        <v>11</v>
      </c>
      <c r="C883" t="s">
        <v>11</v>
      </c>
      <c r="D883" t="s">
        <v>140</v>
      </c>
      <c r="E883" s="2">
        <v>44147.652870370373</v>
      </c>
      <c r="F883" s="2">
        <v>44147.671319444446</v>
      </c>
      <c r="G883" s="3">
        <v>1.844907407212304E-2</v>
      </c>
      <c r="H883" s="3">
        <v>1603.7094986198747</v>
      </c>
      <c r="I883" s="3">
        <v>26.728491643664579</v>
      </c>
      <c r="J883" s="3">
        <v>0.44547486072774301</v>
      </c>
    </row>
    <row r="884" spans="1:11" x14ac:dyDescent="0.35">
      <c r="A884">
        <v>883</v>
      </c>
      <c r="B884" t="s">
        <v>2</v>
      </c>
      <c r="C884" t="s">
        <v>96</v>
      </c>
      <c r="D884" t="s">
        <v>140</v>
      </c>
      <c r="E884" s="2">
        <v>44147.671527777777</v>
      </c>
      <c r="F884" s="2">
        <v>44147.682858796295</v>
      </c>
      <c r="G884" s="3">
        <v>1.1331018518831115E-2</v>
      </c>
      <c r="H884" s="3">
        <v>984.96336220715534</v>
      </c>
      <c r="I884" s="3">
        <v>16.416056036785921</v>
      </c>
      <c r="J884" s="3">
        <v>0.27360093394643203</v>
      </c>
    </row>
    <row r="885" spans="1:11" x14ac:dyDescent="0.35">
      <c r="A885">
        <v>884</v>
      </c>
      <c r="B885" t="s">
        <v>2</v>
      </c>
      <c r="C885" t="s">
        <v>132</v>
      </c>
      <c r="D885" t="s">
        <v>140</v>
      </c>
      <c r="E885" s="2">
        <v>44147.683113425926</v>
      </c>
      <c r="F885" s="2">
        <v>44147.709629629629</v>
      </c>
      <c r="G885" s="3">
        <v>2.6516203703067731E-2</v>
      </c>
      <c r="H885" s="3">
        <v>2304.9551202249418</v>
      </c>
      <c r="I885" s="3">
        <v>38.415918670415699</v>
      </c>
      <c r="J885" s="3">
        <v>0.64026531117359498</v>
      </c>
      <c r="K885" t="s">
        <v>41</v>
      </c>
    </row>
    <row r="886" spans="1:11" x14ac:dyDescent="0.35">
      <c r="A886">
        <v>885</v>
      </c>
      <c r="B886" t="s">
        <v>11</v>
      </c>
      <c r="C886" t="s">
        <v>11</v>
      </c>
      <c r="D886" t="s">
        <v>140</v>
      </c>
      <c r="E886" s="2">
        <v>44147.709756944445</v>
      </c>
      <c r="F886" s="2">
        <v>44147.729120370372</v>
      </c>
      <c r="G886" s="3">
        <v>1.9363425926712807E-2</v>
      </c>
      <c r="H886" s="3">
        <v>1683.1907099020173</v>
      </c>
      <c r="I886" s="3">
        <v>28.053178498366954</v>
      </c>
      <c r="J886" s="3">
        <v>0.46755297497278259</v>
      </c>
    </row>
    <row r="887" spans="1:11" x14ac:dyDescent="0.35">
      <c r="A887">
        <v>886</v>
      </c>
      <c r="B887" t="s">
        <v>11</v>
      </c>
      <c r="C887" t="s">
        <v>11</v>
      </c>
      <c r="D887" t="s">
        <v>140</v>
      </c>
      <c r="E887" s="2">
        <v>44147.74009259259</v>
      </c>
      <c r="F887" s="2">
        <v>44147.771226851852</v>
      </c>
      <c r="G887" s="3">
        <v>3.1134259261307307E-2</v>
      </c>
      <c r="H887" s="3">
        <v>2706.3855407951414</v>
      </c>
      <c r="I887" s="3">
        <v>45.10642567991902</v>
      </c>
      <c r="J887" s="3">
        <v>0.7517737613319837</v>
      </c>
    </row>
    <row r="888" spans="1:11" x14ac:dyDescent="0.35">
      <c r="A888">
        <v>887</v>
      </c>
      <c r="B888" t="s">
        <v>11</v>
      </c>
      <c r="C888" t="s">
        <v>11</v>
      </c>
      <c r="D888" t="s">
        <v>140</v>
      </c>
      <c r="E888" s="2">
        <v>44147.836643518516</v>
      </c>
      <c r="F888" s="2">
        <v>44147.883715277778</v>
      </c>
      <c r="G888" s="3">
        <v>4.7071759261598345E-2</v>
      </c>
      <c r="H888" s="3">
        <v>4091.7732320582704</v>
      </c>
      <c r="I888" s="3">
        <v>68.196220534304501</v>
      </c>
      <c r="J888" s="3">
        <v>1.1366036755717417</v>
      </c>
    </row>
    <row r="889" spans="1:11" x14ac:dyDescent="0.35">
      <c r="A889">
        <v>888</v>
      </c>
      <c r="B889" t="s">
        <v>2</v>
      </c>
      <c r="C889" t="s">
        <v>72</v>
      </c>
      <c r="D889" t="s">
        <v>140</v>
      </c>
      <c r="E889" s="2">
        <v>44148.287627314814</v>
      </c>
      <c r="F889" s="2">
        <v>44148.310763888891</v>
      </c>
      <c r="G889" s="3">
        <v>2.3136574076488614E-2</v>
      </c>
      <c r="H889" s="3">
        <v>2011.1764670104844</v>
      </c>
      <c r="I889" s="3">
        <v>33.519607783508071</v>
      </c>
      <c r="J889" s="3">
        <v>0.55866012972513457</v>
      </c>
      <c r="K889" t="s">
        <v>73</v>
      </c>
    </row>
    <row r="890" spans="1:11" x14ac:dyDescent="0.35">
      <c r="A890">
        <v>889</v>
      </c>
      <c r="B890" t="s">
        <v>11</v>
      </c>
      <c r="C890" t="s">
        <v>11</v>
      </c>
      <c r="D890" t="s">
        <v>140</v>
      </c>
      <c r="E890" s="2">
        <v>44148.315520833334</v>
      </c>
      <c r="F890" s="2">
        <v>44148.316840277781</v>
      </c>
      <c r="G890" s="3">
        <v>1.3194444472901523E-3</v>
      </c>
      <c r="H890" s="3">
        <v>114.69440605790614</v>
      </c>
      <c r="I890" s="3">
        <v>1.9115734342984356</v>
      </c>
      <c r="J890" s="3">
        <v>3.1859557238307259E-2</v>
      </c>
    </row>
    <row r="891" spans="1:11" x14ac:dyDescent="0.35">
      <c r="A891">
        <v>890</v>
      </c>
      <c r="B891" t="s">
        <v>11</v>
      </c>
      <c r="C891" t="s">
        <v>11</v>
      </c>
      <c r="D891" t="s">
        <v>140</v>
      </c>
      <c r="E891" s="2">
        <v>44148.335601851853</v>
      </c>
      <c r="F891" s="2">
        <v>44148.342569444445</v>
      </c>
      <c r="G891" s="3">
        <v>6.9675925915362313E-3</v>
      </c>
      <c r="H891" s="3">
        <v>605.66694989014525</v>
      </c>
      <c r="I891" s="3">
        <v>10.094449164835755</v>
      </c>
      <c r="J891" s="3">
        <v>0.16824081941392924</v>
      </c>
    </row>
    <row r="892" spans="1:11" x14ac:dyDescent="0.35">
      <c r="A892">
        <v>891</v>
      </c>
      <c r="B892" t="s">
        <v>2</v>
      </c>
      <c r="C892" t="s">
        <v>132</v>
      </c>
      <c r="D892" t="s">
        <v>140</v>
      </c>
      <c r="E892" s="2">
        <v>44148.342685185184</v>
      </c>
      <c r="F892" s="2">
        <v>44148.346724537034</v>
      </c>
      <c r="G892" s="3">
        <v>4.0393518502241932E-3</v>
      </c>
      <c r="H892" s="3">
        <v>351.1258562434104</v>
      </c>
      <c r="I892" s="3">
        <v>5.8520976040568398</v>
      </c>
      <c r="J892" s="3">
        <v>9.7534960067614002E-2</v>
      </c>
      <c r="K892" t="s">
        <v>42</v>
      </c>
    </row>
    <row r="893" spans="1:11" x14ac:dyDescent="0.35">
      <c r="A893">
        <v>892</v>
      </c>
      <c r="B893" t="s">
        <v>11</v>
      </c>
      <c r="C893" t="s">
        <v>11</v>
      </c>
      <c r="D893" t="s">
        <v>140</v>
      </c>
      <c r="E893" s="2">
        <v>44148.346875000003</v>
      </c>
      <c r="F893" s="2">
        <v>44148.34784722222</v>
      </c>
      <c r="G893" s="3">
        <v>9.7222221666015685E-4</v>
      </c>
      <c r="H893" s="3">
        <v>84.511666955855077</v>
      </c>
      <c r="I893" s="3">
        <v>1.4085277825975846</v>
      </c>
      <c r="J893" s="3">
        <v>2.3475463043293076E-2</v>
      </c>
    </row>
    <row r="894" spans="1:11" x14ac:dyDescent="0.35">
      <c r="A894">
        <v>893</v>
      </c>
      <c r="B894" t="s">
        <v>2</v>
      </c>
      <c r="C894" t="s">
        <v>96</v>
      </c>
      <c r="D894" t="s">
        <v>140</v>
      </c>
      <c r="E894" s="2">
        <v>44148.348055555558</v>
      </c>
      <c r="F894" s="2">
        <v>44148.351782407408</v>
      </c>
      <c r="G894" s="3">
        <v>3.7268518499331549E-3</v>
      </c>
      <c r="H894" s="3">
        <v>323.96139168403641</v>
      </c>
      <c r="I894" s="3">
        <v>5.3993565280672735</v>
      </c>
      <c r="J894" s="3">
        <v>8.9989275467787885E-2</v>
      </c>
    </row>
    <row r="895" spans="1:11" x14ac:dyDescent="0.35">
      <c r="A895">
        <v>894</v>
      </c>
      <c r="B895" t="s">
        <v>2</v>
      </c>
      <c r="C895" t="s">
        <v>96</v>
      </c>
      <c r="D895" t="s">
        <v>140</v>
      </c>
      <c r="E895" s="2">
        <v>44148.352037037039</v>
      </c>
      <c r="F895" s="2">
        <v>44148.352164351854</v>
      </c>
      <c r="G895" s="3">
        <v>1.273148154723458E-4</v>
      </c>
      <c r="H895" s="3">
        <v>11.067004126594732</v>
      </c>
      <c r="I895" s="3">
        <v>0.18445006877657885</v>
      </c>
      <c r="J895" s="3">
        <v>3.0741678129429808E-3</v>
      </c>
    </row>
    <row r="896" spans="1:11" x14ac:dyDescent="0.35">
      <c r="A896">
        <v>895</v>
      </c>
      <c r="B896" t="s">
        <v>11</v>
      </c>
      <c r="C896" t="s">
        <v>11</v>
      </c>
      <c r="D896" t="s">
        <v>140</v>
      </c>
      <c r="E896" s="2">
        <v>44148.352222222224</v>
      </c>
      <c r="F896" s="2">
        <v>44148.358472222222</v>
      </c>
      <c r="G896" s="3">
        <v>6.2499999985448085E-3</v>
      </c>
      <c r="H896" s="3">
        <v>543.28929055500771</v>
      </c>
      <c r="I896" s="3">
        <v>9.0548215092501287</v>
      </c>
      <c r="J896" s="3">
        <v>0.15091369182083547</v>
      </c>
    </row>
    <row r="897" spans="1:11" x14ac:dyDescent="0.35">
      <c r="A897">
        <v>896</v>
      </c>
      <c r="B897" t="s">
        <v>16</v>
      </c>
      <c r="C897" t="s">
        <v>16</v>
      </c>
      <c r="D897" t="s">
        <v>140</v>
      </c>
      <c r="E897" s="2">
        <v>44148.358657407407</v>
      </c>
      <c r="F897" s="2">
        <v>44148.368425925924</v>
      </c>
      <c r="G897" s="3">
        <v>9.7685185173759237E-3</v>
      </c>
      <c r="H897" s="3">
        <v>849.14103941028543</v>
      </c>
      <c r="I897" s="3">
        <v>14.15235065683809</v>
      </c>
      <c r="J897" s="3">
        <v>0.23587251094730149</v>
      </c>
    </row>
    <row r="898" spans="1:11" x14ac:dyDescent="0.35">
      <c r="A898">
        <v>897</v>
      </c>
      <c r="B898" t="s">
        <v>2</v>
      </c>
      <c r="C898" t="s">
        <v>96</v>
      </c>
      <c r="D898" t="s">
        <v>140</v>
      </c>
      <c r="E898" s="2">
        <v>44148.368564814817</v>
      </c>
      <c r="F898" s="2">
        <v>44148.39947916667</v>
      </c>
      <c r="G898" s="3">
        <v>3.0914351853425615E-2</v>
      </c>
      <c r="H898" s="3">
        <v>2687.2698064521569</v>
      </c>
      <c r="I898" s="3">
        <v>44.787830107535946</v>
      </c>
      <c r="J898" s="3">
        <v>0.74646383512559911</v>
      </c>
    </row>
    <row r="899" spans="1:11" x14ac:dyDescent="0.35">
      <c r="A899">
        <v>898</v>
      </c>
      <c r="B899" t="s">
        <v>11</v>
      </c>
      <c r="C899" t="s">
        <v>11</v>
      </c>
      <c r="D899" t="s">
        <v>140</v>
      </c>
      <c r="E899" s="2">
        <v>44148.399548611109</v>
      </c>
      <c r="F899" s="2">
        <v>44148.411712962959</v>
      </c>
      <c r="G899" s="3">
        <v>1.2164351850515231E-2</v>
      </c>
      <c r="H899" s="3">
        <v>1057.4019341546618</v>
      </c>
      <c r="I899" s="3">
        <v>17.623365569244363</v>
      </c>
      <c r="J899" s="3">
        <v>0.29372275948740606</v>
      </c>
    </row>
    <row r="900" spans="1:11" x14ac:dyDescent="0.35">
      <c r="A900">
        <v>899</v>
      </c>
      <c r="B900" t="s">
        <v>11</v>
      </c>
      <c r="C900" t="s">
        <v>11</v>
      </c>
      <c r="D900" t="s">
        <v>140</v>
      </c>
      <c r="E900" s="2">
        <v>44148.411770833336</v>
      </c>
      <c r="F900" s="2">
        <v>44148.419386574074</v>
      </c>
      <c r="G900" s="3">
        <v>7.6157407384016551E-3</v>
      </c>
      <c r="H900" s="3">
        <v>662.00806140487259</v>
      </c>
      <c r="I900" s="3">
        <v>11.03346769008121</v>
      </c>
      <c r="J900" s="3">
        <v>0.18389112816802017</v>
      </c>
    </row>
    <row r="901" spans="1:11" x14ac:dyDescent="0.35">
      <c r="A901">
        <v>900</v>
      </c>
      <c r="B901" t="s">
        <v>2</v>
      </c>
      <c r="C901" t="s">
        <v>96</v>
      </c>
      <c r="D901" t="s">
        <v>140</v>
      </c>
      <c r="E901" s="2">
        <v>44148.419560185182</v>
      </c>
      <c r="F901" s="2">
        <v>44148.43341435185</v>
      </c>
      <c r="G901" s="3">
        <v>1.3854166667442769E-2</v>
      </c>
      <c r="H901" s="3">
        <v>1204.2912610781266</v>
      </c>
      <c r="I901" s="3">
        <v>20.071521017968777</v>
      </c>
      <c r="J901" s="3">
        <v>0.33452535029947961</v>
      </c>
    </row>
    <row r="902" spans="1:11" x14ac:dyDescent="0.35">
      <c r="A902">
        <v>901</v>
      </c>
      <c r="B902" t="s">
        <v>11</v>
      </c>
      <c r="C902" t="s">
        <v>11</v>
      </c>
      <c r="D902" t="s">
        <v>140</v>
      </c>
      <c r="E902" s="2">
        <v>44148.433599537035</v>
      </c>
      <c r="F902" s="2">
        <v>44148.441365740742</v>
      </c>
      <c r="G902" s="3">
        <v>7.7662037074333057E-3</v>
      </c>
      <c r="H902" s="3">
        <v>675.08724855991875</v>
      </c>
      <c r="I902" s="3">
        <v>11.251454142665313</v>
      </c>
      <c r="J902" s="3">
        <v>0.18752423571108856</v>
      </c>
    </row>
    <row r="903" spans="1:11" x14ac:dyDescent="0.35">
      <c r="A903">
        <v>902</v>
      </c>
      <c r="B903" t="s">
        <v>2</v>
      </c>
      <c r="C903" t="s">
        <v>96</v>
      </c>
      <c r="D903" t="s">
        <v>140</v>
      </c>
      <c r="E903" s="2">
        <v>44148.441666666666</v>
      </c>
      <c r="F903" s="2">
        <v>44148.444282407407</v>
      </c>
      <c r="G903" s="3">
        <v>2.6157407410209998E-3</v>
      </c>
      <c r="H903" s="3">
        <v>227.3766290873609</v>
      </c>
      <c r="I903" s="3">
        <v>3.7896104847893484</v>
      </c>
      <c r="J903" s="3">
        <v>6.3160174746489134E-2</v>
      </c>
    </row>
    <row r="904" spans="1:11" x14ac:dyDescent="0.35">
      <c r="A904">
        <v>903</v>
      </c>
      <c r="B904" t="s">
        <v>2</v>
      </c>
      <c r="C904" t="s">
        <v>132</v>
      </c>
      <c r="D904" t="s">
        <v>140</v>
      </c>
      <c r="E904" s="2">
        <v>44148.444374999999</v>
      </c>
      <c r="F904" s="2">
        <v>44148.448206018518</v>
      </c>
      <c r="G904" s="3">
        <v>3.8310185191221535E-3</v>
      </c>
      <c r="H904" s="3">
        <v>333.0162134146517</v>
      </c>
      <c r="I904" s="3">
        <v>5.5502702235775283</v>
      </c>
      <c r="J904" s="3">
        <v>9.2504503726292139E-2</v>
      </c>
      <c r="K904" t="s">
        <v>41</v>
      </c>
    </row>
    <row r="905" spans="1:11" x14ac:dyDescent="0.35">
      <c r="A905">
        <v>904</v>
      </c>
      <c r="B905" t="s">
        <v>16</v>
      </c>
      <c r="C905" t="s">
        <v>16</v>
      </c>
      <c r="D905" t="s">
        <v>140</v>
      </c>
      <c r="E905" s="2">
        <v>44148.448321759257</v>
      </c>
      <c r="F905" s="2">
        <v>44148.457094907404</v>
      </c>
      <c r="G905" s="3">
        <v>8.7731481471564621E-3</v>
      </c>
      <c r="H905" s="3">
        <v>762.61718942597895</v>
      </c>
      <c r="I905" s="3">
        <v>12.710286490432983</v>
      </c>
      <c r="J905" s="3">
        <v>0.21183810817388304</v>
      </c>
    </row>
    <row r="906" spans="1:11" x14ac:dyDescent="0.35">
      <c r="A906">
        <v>905</v>
      </c>
      <c r="B906" t="s">
        <v>2</v>
      </c>
      <c r="C906" t="s">
        <v>132</v>
      </c>
      <c r="D906" t="s">
        <v>140</v>
      </c>
      <c r="E906" s="2">
        <v>44148.457291666666</v>
      </c>
      <c r="F906" s="2">
        <v>44148.47859953704</v>
      </c>
      <c r="G906" s="3">
        <v>2.1307870374585036E-2</v>
      </c>
      <c r="H906" s="3">
        <v>1852.2140450786712</v>
      </c>
      <c r="I906" s="3">
        <v>30.870234084644519</v>
      </c>
      <c r="J906" s="3">
        <v>0.51450390141074198</v>
      </c>
      <c r="K906" t="s">
        <v>40</v>
      </c>
    </row>
    <row r="907" spans="1:11" x14ac:dyDescent="0.35">
      <c r="A907">
        <v>906</v>
      </c>
      <c r="B907" t="s">
        <v>11</v>
      </c>
      <c r="C907" t="s">
        <v>11</v>
      </c>
      <c r="D907" t="s">
        <v>140</v>
      </c>
      <c r="E907" s="2">
        <v>44148.478668981479</v>
      </c>
      <c r="F907" s="2">
        <v>44148.488958333335</v>
      </c>
      <c r="G907" s="3">
        <v>1.0289351856044959E-2</v>
      </c>
      <c r="H907" s="3">
        <v>894.41514743088999</v>
      </c>
      <c r="I907" s="3">
        <v>14.906919123848166</v>
      </c>
      <c r="J907" s="3">
        <v>0.24844865206413611</v>
      </c>
    </row>
    <row r="908" spans="1:11" x14ac:dyDescent="0.35">
      <c r="A908">
        <v>907</v>
      </c>
      <c r="B908" t="s">
        <v>16</v>
      </c>
      <c r="C908" t="s">
        <v>16</v>
      </c>
      <c r="D908" t="s">
        <v>140</v>
      </c>
      <c r="E908" s="2">
        <v>44148.489062499997</v>
      </c>
      <c r="F908" s="2">
        <v>44148.511921296296</v>
      </c>
      <c r="G908" s="3">
        <v>2.2858796299260575E-2</v>
      </c>
      <c r="H908" s="3">
        <v>1987.0302763613156</v>
      </c>
      <c r="I908" s="3">
        <v>33.117171272688594</v>
      </c>
      <c r="J908" s="3">
        <v>0.55195285454480991</v>
      </c>
    </row>
    <row r="909" spans="1:11" x14ac:dyDescent="0.35">
      <c r="A909">
        <v>908</v>
      </c>
      <c r="B909" t="s">
        <v>2</v>
      </c>
      <c r="C909" t="s">
        <v>132</v>
      </c>
      <c r="D909" t="s">
        <v>140</v>
      </c>
      <c r="E909" s="2">
        <v>44148.512106481481</v>
      </c>
      <c r="F909" s="2">
        <v>44148.52484953704</v>
      </c>
      <c r="G909" s="3">
        <v>1.2743055558530614E-2</v>
      </c>
      <c r="H909" s="3">
        <v>1107.706498481451</v>
      </c>
      <c r="I909" s="3">
        <v>18.461774974690851</v>
      </c>
      <c r="J909" s="3">
        <v>0.30769624957818087</v>
      </c>
      <c r="K909" t="s">
        <v>40</v>
      </c>
    </row>
    <row r="910" spans="1:11" x14ac:dyDescent="0.35">
      <c r="A910">
        <v>909</v>
      </c>
      <c r="B910" t="s">
        <v>16</v>
      </c>
      <c r="C910" t="s">
        <v>16</v>
      </c>
      <c r="D910" t="s">
        <v>140</v>
      </c>
      <c r="E910" s="2">
        <v>44148.524988425925</v>
      </c>
      <c r="F910" s="2">
        <v>44148.530150462961</v>
      </c>
      <c r="G910" s="3">
        <v>5.1620370359160006E-3</v>
      </c>
      <c r="H910" s="3">
        <v>448.71671035431154</v>
      </c>
      <c r="I910" s="3">
        <v>7.4786118392385257</v>
      </c>
      <c r="J910" s="3">
        <v>0.12464353065397543</v>
      </c>
    </row>
    <row r="911" spans="1:11" x14ac:dyDescent="0.35">
      <c r="A911">
        <v>910</v>
      </c>
      <c r="B911" t="s">
        <v>2</v>
      </c>
      <c r="C911" t="s">
        <v>132</v>
      </c>
      <c r="D911" t="s">
        <v>140</v>
      </c>
      <c r="E911" s="2">
        <v>44148.530277777776</v>
      </c>
      <c r="F911" s="2">
        <v>44148.556273148148</v>
      </c>
      <c r="G911" s="3">
        <v>2.5995370371674653E-2</v>
      </c>
      <c r="H911" s="3">
        <v>2259.6810128368093</v>
      </c>
      <c r="I911" s="3">
        <v>37.661350213946818</v>
      </c>
      <c r="J911" s="3">
        <v>0.62768917023244697</v>
      </c>
      <c r="K911" t="s">
        <v>40</v>
      </c>
    </row>
    <row r="912" spans="1:11" x14ac:dyDescent="0.35">
      <c r="A912">
        <v>911</v>
      </c>
      <c r="B912" t="s">
        <v>11</v>
      </c>
      <c r="C912" t="s">
        <v>11</v>
      </c>
      <c r="D912" t="s">
        <v>140</v>
      </c>
      <c r="E912" s="2">
        <v>44148.556400462963</v>
      </c>
      <c r="F912" s="2">
        <v>44148.575740740744</v>
      </c>
      <c r="G912" s="3">
        <v>1.934027778042946E-2</v>
      </c>
      <c r="H912" s="3">
        <v>1681.1785275060379</v>
      </c>
      <c r="I912" s="3">
        <v>28.019642125100631</v>
      </c>
      <c r="J912" s="3">
        <v>0.46699403541834383</v>
      </c>
    </row>
    <row r="913" spans="1:11" x14ac:dyDescent="0.35">
      <c r="A913">
        <v>912</v>
      </c>
      <c r="B913" t="s">
        <v>2</v>
      </c>
      <c r="C913" t="s">
        <v>96</v>
      </c>
      <c r="D913" t="s">
        <v>140</v>
      </c>
      <c r="E913" s="2">
        <v>44148.57608796296</v>
      </c>
      <c r="F913" s="2">
        <v>44148.58289351852</v>
      </c>
      <c r="G913" s="3">
        <v>6.8055555602768436E-3</v>
      </c>
      <c r="H913" s="3">
        <v>591.58167248581742</v>
      </c>
      <c r="I913" s="3">
        <v>9.8596945414302901</v>
      </c>
      <c r="J913" s="3">
        <v>0.1643282423571715</v>
      </c>
    </row>
    <row r="914" spans="1:11" x14ac:dyDescent="0.35">
      <c r="A914">
        <v>913</v>
      </c>
      <c r="B914" t="s">
        <v>2</v>
      </c>
      <c r="C914" t="s">
        <v>96</v>
      </c>
      <c r="D914" t="s">
        <v>140</v>
      </c>
      <c r="E914" s="2">
        <v>44148.583090277774</v>
      </c>
      <c r="F914" s="2">
        <v>44148.605509259258</v>
      </c>
      <c r="G914" s="3">
        <v>2.2418981483497191E-2</v>
      </c>
      <c r="H914" s="3">
        <v>1948.7988076753468</v>
      </c>
      <c r="I914" s="3">
        <v>32.479980127922445</v>
      </c>
      <c r="J914" s="3">
        <v>0.54133300213204072</v>
      </c>
    </row>
    <row r="915" spans="1:11" x14ac:dyDescent="0.35">
      <c r="A915">
        <v>914</v>
      </c>
      <c r="B915" t="s">
        <v>11</v>
      </c>
      <c r="C915" t="s">
        <v>11</v>
      </c>
      <c r="D915" t="s">
        <v>140</v>
      </c>
      <c r="E915" s="2">
        <v>44148.60560185185</v>
      </c>
      <c r="F915" s="2">
        <v>44148.60974537037</v>
      </c>
      <c r="G915" s="3">
        <v>4.1435185194131918E-3</v>
      </c>
      <c r="H915" s="3">
        <v>360.18067797402568</v>
      </c>
      <c r="I915" s="3">
        <v>6.0030112995670946</v>
      </c>
      <c r="J915" s="3">
        <v>0.10005018832611824</v>
      </c>
    </row>
    <row r="916" spans="1:11" x14ac:dyDescent="0.35">
      <c r="A916">
        <v>915</v>
      </c>
      <c r="B916" t="s">
        <v>11</v>
      </c>
      <c r="C916" t="s">
        <v>11</v>
      </c>
      <c r="D916" t="s">
        <v>140</v>
      </c>
      <c r="E916" s="2">
        <v>44148.609814814816</v>
      </c>
      <c r="F916" s="2">
        <v>44148.617754629631</v>
      </c>
      <c r="G916" s="3">
        <v>7.9398148154723458E-3</v>
      </c>
      <c r="H916" s="3">
        <v>690.17861747847235</v>
      </c>
      <c r="I916" s="3">
        <v>11.502976957974539</v>
      </c>
      <c r="J916" s="3">
        <v>0.19171628263290899</v>
      </c>
    </row>
    <row r="917" spans="1:11" x14ac:dyDescent="0.35">
      <c r="A917">
        <v>916</v>
      </c>
      <c r="B917" t="s">
        <v>2</v>
      </c>
      <c r="C917" t="s">
        <v>96</v>
      </c>
      <c r="D917" t="s">
        <v>140</v>
      </c>
      <c r="E917" s="2">
        <v>44148.617974537039</v>
      </c>
      <c r="F917" s="2">
        <v>44148.628483796296</v>
      </c>
      <c r="G917" s="3">
        <v>1.0509259256650694E-2</v>
      </c>
      <c r="H917" s="3">
        <v>913.53088114140235</v>
      </c>
      <c r="I917" s="3">
        <v>15.225514685690039</v>
      </c>
      <c r="J917" s="3">
        <v>0.25375857809483399</v>
      </c>
    </row>
    <row r="918" spans="1:11" x14ac:dyDescent="0.35">
      <c r="A918">
        <v>917</v>
      </c>
      <c r="B918" t="s">
        <v>11</v>
      </c>
      <c r="C918" t="s">
        <v>11</v>
      </c>
      <c r="D918" t="s">
        <v>140</v>
      </c>
      <c r="E918" s="2">
        <v>44148.628576388888</v>
      </c>
      <c r="F918" s="2">
        <v>44148.629236111112</v>
      </c>
      <c r="G918" s="3">
        <v>6.5972222364507616E-4</v>
      </c>
      <c r="H918" s="3">
        <v>57.347203028953068</v>
      </c>
      <c r="I918" s="3">
        <v>0.95578671714921781</v>
      </c>
      <c r="J918" s="3">
        <v>1.592977861915363E-2</v>
      </c>
    </row>
    <row r="919" spans="1:11" x14ac:dyDescent="0.35">
      <c r="A919">
        <v>918</v>
      </c>
      <c r="B919" t="s">
        <v>2</v>
      </c>
      <c r="C919" t="s">
        <v>132</v>
      </c>
      <c r="D919" t="s">
        <v>140</v>
      </c>
      <c r="E919" s="2">
        <v>44148.62939814815</v>
      </c>
      <c r="F919" s="2">
        <v>44148.63244212963</v>
      </c>
      <c r="G919" s="3">
        <v>3.0439814800047316E-3</v>
      </c>
      <c r="H919" s="3">
        <v>264.60200625910392</v>
      </c>
      <c r="I919" s="3">
        <v>4.4100334376517321</v>
      </c>
      <c r="J919" s="3">
        <v>7.3500557294195537E-2</v>
      </c>
      <c r="K919" t="s">
        <v>41</v>
      </c>
    </row>
    <row r="920" spans="1:11" x14ac:dyDescent="0.35">
      <c r="A920">
        <v>919</v>
      </c>
      <c r="B920" t="s">
        <v>2</v>
      </c>
      <c r="C920" t="s">
        <v>132</v>
      </c>
      <c r="D920" t="s">
        <v>140</v>
      </c>
      <c r="E920" s="2">
        <v>44148.632557870369</v>
      </c>
      <c r="F920" s="2">
        <v>44148.641076388885</v>
      </c>
      <c r="G920" s="3">
        <v>8.5185185162117705E-3</v>
      </c>
      <c r="H920" s="3">
        <v>740.4831811727895</v>
      </c>
      <c r="I920" s="3">
        <v>12.341386352879825</v>
      </c>
      <c r="J920" s="3">
        <v>0.20568977254799709</v>
      </c>
      <c r="K920" t="s">
        <v>41</v>
      </c>
    </row>
    <row r="921" spans="1:11" x14ac:dyDescent="0.35">
      <c r="A921">
        <v>920</v>
      </c>
      <c r="B921" t="s">
        <v>2</v>
      </c>
      <c r="C921" t="s">
        <v>96</v>
      </c>
      <c r="D921" t="s">
        <v>140</v>
      </c>
      <c r="E921" s="2">
        <v>44148.641261574077</v>
      </c>
      <c r="F921" s="2">
        <v>44148.652928240743</v>
      </c>
      <c r="G921" s="3">
        <v>1.1666666665405501E-2</v>
      </c>
      <c r="H921" s="3">
        <v>1014.1400091625087</v>
      </c>
      <c r="I921" s="3">
        <v>16.902333486041812</v>
      </c>
      <c r="J921" s="3">
        <v>0.28170555810069686</v>
      </c>
    </row>
    <row r="922" spans="1:11" x14ac:dyDescent="0.35">
      <c r="A922">
        <v>921</v>
      </c>
      <c r="B922" t="s">
        <v>11</v>
      </c>
      <c r="C922" t="s">
        <v>11</v>
      </c>
      <c r="D922" t="s">
        <v>140</v>
      </c>
      <c r="E922" s="2">
        <v>44148.653043981481</v>
      </c>
      <c r="F922" s="2">
        <v>44148.671030092592</v>
      </c>
      <c r="G922" s="3">
        <v>1.7986111110076308E-2</v>
      </c>
      <c r="H922" s="3">
        <v>1563.4658475379265</v>
      </c>
      <c r="I922" s="3">
        <v>26.057764125632108</v>
      </c>
      <c r="J922" s="3">
        <v>0.43429606876053511</v>
      </c>
    </row>
    <row r="923" spans="1:11" x14ac:dyDescent="0.35">
      <c r="A923">
        <v>922</v>
      </c>
      <c r="B923" t="s">
        <v>11</v>
      </c>
      <c r="C923" t="s">
        <v>11</v>
      </c>
      <c r="D923" t="s">
        <v>140</v>
      </c>
      <c r="E923" s="2">
        <v>44148.68582175926</v>
      </c>
      <c r="F923" s="2">
        <v>44148.696458333332</v>
      </c>
      <c r="G923" s="3">
        <v>1.063657407212304E-2</v>
      </c>
      <c r="H923" s="3">
        <v>924.59788526799707</v>
      </c>
      <c r="I923" s="3">
        <v>15.409964754466618</v>
      </c>
      <c r="J923" s="3">
        <v>0.25683274590777694</v>
      </c>
    </row>
    <row r="924" spans="1:11" x14ac:dyDescent="0.35">
      <c r="A924">
        <v>923</v>
      </c>
      <c r="B924" t="s">
        <v>11</v>
      </c>
      <c r="C924" t="s">
        <v>11</v>
      </c>
      <c r="D924" t="s">
        <v>140</v>
      </c>
      <c r="E924" s="2">
        <v>44148.775266203702</v>
      </c>
      <c r="F924" s="2">
        <v>44148.929039351853</v>
      </c>
      <c r="G924" s="3">
        <v>0.153773148151231</v>
      </c>
      <c r="H924" s="3">
        <v>13366.92873359101</v>
      </c>
      <c r="I924" s="3">
        <v>222.78214555985016</v>
      </c>
      <c r="J924" s="3">
        <v>3.7130357593308361</v>
      </c>
    </row>
    <row r="925" spans="1:11" x14ac:dyDescent="0.35">
      <c r="A925">
        <v>924</v>
      </c>
      <c r="B925" t="s">
        <v>11</v>
      </c>
      <c r="C925" t="s">
        <v>11</v>
      </c>
      <c r="D925" t="s">
        <v>140</v>
      </c>
      <c r="E925" s="2">
        <v>44149.834004629629</v>
      </c>
      <c r="F925" s="2">
        <v>44149.916666666664</v>
      </c>
      <c r="G925" s="3">
        <v>8.2662037035333924E-2</v>
      </c>
      <c r="H925" s="3">
        <v>7185.5039147543403</v>
      </c>
      <c r="I925" s="3">
        <v>119.758398579239</v>
      </c>
      <c r="J925" s="3">
        <v>1.9959733096539833</v>
      </c>
    </row>
    <row r="926" spans="1:11" x14ac:dyDescent="0.35">
      <c r="A926">
        <v>925</v>
      </c>
      <c r="B926" t="s">
        <v>11</v>
      </c>
      <c r="C926" t="s">
        <v>11</v>
      </c>
      <c r="D926" t="s">
        <v>140</v>
      </c>
      <c r="E926" s="2">
        <v>44150.43949074074</v>
      </c>
      <c r="F926" s="2">
        <v>44150.666666666664</v>
      </c>
      <c r="G926" s="3">
        <v>0.22717592592380242</v>
      </c>
      <c r="H926" s="3">
        <v>19747.559624808975</v>
      </c>
      <c r="I926" s="3">
        <v>329.12599374681628</v>
      </c>
      <c r="J926" s="3">
        <v>5.485433229113605</v>
      </c>
    </row>
    <row r="927" spans="1:11" x14ac:dyDescent="0.35">
      <c r="A927">
        <v>926</v>
      </c>
      <c r="B927" t="s">
        <v>11</v>
      </c>
      <c r="C927" t="s">
        <v>11</v>
      </c>
      <c r="D927" t="s">
        <v>140</v>
      </c>
      <c r="E927" s="2">
        <v>44151.36173611111</v>
      </c>
      <c r="F927" s="2">
        <v>44151.377962962964</v>
      </c>
      <c r="G927" s="3">
        <v>1.6226851854298729E-2</v>
      </c>
      <c r="H927" s="3">
        <v>1410.5399734265236</v>
      </c>
      <c r="I927" s="3">
        <v>23.508999557108726</v>
      </c>
      <c r="J927" s="3">
        <v>0.39181665928514542</v>
      </c>
    </row>
    <row r="928" spans="1:11" x14ac:dyDescent="0.35">
      <c r="A928">
        <v>927</v>
      </c>
      <c r="B928" t="s">
        <v>2</v>
      </c>
      <c r="C928" t="s">
        <v>132</v>
      </c>
      <c r="D928" t="s">
        <v>140</v>
      </c>
      <c r="E928" s="2">
        <v>44151.378263888888</v>
      </c>
      <c r="F928" s="2">
        <v>44151.384085648147</v>
      </c>
      <c r="G928" s="3">
        <v>5.8217592595610768E-3</v>
      </c>
      <c r="H928" s="3">
        <v>506.06391338326466</v>
      </c>
      <c r="I928" s="3">
        <v>8.4343985563877446</v>
      </c>
      <c r="J928" s="3">
        <v>0.14057330927312908</v>
      </c>
      <c r="K928" t="s">
        <v>41</v>
      </c>
    </row>
    <row r="929" spans="1:11" x14ac:dyDescent="0.35">
      <c r="A929">
        <v>928</v>
      </c>
      <c r="B929" t="s">
        <v>2</v>
      </c>
      <c r="C929" t="s">
        <v>132</v>
      </c>
      <c r="D929" t="s">
        <v>140</v>
      </c>
      <c r="E929" s="2">
        <v>44151.384305555555</v>
      </c>
      <c r="F929" s="2">
        <v>44151.389918981484</v>
      </c>
      <c r="G929" s="3">
        <v>5.6134259284590371E-3</v>
      </c>
      <c r="H929" s="3">
        <v>487.95427055450597</v>
      </c>
      <c r="I929" s="3">
        <v>8.1325711759084331</v>
      </c>
      <c r="J929" s="3">
        <v>0.13554285293180721</v>
      </c>
      <c r="K929" t="s">
        <v>41</v>
      </c>
    </row>
    <row r="930" spans="1:11" x14ac:dyDescent="0.35">
      <c r="A930">
        <v>929</v>
      </c>
      <c r="B930" t="s">
        <v>11</v>
      </c>
      <c r="C930" t="s">
        <v>11</v>
      </c>
      <c r="D930" t="s">
        <v>140</v>
      </c>
      <c r="E930" s="2">
        <v>44151.390011574076</v>
      </c>
      <c r="F930" s="2">
        <v>44151.394421296296</v>
      </c>
      <c r="G930" s="3">
        <v>4.4097222198615782E-3</v>
      </c>
      <c r="H930" s="3">
        <v>383.32077710896885</v>
      </c>
      <c r="I930" s="3">
        <v>6.3886796184828141</v>
      </c>
      <c r="J930" s="3">
        <v>0.10647799364138023</v>
      </c>
    </row>
    <row r="931" spans="1:11" x14ac:dyDescent="0.35">
      <c r="A931">
        <v>930</v>
      </c>
      <c r="B931" t="s">
        <v>2</v>
      </c>
      <c r="C931" t="s">
        <v>132</v>
      </c>
      <c r="D931" t="s">
        <v>140</v>
      </c>
      <c r="E931" s="2">
        <v>44151.394745370373</v>
      </c>
      <c r="F931" s="2">
        <v>44151.422199074077</v>
      </c>
      <c r="G931" s="3">
        <v>2.7453703703940846E-2</v>
      </c>
      <c r="H931" s="3">
        <v>2386.4485139030635</v>
      </c>
      <c r="I931" s="3">
        <v>39.774141898384393</v>
      </c>
      <c r="J931" s="3">
        <v>0.6629023649730732</v>
      </c>
      <c r="K931" t="s">
        <v>41</v>
      </c>
    </row>
    <row r="932" spans="1:11" x14ac:dyDescent="0.35">
      <c r="A932">
        <v>931</v>
      </c>
      <c r="B932" t="s">
        <v>11</v>
      </c>
      <c r="C932" t="s">
        <v>11</v>
      </c>
      <c r="D932" t="s">
        <v>140</v>
      </c>
      <c r="E932" s="2">
        <v>44151.422372685185</v>
      </c>
      <c r="F932" s="2">
        <v>44151.425347222219</v>
      </c>
      <c r="G932" s="3">
        <v>2.9745370338787325E-3</v>
      </c>
      <c r="H932" s="3">
        <v>258.56545843869372</v>
      </c>
      <c r="I932" s="3">
        <v>4.3094243073115619</v>
      </c>
      <c r="J932" s="3">
        <v>7.1823738455192701E-2</v>
      </c>
    </row>
    <row r="933" spans="1:11" x14ac:dyDescent="0.35">
      <c r="A933">
        <v>932</v>
      </c>
      <c r="B933" t="s">
        <v>16</v>
      </c>
      <c r="C933" t="s">
        <v>16</v>
      </c>
      <c r="D933" t="s">
        <v>140</v>
      </c>
      <c r="E933" s="2">
        <v>44151.425439814811</v>
      </c>
      <c r="F933" s="2">
        <v>44151.436932870369</v>
      </c>
      <c r="G933" s="3">
        <v>1.1493055557366461E-2</v>
      </c>
      <c r="H933" s="3">
        <v>999.04864024395511</v>
      </c>
      <c r="I933" s="3">
        <v>16.650810670732586</v>
      </c>
      <c r="J933" s="3">
        <v>0.2775135111788764</v>
      </c>
    </row>
    <row r="934" spans="1:11" x14ac:dyDescent="0.35">
      <c r="A934">
        <v>933</v>
      </c>
      <c r="B934" t="s">
        <v>2</v>
      </c>
      <c r="C934" t="s">
        <v>96</v>
      </c>
      <c r="D934" t="s">
        <v>140</v>
      </c>
      <c r="E934" s="2">
        <v>44151.437928240739</v>
      </c>
      <c r="F934" s="2">
        <v>44151.440474537034</v>
      </c>
      <c r="G934" s="3">
        <v>2.5462962948950008E-3</v>
      </c>
      <c r="H934" s="3">
        <v>221.34008126695068</v>
      </c>
      <c r="I934" s="3">
        <v>3.6890013544491778</v>
      </c>
      <c r="J934" s="3">
        <v>6.1483355907486298E-2</v>
      </c>
    </row>
    <row r="935" spans="1:11" x14ac:dyDescent="0.35">
      <c r="A935">
        <v>934</v>
      </c>
      <c r="B935" t="s">
        <v>2</v>
      </c>
      <c r="C935" t="s">
        <v>96</v>
      </c>
      <c r="D935" t="s">
        <v>140</v>
      </c>
      <c r="E935" s="2">
        <v>44151.440659722219</v>
      </c>
      <c r="F935" s="2">
        <v>44151.453900462962</v>
      </c>
      <c r="G935" s="3">
        <v>1.3240740743640345E-2</v>
      </c>
      <c r="H935" s="3">
        <v>1150.9684234736044</v>
      </c>
      <c r="I935" s="3">
        <v>19.182807057893406</v>
      </c>
      <c r="J935" s="3">
        <v>0.31971345096489012</v>
      </c>
    </row>
    <row r="936" spans="1:11" x14ac:dyDescent="0.35">
      <c r="A936">
        <v>935</v>
      </c>
      <c r="B936" t="s">
        <v>2</v>
      </c>
      <c r="C936" t="s">
        <v>96</v>
      </c>
      <c r="D936" t="s">
        <v>140</v>
      </c>
      <c r="E936" s="2">
        <v>44151.45412037037</v>
      </c>
      <c r="F936" s="2">
        <v>44151.45957175926</v>
      </c>
      <c r="G936" s="3">
        <v>5.4513888899236917E-3</v>
      </c>
      <c r="H936" s="3">
        <v>473.86899251770615</v>
      </c>
      <c r="I936" s="3">
        <v>7.8978165419617694</v>
      </c>
      <c r="J936" s="3">
        <v>0.13163027569936284</v>
      </c>
    </row>
    <row r="937" spans="1:11" x14ac:dyDescent="0.35">
      <c r="A937">
        <v>936</v>
      </c>
      <c r="B937" t="s">
        <v>2</v>
      </c>
      <c r="C937" t="s">
        <v>96</v>
      </c>
      <c r="D937" t="s">
        <v>140</v>
      </c>
      <c r="E937" s="2">
        <v>44151.459872685184</v>
      </c>
      <c r="F937" s="2">
        <v>44151.464398148149</v>
      </c>
      <c r="G937" s="3">
        <v>4.5254629658302292E-3</v>
      </c>
      <c r="H937" s="3">
        <v>393.38169035380992</v>
      </c>
      <c r="I937" s="3">
        <v>6.5563615058968319</v>
      </c>
      <c r="J937" s="3">
        <v>0.10927269176494719</v>
      </c>
    </row>
    <row r="938" spans="1:11" x14ac:dyDescent="0.35">
      <c r="A938">
        <v>937</v>
      </c>
      <c r="B938" t="s">
        <v>16</v>
      </c>
      <c r="C938" t="s">
        <v>16</v>
      </c>
      <c r="D938" t="s">
        <v>140</v>
      </c>
      <c r="E938" s="2">
        <v>44151.464490740742</v>
      </c>
      <c r="F938" s="2">
        <v>44151.488298611112</v>
      </c>
      <c r="G938" s="3">
        <v>2.3807870369637385E-2</v>
      </c>
      <c r="H938" s="3">
        <v>2069.5297609211912</v>
      </c>
      <c r="I938" s="3">
        <v>34.492162682019853</v>
      </c>
      <c r="J938" s="3">
        <v>0.57486937803366422</v>
      </c>
    </row>
    <row r="939" spans="1:11" x14ac:dyDescent="0.35">
      <c r="A939">
        <v>938</v>
      </c>
      <c r="B939" t="s">
        <v>2</v>
      </c>
      <c r="C939" t="s">
        <v>96</v>
      </c>
      <c r="D939" t="s">
        <v>140</v>
      </c>
      <c r="E939" s="2">
        <v>44151.488495370373</v>
      </c>
      <c r="F939" s="2">
        <v>44151.518391203703</v>
      </c>
      <c r="G939" s="3">
        <v>2.9895833329646848E-2</v>
      </c>
      <c r="H939" s="3">
        <v>2598.7337734393991</v>
      </c>
      <c r="I939" s="3">
        <v>43.31222955732332</v>
      </c>
      <c r="J939" s="3">
        <v>0.72187049262205538</v>
      </c>
    </row>
    <row r="940" spans="1:11" x14ac:dyDescent="0.35">
      <c r="A940">
        <v>939</v>
      </c>
      <c r="B940" t="s">
        <v>2</v>
      </c>
      <c r="C940" t="s">
        <v>132</v>
      </c>
      <c r="D940" t="s">
        <v>140</v>
      </c>
      <c r="E940" s="2">
        <v>44151.518761574072</v>
      </c>
      <c r="F940" s="2">
        <v>44151.526145833333</v>
      </c>
      <c r="G940" s="3">
        <v>7.3842592610162683E-3</v>
      </c>
      <c r="H940" s="3">
        <v>641.88623618013457</v>
      </c>
      <c r="I940" s="3">
        <v>10.698103936335576</v>
      </c>
      <c r="J940" s="3">
        <v>0.17830173227225959</v>
      </c>
      <c r="K940" t="s">
        <v>40</v>
      </c>
    </row>
    <row r="941" spans="1:11" x14ac:dyDescent="0.35">
      <c r="A941">
        <v>940</v>
      </c>
      <c r="B941" t="s">
        <v>11</v>
      </c>
      <c r="C941" t="s">
        <v>11</v>
      </c>
      <c r="D941" t="s">
        <v>140</v>
      </c>
      <c r="E941" s="2">
        <v>44151.526435185187</v>
      </c>
      <c r="F941" s="2">
        <v>44151.553483796299</v>
      </c>
      <c r="G941" s="3">
        <v>2.7048611111240461E-2</v>
      </c>
      <c r="H941" s="3">
        <v>2351.2353191273</v>
      </c>
      <c r="I941" s="3">
        <v>39.187255318788331</v>
      </c>
      <c r="J941" s="3">
        <v>0.65312092197980554</v>
      </c>
    </row>
    <row r="942" spans="1:11" x14ac:dyDescent="0.35">
      <c r="A942">
        <v>941</v>
      </c>
      <c r="B942" t="s">
        <v>2</v>
      </c>
      <c r="C942" t="s">
        <v>132</v>
      </c>
      <c r="D942" t="s">
        <v>140</v>
      </c>
      <c r="E942" s="2">
        <v>44151.553668981483</v>
      </c>
      <c r="F942" s="2">
        <v>44151.554560185185</v>
      </c>
      <c r="G942" s="3">
        <v>8.9120370103046298E-4</v>
      </c>
      <c r="H942" s="3">
        <v>77.46902825369115</v>
      </c>
      <c r="I942" s="3">
        <v>1.2911504708948525</v>
      </c>
      <c r="J942" s="3">
        <v>2.1519174514914207E-2</v>
      </c>
      <c r="K942" t="s">
        <v>42</v>
      </c>
    </row>
    <row r="943" spans="1:11" x14ac:dyDescent="0.35">
      <c r="A943">
        <v>942</v>
      </c>
      <c r="B943" t="s">
        <v>2</v>
      </c>
      <c r="C943" t="s">
        <v>96</v>
      </c>
      <c r="D943" t="s">
        <v>140</v>
      </c>
      <c r="E943" s="2">
        <v>44151.554849537039</v>
      </c>
      <c r="F943" s="2">
        <v>44151.575578703705</v>
      </c>
      <c r="G943" s="3">
        <v>2.0729166666569654E-2</v>
      </c>
      <c r="H943" s="3">
        <v>1801.9094807518823</v>
      </c>
      <c r="I943" s="3">
        <v>30.031824679198039</v>
      </c>
      <c r="J943" s="3">
        <v>0.50053041131996734</v>
      </c>
    </row>
    <row r="944" spans="1:11" x14ac:dyDescent="0.35">
      <c r="A944">
        <v>943</v>
      </c>
      <c r="B944" t="s">
        <v>16</v>
      </c>
      <c r="C944" t="s">
        <v>16</v>
      </c>
      <c r="D944" t="s">
        <v>140</v>
      </c>
      <c r="E944" s="2">
        <v>44151.575682870367</v>
      </c>
      <c r="F944" s="2">
        <v>44151.576585648145</v>
      </c>
      <c r="G944" s="3">
        <v>9.0277777781011537E-4</v>
      </c>
      <c r="H944" s="3">
        <v>78.475119767916837</v>
      </c>
      <c r="I944" s="3">
        <v>1.3079186627986139</v>
      </c>
      <c r="J944" s="3">
        <v>2.17986443799769E-2</v>
      </c>
    </row>
    <row r="945" spans="1:11" x14ac:dyDescent="0.35">
      <c r="A945">
        <v>944</v>
      </c>
      <c r="B945" t="s">
        <v>2</v>
      </c>
      <c r="C945" t="s">
        <v>96</v>
      </c>
      <c r="D945" t="s">
        <v>140</v>
      </c>
      <c r="E945" s="2">
        <v>44151.576886574076</v>
      </c>
      <c r="F945" s="2">
        <v>44151.588518518518</v>
      </c>
      <c r="G945" s="3">
        <v>1.1631944442342501E-2</v>
      </c>
      <c r="H945" s="3">
        <v>1011.1217352523036</v>
      </c>
      <c r="I945" s="3">
        <v>16.852028920871724</v>
      </c>
      <c r="J945" s="3">
        <v>0.28086714868119539</v>
      </c>
    </row>
    <row r="946" spans="1:11" x14ac:dyDescent="0.35">
      <c r="A946">
        <v>945</v>
      </c>
      <c r="B946" t="s">
        <v>2</v>
      </c>
      <c r="C946" t="s">
        <v>96</v>
      </c>
      <c r="D946" t="s">
        <v>140</v>
      </c>
      <c r="E946" s="2">
        <v>44151.588703703703</v>
      </c>
      <c r="F946" s="2">
        <v>44151.592905092592</v>
      </c>
      <c r="G946" s="3">
        <v>4.2013888887595385E-3</v>
      </c>
      <c r="H946" s="3">
        <v>365.21113428021022</v>
      </c>
      <c r="I946" s="3">
        <v>6.0868522380035035</v>
      </c>
      <c r="J946" s="3">
        <v>0.10144753730005839</v>
      </c>
    </row>
    <row r="947" spans="1:11" x14ac:dyDescent="0.35">
      <c r="A947">
        <v>946</v>
      </c>
      <c r="B947" t="s">
        <v>16</v>
      </c>
      <c r="C947" t="s">
        <v>16</v>
      </c>
      <c r="D947" t="s">
        <v>140</v>
      </c>
      <c r="E947" s="2">
        <v>44151.593043981484</v>
      </c>
      <c r="F947" s="2">
        <v>44151.618877314817</v>
      </c>
      <c r="G947" s="3">
        <v>2.5833333333139308E-2</v>
      </c>
      <c r="H947" s="3">
        <v>2245.5957348000093</v>
      </c>
      <c r="I947" s="3">
        <v>37.426595580000154</v>
      </c>
      <c r="J947" s="3">
        <v>0.62377659300000254</v>
      </c>
    </row>
    <row r="948" spans="1:11" x14ac:dyDescent="0.35">
      <c r="A948">
        <v>947</v>
      </c>
      <c r="B948" t="s">
        <v>11</v>
      </c>
      <c r="C948" t="s">
        <v>11</v>
      </c>
      <c r="D948" t="s">
        <v>140</v>
      </c>
      <c r="E948" s="2">
        <v>44151.619016203702</v>
      </c>
      <c r="F948" s="2">
        <v>44151.625787037039</v>
      </c>
      <c r="G948" s="3">
        <v>6.7708333372138441E-3</v>
      </c>
      <c r="H948" s="3">
        <v>588.56339857561227</v>
      </c>
      <c r="I948" s="3">
        <v>9.8093899762602046</v>
      </c>
      <c r="J948" s="3">
        <v>0.16348983293767008</v>
      </c>
    </row>
    <row r="949" spans="1:11" x14ac:dyDescent="0.35">
      <c r="A949">
        <v>948</v>
      </c>
      <c r="B949" t="s">
        <v>2</v>
      </c>
      <c r="C949" t="s">
        <v>96</v>
      </c>
      <c r="D949" t="s">
        <v>140</v>
      </c>
      <c r="E949" s="2">
        <v>44151.625972222224</v>
      </c>
      <c r="F949" s="2">
        <v>44151.633900462963</v>
      </c>
      <c r="G949" s="3">
        <v>7.9282407386926934E-3</v>
      </c>
      <c r="H949" s="3">
        <v>689.17252596424657</v>
      </c>
      <c r="I949" s="3">
        <v>11.486208766070776</v>
      </c>
      <c r="J949" s="3">
        <v>0.19143681276784627</v>
      </c>
    </row>
    <row r="950" spans="1:11" x14ac:dyDescent="0.35">
      <c r="A950">
        <v>949</v>
      </c>
      <c r="B950" t="s">
        <v>2</v>
      </c>
      <c r="C950" t="s">
        <v>96</v>
      </c>
      <c r="D950" t="s">
        <v>140</v>
      </c>
      <c r="E950" s="2">
        <v>44151.634050925924</v>
      </c>
      <c r="F950" s="2">
        <v>44151.688726851855</v>
      </c>
      <c r="G950" s="3">
        <v>5.4675925930496305E-2</v>
      </c>
      <c r="H950" s="3">
        <v>4752.7752025813888</v>
      </c>
      <c r="I950" s="3">
        <v>79.212920043023146</v>
      </c>
      <c r="J950" s="3">
        <v>1.3202153340503857</v>
      </c>
    </row>
    <row r="951" spans="1:11" x14ac:dyDescent="0.35">
      <c r="A951">
        <v>950</v>
      </c>
      <c r="B951" t="s">
        <v>11</v>
      </c>
      <c r="C951" t="s">
        <v>11</v>
      </c>
      <c r="D951" t="s">
        <v>140</v>
      </c>
      <c r="E951" s="2">
        <v>44151.688923611109</v>
      </c>
      <c r="F951" s="2">
        <v>44151.713530092595</v>
      </c>
      <c r="G951" s="3">
        <v>2.4606481485534459E-2</v>
      </c>
      <c r="H951" s="3">
        <v>2138.9500595909649</v>
      </c>
      <c r="I951" s="3">
        <v>35.649167659849418</v>
      </c>
      <c r="J951" s="3">
        <v>0.59415279433082369</v>
      </c>
    </row>
    <row r="952" spans="1:11" x14ac:dyDescent="0.35">
      <c r="A952">
        <v>951</v>
      </c>
      <c r="B952" t="s">
        <v>11</v>
      </c>
      <c r="C952" t="s">
        <v>11</v>
      </c>
      <c r="D952" t="s">
        <v>140</v>
      </c>
      <c r="E952" s="2">
        <v>44151.717222222222</v>
      </c>
      <c r="F952" s="2">
        <v>44151.737199074072</v>
      </c>
      <c r="G952" s="3">
        <v>1.9976851850515231E-2</v>
      </c>
      <c r="H952" s="3">
        <v>1736.5135475065395</v>
      </c>
      <c r="I952" s="3">
        <v>28.941892458442325</v>
      </c>
      <c r="J952" s="3">
        <v>0.48236487430737207</v>
      </c>
    </row>
    <row r="953" spans="1:11" x14ac:dyDescent="0.35">
      <c r="A953">
        <v>952</v>
      </c>
      <c r="B953" t="s">
        <v>11</v>
      </c>
      <c r="C953" t="s">
        <v>11</v>
      </c>
      <c r="D953" t="s">
        <v>140</v>
      </c>
      <c r="E953" s="2">
        <v>44151.742384259262</v>
      </c>
      <c r="F953" s="2">
        <v>44151.790393518517</v>
      </c>
      <c r="G953" s="3">
        <v>4.8009259255195502E-2</v>
      </c>
      <c r="H953" s="3">
        <v>4173.26662510392</v>
      </c>
      <c r="I953" s="3">
        <v>69.554443751731995</v>
      </c>
      <c r="J953" s="3">
        <v>1.1592407291955333</v>
      </c>
    </row>
    <row r="954" spans="1:11" x14ac:dyDescent="0.35">
      <c r="A954">
        <v>953</v>
      </c>
      <c r="B954" t="s">
        <v>11</v>
      </c>
      <c r="C954" t="s">
        <v>11</v>
      </c>
      <c r="D954" t="s">
        <v>140</v>
      </c>
      <c r="E954" s="2">
        <v>44152.316840277781</v>
      </c>
      <c r="F954" s="2">
        <v>44152.330717592595</v>
      </c>
      <c r="G954" s="3">
        <v>1.3877314813726116E-2</v>
      </c>
      <c r="H954" s="3">
        <v>1206.303443474106</v>
      </c>
      <c r="I954" s="3">
        <v>20.1050573912351</v>
      </c>
      <c r="J954" s="3">
        <v>0.3350842898539183</v>
      </c>
    </row>
    <row r="955" spans="1:11" x14ac:dyDescent="0.35">
      <c r="A955">
        <v>954</v>
      </c>
      <c r="B955" t="s">
        <v>2</v>
      </c>
      <c r="C955" t="s">
        <v>132</v>
      </c>
      <c r="D955" t="s">
        <v>140</v>
      </c>
      <c r="E955" s="2">
        <v>44152.331087962964</v>
      </c>
      <c r="F955" s="2">
        <v>44152.340949074074</v>
      </c>
      <c r="G955" s="3">
        <v>9.8611111097852699E-3</v>
      </c>
      <c r="H955" s="3">
        <v>857.189769626675</v>
      </c>
      <c r="I955" s="3">
        <v>14.286496160444583</v>
      </c>
      <c r="J955" s="3">
        <v>0.23810826934074306</v>
      </c>
      <c r="K955" t="s">
        <v>40</v>
      </c>
    </row>
    <row r="956" spans="1:11" x14ac:dyDescent="0.35">
      <c r="A956">
        <v>955</v>
      </c>
      <c r="B956" t="s">
        <v>2</v>
      </c>
      <c r="C956" t="s">
        <v>72</v>
      </c>
      <c r="D956" t="s">
        <v>140</v>
      </c>
      <c r="E956" s="2">
        <v>44152.341481481482</v>
      </c>
      <c r="F956" s="2">
        <v>44152.351331018515</v>
      </c>
      <c r="G956" s="3">
        <v>9.8495370330056176E-3</v>
      </c>
      <c r="H956" s="3">
        <v>856.18367811244934</v>
      </c>
      <c r="I956" s="3">
        <v>14.269727968540822</v>
      </c>
      <c r="J956" s="3">
        <v>0.23782879947568036</v>
      </c>
      <c r="K956" t="s">
        <v>73</v>
      </c>
    </row>
    <row r="957" spans="1:11" x14ac:dyDescent="0.35">
      <c r="A957">
        <v>956</v>
      </c>
      <c r="B957" t="s">
        <v>2</v>
      </c>
      <c r="C957" t="s">
        <v>72</v>
      </c>
      <c r="D957" t="s">
        <v>140</v>
      </c>
      <c r="E957" s="2">
        <v>44152.351458333331</v>
      </c>
      <c r="F957" s="2">
        <v>44152.372199074074</v>
      </c>
      <c r="G957" s="3">
        <v>2.0740740743349306E-2</v>
      </c>
      <c r="H957" s="3">
        <v>1802.9155722661078</v>
      </c>
      <c r="I957" s="3">
        <v>30.048592871101796</v>
      </c>
      <c r="J957" s="3">
        <v>0.50080988118502989</v>
      </c>
      <c r="K957" t="s">
        <v>73</v>
      </c>
    </row>
    <row r="958" spans="1:11" x14ac:dyDescent="0.35">
      <c r="A958">
        <v>957</v>
      </c>
      <c r="B958" t="s">
        <v>2</v>
      </c>
      <c r="C958" t="s">
        <v>96</v>
      </c>
      <c r="D958" t="s">
        <v>140</v>
      </c>
      <c r="E958" s="2">
        <v>44152.372430555559</v>
      </c>
      <c r="F958" s="2">
        <v>44152.376597222225</v>
      </c>
      <c r="G958" s="3">
        <v>4.166666665696539E-3</v>
      </c>
      <c r="H958" s="3">
        <v>362.19286037000512</v>
      </c>
      <c r="I958" s="3">
        <v>6.0365476728334189</v>
      </c>
      <c r="J958" s="3">
        <v>0.10060912788055698</v>
      </c>
    </row>
    <row r="959" spans="1:11" x14ac:dyDescent="0.35">
      <c r="A959">
        <v>958</v>
      </c>
      <c r="B959" t="s">
        <v>2</v>
      </c>
      <c r="C959" t="s">
        <v>72</v>
      </c>
      <c r="D959" t="s">
        <v>140</v>
      </c>
      <c r="E959" s="2">
        <v>44152.376840277779</v>
      </c>
      <c r="F959" s="2">
        <v>44152.409004629626</v>
      </c>
      <c r="G959" s="3">
        <v>3.216435184731381E-2</v>
      </c>
      <c r="H959" s="3">
        <v>2795.9276640571807</v>
      </c>
      <c r="I959" s="3">
        <v>46.598794400953011</v>
      </c>
      <c r="J959" s="3">
        <v>0.77664657334921683</v>
      </c>
      <c r="K959" t="s">
        <v>73</v>
      </c>
    </row>
    <row r="960" spans="1:11" x14ac:dyDescent="0.35">
      <c r="A960">
        <v>959</v>
      </c>
      <c r="B960" t="s">
        <v>2</v>
      </c>
      <c r="C960" t="s">
        <v>96</v>
      </c>
      <c r="D960" t="s">
        <v>140</v>
      </c>
      <c r="E960" s="2">
        <v>44152.409305555557</v>
      </c>
      <c r="F960" s="2">
        <v>44152.455555555556</v>
      </c>
      <c r="G960" s="3">
        <v>4.6249999999417923E-2</v>
      </c>
      <c r="H960" s="3">
        <v>4020.3407509925173</v>
      </c>
      <c r="I960" s="3">
        <v>67.005679183208628</v>
      </c>
      <c r="J960" s="3">
        <v>1.1167613197201438</v>
      </c>
    </row>
    <row r="961" spans="1:11" x14ac:dyDescent="0.35">
      <c r="A961">
        <v>960</v>
      </c>
      <c r="B961" t="s">
        <v>16</v>
      </c>
      <c r="C961" t="s">
        <v>16</v>
      </c>
      <c r="D961" t="s">
        <v>140</v>
      </c>
      <c r="E961" s="2">
        <v>44152.455694444441</v>
      </c>
      <c r="F961" s="2">
        <v>44152.456250000003</v>
      </c>
      <c r="G961" s="3">
        <v>5.5555556173203513E-4</v>
      </c>
      <c r="H961" s="3">
        <v>48.292381930809725</v>
      </c>
      <c r="I961" s="3">
        <v>0.80487303218016204</v>
      </c>
      <c r="J961" s="3">
        <v>1.3414550536336034E-2</v>
      </c>
    </row>
    <row r="962" spans="1:11" x14ac:dyDescent="0.35">
      <c r="A962">
        <v>961</v>
      </c>
      <c r="B962" t="s">
        <v>2</v>
      </c>
      <c r="C962" t="s">
        <v>72</v>
      </c>
      <c r="D962" t="s">
        <v>140</v>
      </c>
      <c r="E962" s="2">
        <v>44152.456377314818</v>
      </c>
      <c r="F962" s="2">
        <v>44152.476770833331</v>
      </c>
      <c r="G962" s="3">
        <v>2.0393518512719311E-2</v>
      </c>
      <c r="H962" s="3">
        <v>1772.7328331640567</v>
      </c>
      <c r="I962" s="3">
        <v>29.545547219400945</v>
      </c>
      <c r="J962" s="3">
        <v>0.49242578699001577</v>
      </c>
      <c r="K962" t="s">
        <v>73</v>
      </c>
    </row>
    <row r="963" spans="1:11" x14ac:dyDescent="0.35">
      <c r="A963">
        <v>962</v>
      </c>
      <c r="B963" t="s">
        <v>2</v>
      </c>
      <c r="C963" t="s">
        <v>132</v>
      </c>
      <c r="D963" t="s">
        <v>140</v>
      </c>
      <c r="E963" s="2">
        <v>44152.476979166669</v>
      </c>
      <c r="F963" s="2">
        <v>44152.488055555557</v>
      </c>
      <c r="G963" s="3">
        <v>1.1076388887886424E-2</v>
      </c>
      <c r="H963" s="3">
        <v>962.82935395396589</v>
      </c>
      <c r="I963" s="3">
        <v>16.047155899232767</v>
      </c>
      <c r="J963" s="3">
        <v>0.26745259832054613</v>
      </c>
      <c r="K963" t="s">
        <v>42</v>
      </c>
    </row>
    <row r="964" spans="1:11" x14ac:dyDescent="0.35">
      <c r="A964">
        <v>963</v>
      </c>
      <c r="B964" t="s">
        <v>16</v>
      </c>
      <c r="C964" t="s">
        <v>16</v>
      </c>
      <c r="D964" t="s">
        <v>140</v>
      </c>
      <c r="E964" s="2">
        <v>44152.488159722219</v>
      </c>
      <c r="F964" s="2">
        <v>44152.526284722226</v>
      </c>
      <c r="G964" s="3">
        <v>3.8125000006402843E-2</v>
      </c>
      <c r="H964" s="3">
        <v>3314.0646737137381</v>
      </c>
      <c r="I964" s="3">
        <v>55.234411228562301</v>
      </c>
      <c r="J964" s="3">
        <v>0.92057352047603835</v>
      </c>
    </row>
    <row r="965" spans="1:11" x14ac:dyDescent="0.35">
      <c r="A965">
        <v>964</v>
      </c>
      <c r="B965" t="s">
        <v>11</v>
      </c>
      <c r="C965" t="s">
        <v>11</v>
      </c>
      <c r="D965" t="s">
        <v>140</v>
      </c>
      <c r="E965" s="2">
        <v>44152.526388888888</v>
      </c>
      <c r="F965" s="2">
        <v>44152.527141203704</v>
      </c>
      <c r="G965" s="3">
        <v>7.5231481605442241E-4</v>
      </c>
      <c r="H965" s="3">
        <v>65.39593324534269</v>
      </c>
      <c r="I965" s="3">
        <v>1.0899322207557114</v>
      </c>
      <c r="J965" s="3">
        <v>1.8165537012595191E-2</v>
      </c>
    </row>
    <row r="966" spans="1:11" x14ac:dyDescent="0.35">
      <c r="A966">
        <v>965</v>
      </c>
      <c r="B966" t="s">
        <v>2</v>
      </c>
      <c r="C966" t="s">
        <v>96</v>
      </c>
      <c r="D966" t="s">
        <v>140</v>
      </c>
      <c r="E966" s="2">
        <v>44152.527488425927</v>
      </c>
      <c r="F966" s="2">
        <v>44152.52820601852</v>
      </c>
      <c r="G966" s="3">
        <v>7.1759259299142286E-4</v>
      </c>
      <c r="H966" s="3">
        <v>62.377659335137587</v>
      </c>
      <c r="I966" s="3">
        <v>1.0396276555856265</v>
      </c>
      <c r="J966" s="3">
        <v>1.7327127593093777E-2</v>
      </c>
    </row>
    <row r="967" spans="1:11" x14ac:dyDescent="0.35">
      <c r="A967">
        <v>966</v>
      </c>
      <c r="B967" t="s">
        <v>2</v>
      </c>
      <c r="C967" t="s">
        <v>96</v>
      </c>
      <c r="D967" t="s">
        <v>140</v>
      </c>
      <c r="E967" s="2">
        <v>44152.528402777774</v>
      </c>
      <c r="F967" s="2">
        <v>44152.540405092594</v>
      </c>
      <c r="G967" s="3">
        <v>1.2002314819255844E-2</v>
      </c>
      <c r="H967" s="3">
        <v>1043.316656750334</v>
      </c>
      <c r="I967" s="3">
        <v>17.388610945838899</v>
      </c>
      <c r="J967" s="3">
        <v>0.28981018243064832</v>
      </c>
    </row>
    <row r="968" spans="1:11" x14ac:dyDescent="0.35">
      <c r="A968">
        <v>967</v>
      </c>
      <c r="B968" t="s">
        <v>2</v>
      </c>
      <c r="C968" t="s">
        <v>96</v>
      </c>
      <c r="D968" t="s">
        <v>140</v>
      </c>
      <c r="E968" s="2">
        <v>44152.540532407409</v>
      </c>
      <c r="F968" s="2">
        <v>44152.56355324074</v>
      </c>
      <c r="G968" s="3">
        <v>2.3020833330519963E-2</v>
      </c>
      <c r="H968" s="3">
        <v>2001.1155537656434</v>
      </c>
      <c r="I968" s="3">
        <v>33.351925896094059</v>
      </c>
      <c r="J968" s="3">
        <v>0.55586543160156765</v>
      </c>
    </row>
    <row r="969" spans="1:11" x14ac:dyDescent="0.35">
      <c r="A969">
        <v>968</v>
      </c>
      <c r="B969" t="s">
        <v>2</v>
      </c>
      <c r="C969" t="s">
        <v>96</v>
      </c>
      <c r="D969" t="s">
        <v>140</v>
      </c>
      <c r="E969" s="2">
        <v>44152.563738425924</v>
      </c>
      <c r="F969" s="2">
        <v>44152.620763888888</v>
      </c>
      <c r="G969" s="3">
        <v>5.7025462963792961E-2</v>
      </c>
      <c r="H969" s="3">
        <v>4957.0117319013352</v>
      </c>
      <c r="I969" s="3">
        <v>82.616862198355591</v>
      </c>
      <c r="J969" s="3">
        <v>1.3769477033059265</v>
      </c>
    </row>
    <row r="970" spans="1:11" x14ac:dyDescent="0.35">
      <c r="A970">
        <v>969</v>
      </c>
      <c r="B970" t="s">
        <v>2</v>
      </c>
      <c r="C970" t="s">
        <v>96</v>
      </c>
      <c r="D970" t="s">
        <v>140</v>
      </c>
      <c r="E970" s="2">
        <v>44152.620925925927</v>
      </c>
      <c r="F970" s="2">
        <v>44152.649687500001</v>
      </c>
      <c r="G970" s="3">
        <v>2.8761574074451346E-2</v>
      </c>
      <c r="H970" s="3">
        <v>2500.1368284467439</v>
      </c>
      <c r="I970" s="3">
        <v>41.668947140779068</v>
      </c>
      <c r="J970" s="3">
        <v>0.69448245234631778</v>
      </c>
    </row>
    <row r="971" spans="1:11" x14ac:dyDescent="0.35">
      <c r="A971">
        <v>970</v>
      </c>
      <c r="B971" t="s">
        <v>16</v>
      </c>
      <c r="C971" t="s">
        <v>16</v>
      </c>
      <c r="D971" t="s">
        <v>140</v>
      </c>
      <c r="E971" s="2">
        <v>44152.649791666663</v>
      </c>
      <c r="F971" s="2">
        <v>44152.656365740739</v>
      </c>
      <c r="G971" s="3">
        <v>6.5740740756154992E-3</v>
      </c>
      <c r="H971" s="3">
        <v>571.45984662860735</v>
      </c>
      <c r="I971" s="3">
        <v>9.5243307771434562</v>
      </c>
      <c r="J971" s="3">
        <v>0.15873884628572427</v>
      </c>
    </row>
    <row r="972" spans="1:11" x14ac:dyDescent="0.35">
      <c r="A972">
        <v>971</v>
      </c>
      <c r="B972" t="s">
        <v>2</v>
      </c>
      <c r="C972" t="s">
        <v>96</v>
      </c>
      <c r="D972" t="s">
        <v>140</v>
      </c>
      <c r="E972" s="2">
        <v>44152.656701388885</v>
      </c>
      <c r="F972" s="2">
        <v>44152.684652777774</v>
      </c>
      <c r="G972" s="3">
        <v>2.7951388889050577E-2</v>
      </c>
      <c r="H972" s="3">
        <v>2429.7104388952171</v>
      </c>
      <c r="I972" s="3">
        <v>40.495173981586952</v>
      </c>
      <c r="J972" s="3">
        <v>0.67491956635978256</v>
      </c>
    </row>
    <row r="973" spans="1:11" x14ac:dyDescent="0.35">
      <c r="A973">
        <v>972</v>
      </c>
      <c r="B973" t="s">
        <v>2</v>
      </c>
      <c r="C973" t="s">
        <v>96</v>
      </c>
      <c r="D973" t="s">
        <v>140</v>
      </c>
      <c r="E973" s="2">
        <v>44152.684803240743</v>
      </c>
      <c r="F973" s="2">
        <v>44152.713125000002</v>
      </c>
      <c r="G973" s="3">
        <v>2.8321759258687962E-2</v>
      </c>
      <c r="H973" s="3">
        <v>2461.9053597607754</v>
      </c>
      <c r="I973" s="3">
        <v>41.031755996012926</v>
      </c>
      <c r="J973" s="3">
        <v>0.68386259993354881</v>
      </c>
    </row>
    <row r="974" spans="1:11" x14ac:dyDescent="0.35">
      <c r="A974">
        <v>973</v>
      </c>
      <c r="B974" t="s">
        <v>16</v>
      </c>
      <c r="C974" t="s">
        <v>16</v>
      </c>
      <c r="D974" t="s">
        <v>140</v>
      </c>
      <c r="E974" s="2">
        <v>44152.713206018518</v>
      </c>
      <c r="F974" s="2">
        <v>44152.72760416667</v>
      </c>
      <c r="G974" s="3">
        <v>1.4398148152395152E-2</v>
      </c>
      <c r="H974" s="3">
        <v>1251.5775514947106</v>
      </c>
      <c r="I974" s="3">
        <v>20.859625858245177</v>
      </c>
      <c r="J974" s="3">
        <v>0.34766043097075294</v>
      </c>
    </row>
    <row r="975" spans="1:11" x14ac:dyDescent="0.35">
      <c r="A975">
        <v>974</v>
      </c>
      <c r="B975" t="s">
        <v>2</v>
      </c>
      <c r="C975" t="s">
        <v>96</v>
      </c>
      <c r="D975" t="s">
        <v>140</v>
      </c>
      <c r="E975" s="2">
        <v>44152.727743055555</v>
      </c>
      <c r="F975" s="2">
        <v>44152.772326388891</v>
      </c>
      <c r="G975" s="3">
        <v>4.4583333336049691E-2</v>
      </c>
      <c r="H975" s="3">
        <v>3875.4636070975043</v>
      </c>
      <c r="I975" s="3">
        <v>64.591060118291736</v>
      </c>
      <c r="J975" s="3">
        <v>1.0765176686381956</v>
      </c>
    </row>
    <row r="976" spans="1:11" x14ac:dyDescent="0.35">
      <c r="A976">
        <v>975</v>
      </c>
      <c r="B976" t="s">
        <v>2</v>
      </c>
      <c r="C976" t="s">
        <v>72</v>
      </c>
      <c r="D976" t="s">
        <v>140</v>
      </c>
      <c r="E976" s="2">
        <v>44153.332175925927</v>
      </c>
      <c r="F976" s="2">
        <v>44153.342222222222</v>
      </c>
      <c r="G976" s="3">
        <v>1.0046296294603962E-2</v>
      </c>
      <c r="H976" s="3">
        <v>873.28723005945426</v>
      </c>
      <c r="I976" s="3">
        <v>14.554787167657571</v>
      </c>
      <c r="J976" s="3">
        <v>0.24257978612762618</v>
      </c>
      <c r="K976" t="s">
        <v>73</v>
      </c>
    </row>
    <row r="977" spans="1:11" x14ac:dyDescent="0.35">
      <c r="A977">
        <v>976</v>
      </c>
      <c r="B977" t="s">
        <v>11</v>
      </c>
      <c r="C977" t="s">
        <v>11</v>
      </c>
      <c r="D977" t="s">
        <v>140</v>
      </c>
      <c r="E977" s="2">
        <v>44153.342314814814</v>
      </c>
      <c r="F977" s="2">
        <v>44153.353738425925</v>
      </c>
      <c r="G977" s="3">
        <v>1.1423611111240461E-2</v>
      </c>
      <c r="H977" s="3">
        <v>993.01209242354491</v>
      </c>
      <c r="I977" s="3">
        <v>16.550201540392415</v>
      </c>
      <c r="J977" s="3">
        <v>0.27583669233987357</v>
      </c>
    </row>
    <row r="978" spans="1:11" x14ac:dyDescent="0.35">
      <c r="A978">
        <v>977</v>
      </c>
      <c r="B978" t="s">
        <v>11</v>
      </c>
      <c r="C978" t="s">
        <v>11</v>
      </c>
      <c r="D978" t="s">
        <v>140</v>
      </c>
      <c r="E978" s="2">
        <v>44153.353865740741</v>
      </c>
      <c r="F978" s="2">
        <v>44153.357245370367</v>
      </c>
      <c r="G978" s="3">
        <v>3.379629626579117E-3</v>
      </c>
      <c r="H978" s="3">
        <v>293.77865321445728</v>
      </c>
      <c r="I978" s="3">
        <v>4.8963108869076217</v>
      </c>
      <c r="J978" s="3">
        <v>8.1605181448460365E-2</v>
      </c>
    </row>
    <row r="979" spans="1:11" x14ac:dyDescent="0.35">
      <c r="A979">
        <v>978</v>
      </c>
      <c r="B979" t="s">
        <v>2</v>
      </c>
      <c r="C979" t="s">
        <v>96</v>
      </c>
      <c r="D979" t="s">
        <v>140</v>
      </c>
      <c r="E979" s="2">
        <v>44153.357465277775</v>
      </c>
      <c r="F979" s="2">
        <v>44153.358657407407</v>
      </c>
      <c r="G979" s="3">
        <v>1.1921296318178065E-3</v>
      </c>
      <c r="H979" s="3">
        <v>103.62740193131141</v>
      </c>
      <c r="I979" s="3">
        <v>1.7271233655218567</v>
      </c>
      <c r="J979" s="3">
        <v>2.878538942536428E-2</v>
      </c>
    </row>
    <row r="980" spans="1:11" x14ac:dyDescent="0.35">
      <c r="A980">
        <v>979</v>
      </c>
      <c r="B980" t="s">
        <v>2</v>
      </c>
      <c r="C980" t="s">
        <v>132</v>
      </c>
      <c r="D980" t="s">
        <v>140</v>
      </c>
      <c r="E980" s="2">
        <v>44153.358935185184</v>
      </c>
      <c r="F980" s="2">
        <v>44153.360856481479</v>
      </c>
      <c r="G980" s="3">
        <v>1.9212962943129241E-3</v>
      </c>
      <c r="H980" s="3">
        <v>167.01115214820271</v>
      </c>
      <c r="I980" s="3">
        <v>2.7835192024700453</v>
      </c>
      <c r="J980" s="3">
        <v>4.6391986707834086E-2</v>
      </c>
      <c r="K980" t="s">
        <v>41</v>
      </c>
    </row>
    <row r="981" spans="1:11" x14ac:dyDescent="0.35">
      <c r="A981">
        <v>980</v>
      </c>
      <c r="B981" t="s">
        <v>2</v>
      </c>
      <c r="C981" t="s">
        <v>132</v>
      </c>
      <c r="D981" t="s">
        <v>140</v>
      </c>
      <c r="E981" s="2">
        <v>44153.36105324074</v>
      </c>
      <c r="F981" s="2">
        <v>44153.37096064815</v>
      </c>
      <c r="G981" s="3">
        <v>9.9074074096279219E-3</v>
      </c>
      <c r="H981" s="3">
        <v>861.21413505110581</v>
      </c>
      <c r="I981" s="3">
        <v>14.35356891751843</v>
      </c>
      <c r="J981" s="3">
        <v>0.23922614862530717</v>
      </c>
      <c r="K981" t="s">
        <v>41</v>
      </c>
    </row>
    <row r="982" spans="1:11" x14ac:dyDescent="0.35">
      <c r="A982">
        <v>981</v>
      </c>
      <c r="B982" t="s">
        <v>11</v>
      </c>
      <c r="C982" t="s">
        <v>11</v>
      </c>
      <c r="D982" t="s">
        <v>140</v>
      </c>
      <c r="E982" s="2">
        <v>44153.371249999997</v>
      </c>
      <c r="F982" s="2">
        <v>44153.378391203703</v>
      </c>
      <c r="G982" s="3">
        <v>7.1412037068512291E-3</v>
      </c>
      <c r="H982" s="3">
        <v>620.75831944117078</v>
      </c>
      <c r="I982" s="3">
        <v>10.345971990686179</v>
      </c>
      <c r="J982" s="3">
        <v>0.17243286651143633</v>
      </c>
    </row>
    <row r="983" spans="1:11" x14ac:dyDescent="0.35">
      <c r="A983">
        <v>982</v>
      </c>
      <c r="B983" t="s">
        <v>2</v>
      </c>
      <c r="C983" t="s">
        <v>132</v>
      </c>
      <c r="D983" t="s">
        <v>140</v>
      </c>
      <c r="E983" s="2">
        <v>44153.378611111111</v>
      </c>
      <c r="F983" s="2">
        <v>44153.379710648151</v>
      </c>
      <c r="G983" s="3">
        <v>1.0995370394084603E-3</v>
      </c>
      <c r="H983" s="3">
        <v>95.578671714921782</v>
      </c>
      <c r="I983" s="3">
        <v>1.5929778619153629</v>
      </c>
      <c r="J983" s="3">
        <v>2.6549631031922715E-2</v>
      </c>
      <c r="K983" t="s">
        <v>41</v>
      </c>
    </row>
    <row r="984" spans="1:11" x14ac:dyDescent="0.35">
      <c r="A984">
        <v>983</v>
      </c>
      <c r="B984" t="s">
        <v>2</v>
      </c>
      <c r="C984" t="s">
        <v>96</v>
      </c>
      <c r="D984" t="s">
        <v>140</v>
      </c>
      <c r="E984" s="2">
        <v>44153.379953703705</v>
      </c>
      <c r="F984" s="2">
        <v>44153.385729166665</v>
      </c>
      <c r="G984" s="3">
        <v>5.7754629597184248E-3</v>
      </c>
      <c r="H984" s="3">
        <v>502.03954795883385</v>
      </c>
      <c r="I984" s="3">
        <v>8.3673257993138979</v>
      </c>
      <c r="J984" s="3">
        <v>0.13945542998856497</v>
      </c>
    </row>
    <row r="985" spans="1:11" x14ac:dyDescent="0.35">
      <c r="A985">
        <v>984</v>
      </c>
      <c r="B985" t="s">
        <v>2</v>
      </c>
      <c r="C985" t="s">
        <v>132</v>
      </c>
      <c r="D985" t="s">
        <v>140</v>
      </c>
      <c r="E985" s="2">
        <v>44153.386030092595</v>
      </c>
      <c r="F985" s="2">
        <v>44153.39261574074</v>
      </c>
      <c r="G985" s="3">
        <v>6.5856481451191939E-3</v>
      </c>
      <c r="H985" s="3">
        <v>572.46593751036107</v>
      </c>
      <c r="I985" s="3">
        <v>9.5410989585060175</v>
      </c>
      <c r="J985" s="3">
        <v>0.1590183159751003</v>
      </c>
      <c r="K985" t="s">
        <v>41</v>
      </c>
    </row>
    <row r="986" spans="1:11" x14ac:dyDescent="0.35">
      <c r="A986">
        <v>985</v>
      </c>
      <c r="B986" t="s">
        <v>2</v>
      </c>
      <c r="C986" t="s">
        <v>96</v>
      </c>
      <c r="D986" t="s">
        <v>140</v>
      </c>
      <c r="E986" s="2">
        <v>44153.392812500002</v>
      </c>
      <c r="F986" s="2">
        <v>44153.444652777776</v>
      </c>
      <c r="G986" s="3">
        <v>5.1840277774317656E-2</v>
      </c>
      <c r="H986" s="3">
        <v>4506.2828385185721</v>
      </c>
      <c r="I986" s="3">
        <v>75.104713975309537</v>
      </c>
      <c r="J986" s="3">
        <v>1.2517452329218257</v>
      </c>
    </row>
    <row r="987" spans="1:11" x14ac:dyDescent="0.35">
      <c r="A987">
        <v>986</v>
      </c>
      <c r="B987" t="s">
        <v>16</v>
      </c>
      <c r="C987" t="s">
        <v>16</v>
      </c>
      <c r="D987" t="s">
        <v>140</v>
      </c>
      <c r="E987" s="2">
        <v>44153.444733796299</v>
      </c>
      <c r="F987" s="2">
        <v>44153.448460648149</v>
      </c>
      <c r="G987" s="3">
        <v>3.7268518499331549E-3</v>
      </c>
      <c r="H987" s="3">
        <v>323.96139168403641</v>
      </c>
      <c r="I987" s="3">
        <v>5.3993565280672735</v>
      </c>
      <c r="J987" s="3">
        <v>8.9989275467787885E-2</v>
      </c>
    </row>
    <row r="988" spans="1:11" x14ac:dyDescent="0.35">
      <c r="A988">
        <v>987</v>
      </c>
      <c r="B988" t="s">
        <v>2</v>
      </c>
      <c r="C988" t="s">
        <v>96</v>
      </c>
      <c r="D988" t="s">
        <v>140</v>
      </c>
      <c r="E988" s="2">
        <v>44153.44871527778</v>
      </c>
      <c r="F988" s="2">
        <v>44153.453206018516</v>
      </c>
      <c r="G988" s="3">
        <v>4.4907407354912721E-3</v>
      </c>
      <c r="H988" s="3">
        <v>390.36341581113282</v>
      </c>
      <c r="I988" s="3">
        <v>6.5060569301855473</v>
      </c>
      <c r="J988" s="3">
        <v>0.10843428216975912</v>
      </c>
    </row>
    <row r="989" spans="1:11" x14ac:dyDescent="0.35">
      <c r="A989">
        <v>988</v>
      </c>
      <c r="B989" t="s">
        <v>2</v>
      </c>
      <c r="C989" t="s">
        <v>96</v>
      </c>
      <c r="D989" t="s">
        <v>140</v>
      </c>
      <c r="E989" s="2">
        <v>44153.4533912037</v>
      </c>
      <c r="F989" s="2">
        <v>44153.489131944443</v>
      </c>
      <c r="G989" s="3">
        <v>3.574074074276723E-2</v>
      </c>
      <c r="H989" s="3">
        <v>3106.8098698511149</v>
      </c>
      <c r="I989" s="3">
        <v>51.780164497518584</v>
      </c>
      <c r="J989" s="3">
        <v>0.86300274162530977</v>
      </c>
    </row>
    <row r="990" spans="1:11" x14ac:dyDescent="0.35">
      <c r="A990">
        <v>989</v>
      </c>
      <c r="B990" t="s">
        <v>2</v>
      </c>
      <c r="C990" t="s">
        <v>96</v>
      </c>
      <c r="D990" t="s">
        <v>140</v>
      </c>
      <c r="E990" s="2">
        <v>44153.489282407405</v>
      </c>
      <c r="F990" s="2">
        <v>44153.500694444447</v>
      </c>
      <c r="G990" s="3">
        <v>1.1412037041736767E-2</v>
      </c>
      <c r="H990" s="3">
        <v>992.00600154179131</v>
      </c>
      <c r="I990" s="3">
        <v>16.533433359029853</v>
      </c>
      <c r="J990" s="3">
        <v>0.27555722265049754</v>
      </c>
    </row>
    <row r="991" spans="1:11" x14ac:dyDescent="0.35">
      <c r="A991">
        <v>990</v>
      </c>
      <c r="B991" t="s">
        <v>16</v>
      </c>
      <c r="C991" t="s">
        <v>16</v>
      </c>
      <c r="D991" t="s">
        <v>140</v>
      </c>
      <c r="E991" s="2">
        <v>44153.500694444447</v>
      </c>
      <c r="F991" s="2">
        <v>44153.520451388889</v>
      </c>
      <c r="G991" s="3">
        <v>1.9756944442633539E-2</v>
      </c>
      <c r="H991" s="3">
        <v>1717.3978131635552</v>
      </c>
      <c r="I991" s="3">
        <v>28.623296886059254</v>
      </c>
      <c r="J991" s="3">
        <v>0.47705494810098759</v>
      </c>
    </row>
    <row r="992" spans="1:11" x14ac:dyDescent="0.35">
      <c r="A992">
        <v>991</v>
      </c>
      <c r="B992" t="s">
        <v>11</v>
      </c>
      <c r="C992" t="s">
        <v>11</v>
      </c>
      <c r="D992" t="s">
        <v>140</v>
      </c>
      <c r="E992" s="2">
        <v>44153.520567129628</v>
      </c>
      <c r="F992" s="2">
        <v>44153.521770833337</v>
      </c>
      <c r="G992" s="3">
        <v>1.2037037085974589E-3</v>
      </c>
      <c r="H992" s="3">
        <v>104.6334934455371</v>
      </c>
      <c r="I992" s="3">
        <v>1.7438915574256184</v>
      </c>
      <c r="J992" s="3">
        <v>2.9064859290426973E-2</v>
      </c>
    </row>
    <row r="993" spans="1:11" x14ac:dyDescent="0.35">
      <c r="A993">
        <v>992</v>
      </c>
      <c r="B993" t="s">
        <v>2</v>
      </c>
      <c r="C993" t="s">
        <v>96</v>
      </c>
      <c r="D993" t="s">
        <v>140</v>
      </c>
      <c r="E993" s="2">
        <v>44153.521932870368</v>
      </c>
      <c r="F993" s="2">
        <v>44153.567175925928</v>
      </c>
      <c r="G993" s="3">
        <v>4.5243055559694767E-2</v>
      </c>
      <c r="H993" s="3">
        <v>3932.8108101264575</v>
      </c>
      <c r="I993" s="3">
        <v>65.546846835440959</v>
      </c>
      <c r="J993" s="3">
        <v>1.0924474472573493</v>
      </c>
    </row>
    <row r="994" spans="1:11" x14ac:dyDescent="0.35">
      <c r="A994">
        <v>993</v>
      </c>
      <c r="B994" t="s">
        <v>16</v>
      </c>
      <c r="C994" t="s">
        <v>16</v>
      </c>
      <c r="D994" t="s">
        <v>140</v>
      </c>
      <c r="E994" s="2">
        <v>44153.567361111112</v>
      </c>
      <c r="F994" s="2">
        <v>44153.576793981483</v>
      </c>
      <c r="G994" s="3">
        <v>9.4328703708015382E-3</v>
      </c>
      <c r="H994" s="3">
        <v>819.96439245493195</v>
      </c>
      <c r="I994" s="3">
        <v>13.666073207582199</v>
      </c>
      <c r="J994" s="3">
        <v>0.22776788679303667</v>
      </c>
    </row>
    <row r="995" spans="1:11" x14ac:dyDescent="0.35">
      <c r="A995">
        <v>994</v>
      </c>
      <c r="B995" t="s">
        <v>2</v>
      </c>
      <c r="C995" t="s">
        <v>96</v>
      </c>
      <c r="D995" t="s">
        <v>140</v>
      </c>
      <c r="E995" s="2">
        <v>44153.577002314814</v>
      </c>
      <c r="F995" s="2">
        <v>44153.601365740738</v>
      </c>
      <c r="G995" s="3">
        <v>2.4363425924093463E-2</v>
      </c>
      <c r="H995" s="3">
        <v>2117.8221422195288</v>
      </c>
      <c r="I995" s="3">
        <v>35.297035703658814</v>
      </c>
      <c r="J995" s="3">
        <v>0.58828392839431354</v>
      </c>
    </row>
    <row r="996" spans="1:11" x14ac:dyDescent="0.35">
      <c r="A996">
        <v>995</v>
      </c>
      <c r="B996" t="s">
        <v>2</v>
      </c>
      <c r="C996" t="s">
        <v>96</v>
      </c>
      <c r="D996" t="s">
        <v>140</v>
      </c>
      <c r="E996" s="2">
        <v>44153.601481481484</v>
      </c>
      <c r="F996" s="2">
        <v>44153.642384259256</v>
      </c>
      <c r="G996" s="3">
        <v>4.0902777771407273E-2</v>
      </c>
      <c r="H996" s="3">
        <v>3555.5265795729547</v>
      </c>
      <c r="I996" s="3">
        <v>59.258776326215909</v>
      </c>
      <c r="J996" s="3">
        <v>0.98764627210359845</v>
      </c>
    </row>
    <row r="997" spans="1:11" x14ac:dyDescent="0.35">
      <c r="A997">
        <v>996</v>
      </c>
      <c r="B997" t="s">
        <v>16</v>
      </c>
      <c r="C997" t="s">
        <v>16</v>
      </c>
      <c r="D997" t="s">
        <v>140</v>
      </c>
      <c r="E997" s="2">
        <v>44153.642488425925</v>
      </c>
      <c r="F997" s="2">
        <v>44153.649918981479</v>
      </c>
      <c r="G997" s="3">
        <v>7.4305555535829626E-3</v>
      </c>
      <c r="H997" s="3">
        <v>645.91060097209333</v>
      </c>
      <c r="I997" s="3">
        <v>10.765176682868223</v>
      </c>
      <c r="J997" s="3">
        <v>0.17941961138113705</v>
      </c>
    </row>
    <row r="998" spans="1:11" x14ac:dyDescent="0.35">
      <c r="A998">
        <v>997</v>
      </c>
      <c r="B998" t="s">
        <v>2</v>
      </c>
      <c r="C998" t="s">
        <v>96</v>
      </c>
      <c r="D998" t="s">
        <v>140</v>
      </c>
      <c r="E998" s="2">
        <v>44153.650254629632</v>
      </c>
      <c r="F998" s="2">
        <v>44153.722094907411</v>
      </c>
      <c r="G998" s="3">
        <v>7.1840277778392192E-2</v>
      </c>
      <c r="H998" s="3">
        <v>6244.8085690535627</v>
      </c>
      <c r="I998" s="3">
        <v>104.08014281755938</v>
      </c>
      <c r="J998" s="3">
        <v>1.7346690469593229</v>
      </c>
    </row>
    <row r="999" spans="1:11" x14ac:dyDescent="0.35">
      <c r="A999">
        <v>998</v>
      </c>
      <c r="B999" t="s">
        <v>16</v>
      </c>
      <c r="C999" t="s">
        <v>16</v>
      </c>
      <c r="D999" t="s">
        <v>140</v>
      </c>
      <c r="E999" s="2">
        <v>44153.722291666665</v>
      </c>
      <c r="F999" s="2">
        <v>44153.763090277775</v>
      </c>
      <c r="G999" s="3">
        <v>4.0798611109494232E-2</v>
      </c>
      <c r="H999" s="3">
        <v>3546.4717584748114</v>
      </c>
      <c r="I999" s="3">
        <v>59.107862641246854</v>
      </c>
      <c r="J999" s="3">
        <v>0.98513104402078089</v>
      </c>
    </row>
    <row r="1000" spans="1:11" x14ac:dyDescent="0.35">
      <c r="A1000">
        <v>999</v>
      </c>
      <c r="B1000" t="s">
        <v>2</v>
      </c>
      <c r="C1000" t="s">
        <v>96</v>
      </c>
      <c r="D1000" t="s">
        <v>140</v>
      </c>
      <c r="E1000" s="2">
        <v>44153.76326388889</v>
      </c>
      <c r="F1000" s="2">
        <v>44153.765451388892</v>
      </c>
      <c r="G1000" s="3">
        <v>2.1875000020372681E-3</v>
      </c>
      <c r="H1000" s="3">
        <v>190.15125191561788</v>
      </c>
      <c r="I1000" s="3">
        <v>3.1691875319269647</v>
      </c>
      <c r="J1000" s="3">
        <v>5.2819792198782745E-2</v>
      </c>
    </row>
    <row r="1001" spans="1:11" x14ac:dyDescent="0.35">
      <c r="A1001">
        <v>1000</v>
      </c>
      <c r="B1001" t="s">
        <v>11</v>
      </c>
      <c r="C1001" t="s">
        <v>11</v>
      </c>
      <c r="D1001" t="s">
        <v>140</v>
      </c>
      <c r="E1001" s="2">
        <v>44153.765543981484</v>
      </c>
      <c r="F1001" s="2">
        <v>44153.768009259256</v>
      </c>
      <c r="G1001" s="3">
        <v>2.4652777719893493E-3</v>
      </c>
      <c r="H1001" s="3">
        <v>214.29744193231477</v>
      </c>
      <c r="I1001" s="3">
        <v>3.5716240322052459</v>
      </c>
      <c r="J1001" s="3">
        <v>5.9527067203420762E-2</v>
      </c>
    </row>
    <row r="1002" spans="1:11" x14ac:dyDescent="0.35">
      <c r="A1002">
        <v>1001</v>
      </c>
      <c r="B1002" t="s">
        <v>2</v>
      </c>
      <c r="C1002" t="s">
        <v>96</v>
      </c>
      <c r="D1002" t="s">
        <v>140</v>
      </c>
      <c r="E1002" s="2">
        <v>44153.768125000002</v>
      </c>
      <c r="F1002" s="2">
        <v>44153.793437499997</v>
      </c>
      <c r="G1002" s="3">
        <v>2.5312499994470272E-2</v>
      </c>
      <c r="H1002" s="3">
        <v>2200.3216267794046</v>
      </c>
      <c r="I1002" s="3">
        <v>36.672027112990079</v>
      </c>
      <c r="J1002" s="3">
        <v>0.61120045188316796</v>
      </c>
    </row>
    <row r="1003" spans="1:11" x14ac:dyDescent="0.35">
      <c r="A1003">
        <v>1002</v>
      </c>
      <c r="B1003" t="s">
        <v>11</v>
      </c>
      <c r="C1003" t="s">
        <v>11</v>
      </c>
      <c r="D1003" t="s">
        <v>140</v>
      </c>
      <c r="E1003" s="2">
        <v>44154.338159722225</v>
      </c>
      <c r="F1003" s="2">
        <v>44154.341215277775</v>
      </c>
      <c r="G1003" s="3">
        <v>3.0555555495084263E-3</v>
      </c>
      <c r="H1003" s="3">
        <v>265.60809714085764</v>
      </c>
      <c r="I1003" s="3">
        <v>4.4268016190142943</v>
      </c>
      <c r="J1003" s="3">
        <v>7.378002698357157E-2</v>
      </c>
    </row>
    <row r="1004" spans="1:11" x14ac:dyDescent="0.35">
      <c r="A1004">
        <v>1003</v>
      </c>
      <c r="B1004" t="s">
        <v>2</v>
      </c>
      <c r="C1004" t="s">
        <v>132</v>
      </c>
      <c r="D1004" t="s">
        <v>140</v>
      </c>
      <c r="E1004" s="2">
        <v>44154.341423611113</v>
      </c>
      <c r="F1004" s="2">
        <v>44154.342731481483</v>
      </c>
      <c r="G1004" s="3">
        <v>1.3078703705104999E-3</v>
      </c>
      <c r="H1004" s="3">
        <v>113.68831454368045</v>
      </c>
      <c r="I1004" s="3">
        <v>1.8948052423946742</v>
      </c>
      <c r="J1004" s="3">
        <v>3.1580087373244567E-2</v>
      </c>
      <c r="K1004" t="s">
        <v>42</v>
      </c>
    </row>
    <row r="1005" spans="1:11" x14ac:dyDescent="0.35">
      <c r="A1005">
        <v>1004</v>
      </c>
      <c r="B1005" t="s">
        <v>11</v>
      </c>
      <c r="C1005" t="s">
        <v>11</v>
      </c>
      <c r="D1005" t="s">
        <v>140</v>
      </c>
      <c r="E1005" s="2">
        <v>44154.342893518522</v>
      </c>
      <c r="F1005" s="2">
        <v>44154.347500000003</v>
      </c>
      <c r="G1005" s="3">
        <v>4.6064814814599231E-3</v>
      </c>
      <c r="H1005" s="3">
        <v>400.42432905597383</v>
      </c>
      <c r="I1005" s="3">
        <v>6.6737388175995642</v>
      </c>
      <c r="J1005" s="3">
        <v>0.11122898029332608</v>
      </c>
    </row>
    <row r="1006" spans="1:11" x14ac:dyDescent="0.35">
      <c r="A1006">
        <v>1005</v>
      </c>
      <c r="B1006" t="s">
        <v>2</v>
      </c>
      <c r="C1006" t="s">
        <v>96</v>
      </c>
      <c r="D1006" t="s">
        <v>140</v>
      </c>
      <c r="E1006" s="2">
        <v>44154.347638888888</v>
      </c>
      <c r="F1006" s="2">
        <v>44154.348935185182</v>
      </c>
      <c r="G1006" s="3">
        <v>1.2962962937308475E-3</v>
      </c>
      <c r="H1006" s="3">
        <v>112.68222302945475</v>
      </c>
      <c r="I1006" s="3">
        <v>1.8780370504909125</v>
      </c>
      <c r="J1006" s="3">
        <v>3.1300617508181874E-2</v>
      </c>
    </row>
    <row r="1007" spans="1:11" x14ac:dyDescent="0.35">
      <c r="A1007">
        <v>1006</v>
      </c>
      <c r="B1007" t="s">
        <v>2</v>
      </c>
      <c r="C1007" t="s">
        <v>96</v>
      </c>
      <c r="D1007" t="s">
        <v>140</v>
      </c>
      <c r="E1007" s="2">
        <v>44154.349074074074</v>
      </c>
      <c r="F1007" s="2">
        <v>44154.354050925926</v>
      </c>
      <c r="G1007" s="3">
        <v>4.9768518510973081E-3</v>
      </c>
      <c r="H1007" s="3">
        <v>432.61924992153234</v>
      </c>
      <c r="I1007" s="3">
        <v>7.2103208320255394</v>
      </c>
      <c r="J1007" s="3">
        <v>0.12017201386709232</v>
      </c>
    </row>
    <row r="1008" spans="1:11" x14ac:dyDescent="0.35">
      <c r="A1008">
        <v>1007</v>
      </c>
      <c r="B1008" t="s">
        <v>11</v>
      </c>
      <c r="C1008" t="s">
        <v>11</v>
      </c>
      <c r="D1008" t="s">
        <v>140</v>
      </c>
      <c r="E1008" s="2">
        <v>44154.354120370372</v>
      </c>
      <c r="F1008" s="2">
        <v>44154.355069444442</v>
      </c>
      <c r="G1008" s="3">
        <v>9.4907407037680969E-4</v>
      </c>
      <c r="H1008" s="3">
        <v>82.499484559875668</v>
      </c>
      <c r="I1008" s="3">
        <v>1.3749914093312612</v>
      </c>
      <c r="J1008" s="3">
        <v>2.2916523488854354E-2</v>
      </c>
    </row>
    <row r="1009" spans="1:11" x14ac:dyDescent="0.35">
      <c r="A1009">
        <v>1008</v>
      </c>
      <c r="B1009" t="s">
        <v>2</v>
      </c>
      <c r="C1009" t="s">
        <v>96</v>
      </c>
      <c r="D1009" t="s">
        <v>140</v>
      </c>
      <c r="E1009" s="2">
        <v>44154.35527777778</v>
      </c>
      <c r="F1009" s="2">
        <v>44154.357488425929</v>
      </c>
      <c r="G1009" s="3">
        <v>2.2106481483206153E-3</v>
      </c>
      <c r="H1009" s="3">
        <v>192.16343431159729</v>
      </c>
      <c r="I1009" s="3">
        <v>3.2027239051932881</v>
      </c>
      <c r="J1009" s="3">
        <v>5.337873175322147E-2</v>
      </c>
    </row>
    <row r="1010" spans="1:11" x14ac:dyDescent="0.35">
      <c r="A1010">
        <v>1009</v>
      </c>
      <c r="B1010" t="s">
        <v>2</v>
      </c>
      <c r="C1010" t="s">
        <v>96</v>
      </c>
      <c r="D1010" t="s">
        <v>140</v>
      </c>
      <c r="E1010" s="2">
        <v>44154.357662037037</v>
      </c>
      <c r="F1010" s="2">
        <v>44154.362835648149</v>
      </c>
      <c r="G1010" s="3">
        <v>5.173611112695653E-3</v>
      </c>
      <c r="H1010" s="3">
        <v>449.72280186853726</v>
      </c>
      <c r="I1010" s="3">
        <v>7.4953800311422878</v>
      </c>
      <c r="J1010" s="3">
        <v>0.12492300051903812</v>
      </c>
    </row>
    <row r="1011" spans="1:11" x14ac:dyDescent="0.35">
      <c r="A1011">
        <v>1010</v>
      </c>
      <c r="B1011" t="s">
        <v>11</v>
      </c>
      <c r="C1011" t="s">
        <v>11</v>
      </c>
      <c r="D1011" t="s">
        <v>140</v>
      </c>
      <c r="E1011" s="2">
        <v>44154.363020833334</v>
      </c>
      <c r="F1011" s="2">
        <v>44154.374583333331</v>
      </c>
      <c r="G1011" s="3">
        <v>1.1562499996216502E-2</v>
      </c>
      <c r="H1011" s="3">
        <v>1005.0851874318934</v>
      </c>
      <c r="I1011" s="3">
        <v>16.751419790531557</v>
      </c>
      <c r="J1011" s="3">
        <v>0.27919032984219261</v>
      </c>
    </row>
    <row r="1012" spans="1:11" x14ac:dyDescent="0.35">
      <c r="A1012">
        <v>1011</v>
      </c>
      <c r="B1012" t="s">
        <v>2</v>
      </c>
      <c r="C1012" t="s">
        <v>72</v>
      </c>
      <c r="D1012" t="s">
        <v>140</v>
      </c>
      <c r="E1012" s="2">
        <v>44154.374675925923</v>
      </c>
      <c r="F1012" s="2">
        <v>44154.41070601852</v>
      </c>
      <c r="G1012" s="3">
        <v>3.6030092596774921E-2</v>
      </c>
      <c r="H1012" s="3">
        <v>3131.9621520145097</v>
      </c>
      <c r="I1012" s="3">
        <v>52.199369200241826</v>
      </c>
      <c r="J1012" s="3">
        <v>0.86998948667069709</v>
      </c>
      <c r="K1012" t="s">
        <v>73</v>
      </c>
    </row>
    <row r="1013" spans="1:11" x14ac:dyDescent="0.35">
      <c r="A1013">
        <v>1012</v>
      </c>
      <c r="B1013" t="s">
        <v>16</v>
      </c>
      <c r="C1013" t="s">
        <v>16</v>
      </c>
      <c r="D1013" t="s">
        <v>140</v>
      </c>
      <c r="E1013" s="2">
        <v>44154.410775462966</v>
      </c>
      <c r="F1013" s="2">
        <v>44154.420891203707</v>
      </c>
      <c r="G1013" s="3">
        <v>1.0115740740729962E-2</v>
      </c>
      <c r="H1013" s="3">
        <v>879.32377787986445</v>
      </c>
      <c r="I1013" s="3">
        <v>14.655396297997742</v>
      </c>
      <c r="J1013" s="3">
        <v>0.24425660496662902</v>
      </c>
    </row>
    <row r="1014" spans="1:11" x14ac:dyDescent="0.35">
      <c r="A1014">
        <v>1013</v>
      </c>
      <c r="B1014" t="s">
        <v>11</v>
      </c>
      <c r="C1014" t="s">
        <v>11</v>
      </c>
      <c r="D1014" t="s">
        <v>140</v>
      </c>
      <c r="E1014" s="2">
        <v>44154.420983796299</v>
      </c>
      <c r="F1014" s="2">
        <v>44154.423854166664</v>
      </c>
      <c r="G1014" s="3">
        <v>2.8703703646897338E-3</v>
      </c>
      <c r="H1014" s="3">
        <v>249.51063670807838</v>
      </c>
      <c r="I1014" s="3">
        <v>4.1585106118013062</v>
      </c>
      <c r="J1014" s="3">
        <v>6.9308510196688433E-2</v>
      </c>
    </row>
    <row r="1015" spans="1:11" x14ac:dyDescent="0.35">
      <c r="A1015">
        <v>1014</v>
      </c>
      <c r="B1015" t="s">
        <v>2</v>
      </c>
      <c r="C1015" t="s">
        <v>132</v>
      </c>
      <c r="D1015" t="s">
        <v>140</v>
      </c>
      <c r="E1015" s="2">
        <v>44154.424004629633</v>
      </c>
      <c r="F1015" s="2">
        <v>44154.424351851849</v>
      </c>
      <c r="G1015" s="3">
        <v>3.4722221607808024E-4</v>
      </c>
      <c r="H1015" s="3">
        <v>30.182737837107112</v>
      </c>
      <c r="I1015" s="3">
        <v>0.50304563061845187</v>
      </c>
      <c r="J1015" s="3">
        <v>8.3840938436408642E-3</v>
      </c>
      <c r="K1015" t="s">
        <v>41</v>
      </c>
    </row>
    <row r="1016" spans="1:11" x14ac:dyDescent="0.35">
      <c r="A1016">
        <v>1015</v>
      </c>
      <c r="B1016" t="s">
        <v>11</v>
      </c>
      <c r="C1016" t="s">
        <v>11</v>
      </c>
      <c r="D1016" t="s">
        <v>140</v>
      </c>
      <c r="E1016" s="2">
        <v>44154.424479166664</v>
      </c>
      <c r="F1016" s="2">
        <v>44154.425625000003</v>
      </c>
      <c r="G1016" s="3">
        <v>1.1458333392511122E-3</v>
      </c>
      <c r="H1016" s="3">
        <v>99.60303713935258</v>
      </c>
      <c r="I1016" s="3">
        <v>1.6600506189892097</v>
      </c>
      <c r="J1016" s="3">
        <v>2.7667510316486829E-2</v>
      </c>
    </row>
    <row r="1017" spans="1:11" x14ac:dyDescent="0.35">
      <c r="A1017">
        <v>1016</v>
      </c>
      <c r="B1017" t="s">
        <v>2</v>
      </c>
      <c r="C1017" t="s">
        <v>132</v>
      </c>
      <c r="D1017" t="s">
        <v>140</v>
      </c>
      <c r="E1017" s="2">
        <v>44154.425763888888</v>
      </c>
      <c r="F1017" s="2">
        <v>44154.431435185186</v>
      </c>
      <c r="G1017" s="3">
        <v>5.6712962978053838E-3</v>
      </c>
      <c r="H1017" s="3">
        <v>492.9847268606905</v>
      </c>
      <c r="I1017" s="3">
        <v>8.2164121143448412</v>
      </c>
      <c r="J1017" s="3">
        <v>0.13694020190574735</v>
      </c>
      <c r="K1017" t="s">
        <v>42</v>
      </c>
    </row>
    <row r="1018" spans="1:11" x14ac:dyDescent="0.35">
      <c r="A1018">
        <v>1017</v>
      </c>
      <c r="B1018" t="s">
        <v>2</v>
      </c>
      <c r="C1018" t="s">
        <v>132</v>
      </c>
      <c r="D1018" t="s">
        <v>140</v>
      </c>
      <c r="E1018" s="2">
        <v>44154.431562500002</v>
      </c>
      <c r="F1018" s="2">
        <v>44154.432939814818</v>
      </c>
      <c r="G1018" s="3">
        <v>1.377314816636499E-3</v>
      </c>
      <c r="H1018" s="3">
        <v>119.72486236409065</v>
      </c>
      <c r="I1018" s="3">
        <v>1.9954143727348443</v>
      </c>
      <c r="J1018" s="3">
        <v>3.3256906212247403E-2</v>
      </c>
      <c r="K1018" t="s">
        <v>42</v>
      </c>
    </row>
    <row r="1019" spans="1:11" x14ac:dyDescent="0.35">
      <c r="A1019">
        <v>1018</v>
      </c>
      <c r="B1019" t="s">
        <v>11</v>
      </c>
      <c r="C1019" t="s">
        <v>11</v>
      </c>
      <c r="D1019" t="s">
        <v>140</v>
      </c>
      <c r="E1019" s="2">
        <v>44154.433020833334</v>
      </c>
      <c r="F1019" s="2">
        <v>44154.435185185182</v>
      </c>
      <c r="G1019" s="3">
        <v>2.1643518484779634E-3</v>
      </c>
      <c r="H1019" s="3">
        <v>188.13906888716647</v>
      </c>
      <c r="I1019" s="3">
        <v>3.1356511481194413</v>
      </c>
      <c r="J1019" s="3">
        <v>5.2260852468657353E-2</v>
      </c>
    </row>
    <row r="1020" spans="1:11" x14ac:dyDescent="0.35">
      <c r="A1020">
        <v>1019</v>
      </c>
      <c r="B1020" t="s">
        <v>2</v>
      </c>
      <c r="C1020" t="s">
        <v>96</v>
      </c>
      <c r="D1020" t="s">
        <v>140</v>
      </c>
      <c r="E1020" s="2">
        <v>44154.435497685183</v>
      </c>
      <c r="F1020" s="2">
        <v>44154.435972222222</v>
      </c>
      <c r="G1020" s="3">
        <v>4.7453703882638365E-4</v>
      </c>
      <c r="H1020" s="3">
        <v>41.249742596173817</v>
      </c>
      <c r="I1020" s="3">
        <v>0.68749570993623033</v>
      </c>
      <c r="J1020" s="3">
        <v>1.1458261832270505E-2</v>
      </c>
    </row>
    <row r="1021" spans="1:11" x14ac:dyDescent="0.35">
      <c r="A1021">
        <v>1020</v>
      </c>
      <c r="B1021" t="s">
        <v>2</v>
      </c>
      <c r="C1021" t="s">
        <v>96</v>
      </c>
      <c r="D1021" t="s">
        <v>140</v>
      </c>
      <c r="E1021" s="2">
        <v>44154.436296296299</v>
      </c>
      <c r="F1021" s="2">
        <v>44154.437650462962</v>
      </c>
      <c r="G1021" s="3">
        <v>1.3541666630771942E-3</v>
      </c>
      <c r="H1021" s="3">
        <v>117.71267933563927</v>
      </c>
      <c r="I1021" s="3">
        <v>1.961877988927321</v>
      </c>
      <c r="J1021" s="3">
        <v>3.2697966482122018E-2</v>
      </c>
    </row>
    <row r="1022" spans="1:11" x14ac:dyDescent="0.35">
      <c r="A1022">
        <v>1021</v>
      </c>
      <c r="B1022" t="s">
        <v>11</v>
      </c>
      <c r="C1022" t="s">
        <v>11</v>
      </c>
      <c r="D1022" t="s">
        <v>140</v>
      </c>
      <c r="E1022" s="2">
        <v>44154.437754629631</v>
      </c>
      <c r="F1022" s="2">
        <v>44154.438946759263</v>
      </c>
      <c r="G1022" s="3">
        <v>1.1921296318178065E-3</v>
      </c>
      <c r="H1022" s="3">
        <v>103.62740193131141</v>
      </c>
      <c r="I1022" s="3">
        <v>1.7271233655218567</v>
      </c>
      <c r="J1022" s="3">
        <v>2.878538942536428E-2</v>
      </c>
    </row>
    <row r="1023" spans="1:11" x14ac:dyDescent="0.35">
      <c r="A1023">
        <v>1022</v>
      </c>
      <c r="B1023" t="s">
        <v>11</v>
      </c>
      <c r="C1023" t="s">
        <v>11</v>
      </c>
      <c r="D1023" t="s">
        <v>140</v>
      </c>
      <c r="E1023" s="2">
        <v>44154.439143518517</v>
      </c>
      <c r="F1023" s="2">
        <v>44154.518865740742</v>
      </c>
      <c r="G1023" s="3">
        <v>7.9722222224518191E-2</v>
      </c>
      <c r="H1023" s="3">
        <v>6929.9567302258511</v>
      </c>
      <c r="I1023" s="3">
        <v>115.49927883709752</v>
      </c>
      <c r="J1023" s="3">
        <v>1.9249879806182919</v>
      </c>
    </row>
    <row r="1024" spans="1:11" x14ac:dyDescent="0.35">
      <c r="A1024">
        <v>1023</v>
      </c>
      <c r="B1024" t="s">
        <v>16</v>
      </c>
      <c r="C1024" t="s">
        <v>16</v>
      </c>
      <c r="D1024" t="s">
        <v>140</v>
      </c>
      <c r="E1024" s="2">
        <v>44154.519155092596</v>
      </c>
      <c r="F1024" s="2">
        <v>44154.531875000001</v>
      </c>
      <c r="G1024" s="3">
        <v>1.2719907404971309E-2</v>
      </c>
      <c r="H1024" s="3">
        <v>1105.6943154529997</v>
      </c>
      <c r="I1024" s="3">
        <v>18.428238590883328</v>
      </c>
      <c r="J1024" s="3">
        <v>0.30713730984805548</v>
      </c>
    </row>
    <row r="1025" spans="1:10" x14ac:dyDescent="0.35">
      <c r="A1025">
        <v>1024</v>
      </c>
      <c r="B1025" t="s">
        <v>11</v>
      </c>
      <c r="C1025" t="s">
        <v>11</v>
      </c>
      <c r="D1025" t="s">
        <v>140</v>
      </c>
      <c r="E1025" s="2">
        <v>44154.532025462962</v>
      </c>
      <c r="F1025" s="2">
        <v>44154.559699074074</v>
      </c>
      <c r="G1025" s="3">
        <v>2.7673611111822538E-2</v>
      </c>
      <c r="H1025" s="3">
        <v>2405.564248246048</v>
      </c>
      <c r="I1025" s="3">
        <v>40.092737470767467</v>
      </c>
      <c r="J1025" s="3">
        <v>0.6682122911794578</v>
      </c>
    </row>
    <row r="1026" spans="1:10" x14ac:dyDescent="0.35">
      <c r="A1026">
        <v>1025</v>
      </c>
      <c r="B1026" t="s">
        <v>2</v>
      </c>
      <c r="C1026" t="s">
        <v>96</v>
      </c>
      <c r="D1026" t="s">
        <v>140</v>
      </c>
      <c r="E1026" s="2">
        <v>44154.559976851851</v>
      </c>
      <c r="F1026" s="2">
        <v>44154.582129629627</v>
      </c>
      <c r="G1026" s="3">
        <v>2.2152777775772847E-2</v>
      </c>
      <c r="H1026" s="3">
        <v>1925.6587079079318</v>
      </c>
      <c r="I1026" s="3">
        <v>32.094311798465533</v>
      </c>
      <c r="J1026" s="3">
        <v>0.53490519664109226</v>
      </c>
    </row>
    <row r="1027" spans="1:10" x14ac:dyDescent="0.35">
      <c r="A1027">
        <v>1026</v>
      </c>
      <c r="B1027" t="s">
        <v>2</v>
      </c>
      <c r="C1027" t="s">
        <v>96</v>
      </c>
      <c r="D1027" t="s">
        <v>140</v>
      </c>
      <c r="E1027" s="2">
        <v>44154.582511574074</v>
      </c>
      <c r="F1027" s="2">
        <v>44154.588206018518</v>
      </c>
      <c r="G1027" s="3">
        <v>5.694444444088731E-3</v>
      </c>
      <c r="H1027" s="3">
        <v>494.99690925666994</v>
      </c>
      <c r="I1027" s="3">
        <v>8.2499484876111655</v>
      </c>
      <c r="J1027" s="3">
        <v>0.1374991414601861</v>
      </c>
    </row>
    <row r="1028" spans="1:10" x14ac:dyDescent="0.35">
      <c r="A1028">
        <v>1027</v>
      </c>
      <c r="B1028" t="s">
        <v>2</v>
      </c>
      <c r="C1028" t="s">
        <v>96</v>
      </c>
      <c r="D1028" t="s">
        <v>140</v>
      </c>
      <c r="E1028" s="2">
        <v>44154.588495370372</v>
      </c>
      <c r="F1028" s="2">
        <v>44154.604467592595</v>
      </c>
      <c r="G1028" s="3">
        <v>1.5972222223354038E-2</v>
      </c>
      <c r="H1028" s="3">
        <v>1388.4059651733342</v>
      </c>
      <c r="I1028" s="3">
        <v>23.140099419555568</v>
      </c>
      <c r="J1028" s="3">
        <v>0.38566832365925946</v>
      </c>
    </row>
    <row r="1029" spans="1:10" x14ac:dyDescent="0.35">
      <c r="A1029">
        <v>1028</v>
      </c>
      <c r="B1029" t="s">
        <v>2</v>
      </c>
      <c r="C1029" t="s">
        <v>96</v>
      </c>
      <c r="D1029" t="s">
        <v>140</v>
      </c>
      <c r="E1029" s="2">
        <v>44154.604594907411</v>
      </c>
      <c r="F1029" s="2">
        <v>44154.637280092589</v>
      </c>
      <c r="G1029" s="3">
        <v>3.2685185178706888E-2</v>
      </c>
      <c r="H1029" s="3">
        <v>2841.2017714453136</v>
      </c>
      <c r="I1029" s="3">
        <v>47.353362857421892</v>
      </c>
      <c r="J1029" s="3">
        <v>0.78922271429036484</v>
      </c>
    </row>
    <row r="1030" spans="1:10" x14ac:dyDescent="0.35">
      <c r="A1030">
        <v>1029</v>
      </c>
      <c r="B1030" t="s">
        <v>2</v>
      </c>
      <c r="C1030" t="s">
        <v>96</v>
      </c>
      <c r="D1030" t="s">
        <v>140</v>
      </c>
      <c r="E1030" s="2">
        <v>44154.637731481482</v>
      </c>
      <c r="F1030" s="2">
        <v>44154.643472222226</v>
      </c>
      <c r="G1030" s="3">
        <v>5.7407407439313829E-3</v>
      </c>
      <c r="H1030" s="3">
        <v>499.02127468110069</v>
      </c>
      <c r="I1030" s="3">
        <v>8.3170212446850122</v>
      </c>
      <c r="J1030" s="3">
        <v>0.13861702074475021</v>
      </c>
    </row>
    <row r="1031" spans="1:10" x14ac:dyDescent="0.35">
      <c r="A1031">
        <v>1030</v>
      </c>
      <c r="B1031" t="s">
        <v>2</v>
      </c>
      <c r="C1031" t="s">
        <v>96</v>
      </c>
      <c r="D1031" t="s">
        <v>140</v>
      </c>
      <c r="E1031" s="2">
        <v>44154.643692129626</v>
      </c>
      <c r="F1031" s="2">
        <v>44154.668506944443</v>
      </c>
      <c r="G1031" s="3">
        <v>2.4814814816636499E-2</v>
      </c>
      <c r="H1031" s="3">
        <v>2157.0597024197232</v>
      </c>
      <c r="I1031" s="3">
        <v>35.950995040328721</v>
      </c>
      <c r="J1031" s="3">
        <v>0.5991832506721454</v>
      </c>
    </row>
    <row r="1032" spans="1:10" x14ac:dyDescent="0.35">
      <c r="A1032">
        <v>1031</v>
      </c>
      <c r="B1032" t="s">
        <v>11</v>
      </c>
      <c r="C1032" t="s">
        <v>11</v>
      </c>
      <c r="D1032" t="s">
        <v>140</v>
      </c>
      <c r="E1032" s="2">
        <v>44154.668645833335</v>
      </c>
      <c r="F1032" s="2">
        <v>44154.672430555554</v>
      </c>
      <c r="G1032" s="3">
        <v>3.7847222192795016E-3</v>
      </c>
      <c r="H1032" s="3">
        <v>328.99184799022089</v>
      </c>
      <c r="I1032" s="3">
        <v>5.4831974665036816</v>
      </c>
      <c r="J1032" s="3">
        <v>9.1386624441728029E-2</v>
      </c>
    </row>
    <row r="1033" spans="1:10" x14ac:dyDescent="0.35">
      <c r="A1033">
        <v>1032</v>
      </c>
      <c r="B1033" t="s">
        <v>2</v>
      </c>
      <c r="C1033" t="s">
        <v>96</v>
      </c>
      <c r="D1033" t="s">
        <v>140</v>
      </c>
      <c r="E1033" s="2">
        <v>44154.672719907408</v>
      </c>
      <c r="F1033" s="2">
        <v>44154.684444444443</v>
      </c>
      <c r="G1033" s="3">
        <v>1.1724537034751847E-2</v>
      </c>
      <c r="H1033" s="3">
        <v>1019.1704654686932</v>
      </c>
      <c r="I1033" s="3">
        <v>16.986174424478222</v>
      </c>
      <c r="J1033" s="3">
        <v>0.28310290707463703</v>
      </c>
    </row>
    <row r="1034" spans="1:10" x14ac:dyDescent="0.35">
      <c r="A1034">
        <v>1033</v>
      </c>
      <c r="B1034" t="s">
        <v>11</v>
      </c>
      <c r="C1034" t="s">
        <v>11</v>
      </c>
      <c r="D1034" t="s">
        <v>140</v>
      </c>
      <c r="E1034" s="2">
        <v>44154.684571759259</v>
      </c>
      <c r="F1034" s="2">
        <v>44154.698275462964</v>
      </c>
      <c r="G1034" s="3">
        <v>1.3703703705687076E-2</v>
      </c>
      <c r="H1034" s="3">
        <v>1191.2120745555524</v>
      </c>
      <c r="I1034" s="3">
        <v>19.853534575925874</v>
      </c>
      <c r="J1034" s="3">
        <v>0.3308922429320979</v>
      </c>
    </row>
    <row r="1035" spans="1:10" x14ac:dyDescent="0.35">
      <c r="A1035">
        <v>1034</v>
      </c>
      <c r="B1035" t="s">
        <v>2</v>
      </c>
      <c r="C1035" t="s">
        <v>96</v>
      </c>
      <c r="D1035" t="s">
        <v>140</v>
      </c>
      <c r="E1035" s="2">
        <v>44154.698472222219</v>
      </c>
      <c r="F1035" s="2">
        <v>44154.749120370368</v>
      </c>
      <c r="G1035" s="3">
        <v>5.0648148149775807E-2</v>
      </c>
      <c r="H1035" s="3">
        <v>4402.6554372197324</v>
      </c>
      <c r="I1035" s="3">
        <v>73.377590620328874</v>
      </c>
      <c r="J1035" s="3">
        <v>1.2229598436721478</v>
      </c>
    </row>
    <row r="1036" spans="1:10" x14ac:dyDescent="0.35">
      <c r="A1036">
        <v>1035</v>
      </c>
      <c r="B1036" t="s">
        <v>11</v>
      </c>
      <c r="C1036" t="s">
        <v>11</v>
      </c>
      <c r="D1036" t="s">
        <v>140</v>
      </c>
      <c r="E1036" s="2">
        <v>44155.352893518517</v>
      </c>
      <c r="F1036" s="2">
        <v>44155.353518518517</v>
      </c>
      <c r="G1036" s="3">
        <v>6.2500000058207661E-4</v>
      </c>
      <c r="H1036" s="3">
        <v>54.328929118747965</v>
      </c>
      <c r="I1036" s="3">
        <v>0.90548215197913273</v>
      </c>
      <c r="J1036" s="3">
        <v>1.5091369199652212E-2</v>
      </c>
    </row>
    <row r="1037" spans="1:10" x14ac:dyDescent="0.35">
      <c r="A1037">
        <v>1036</v>
      </c>
      <c r="B1037" t="s">
        <v>11</v>
      </c>
      <c r="C1037" t="s">
        <v>11</v>
      </c>
      <c r="D1037" t="s">
        <v>140</v>
      </c>
      <c r="E1037" s="2">
        <v>44155.35359953704</v>
      </c>
      <c r="F1037" s="2">
        <v>44155.354745370372</v>
      </c>
      <c r="G1037" s="3">
        <v>1.1458333319751546E-3</v>
      </c>
      <c r="H1037" s="3">
        <v>99.603036506880613</v>
      </c>
      <c r="I1037" s="3">
        <v>1.6600506084480102</v>
      </c>
      <c r="J1037" s="3">
        <v>2.7667510140800169E-2</v>
      </c>
    </row>
    <row r="1038" spans="1:10" x14ac:dyDescent="0.35">
      <c r="A1038">
        <v>1037</v>
      </c>
      <c r="B1038" t="s">
        <v>2</v>
      </c>
      <c r="C1038" t="s">
        <v>96</v>
      </c>
      <c r="D1038" t="s">
        <v>140</v>
      </c>
      <c r="E1038" s="2">
        <v>44155.35496527778</v>
      </c>
      <c r="F1038" s="2">
        <v>44155.393854166665</v>
      </c>
      <c r="G1038" s="3">
        <v>3.8888888884685002E-2</v>
      </c>
      <c r="H1038" s="3">
        <v>3380.4666972083623</v>
      </c>
      <c r="I1038" s="3">
        <v>56.341111620139372</v>
      </c>
      <c r="J1038" s="3">
        <v>0.93901852700232291</v>
      </c>
    </row>
    <row r="1039" spans="1:10" x14ac:dyDescent="0.35">
      <c r="A1039">
        <v>1038</v>
      </c>
      <c r="B1039" t="s">
        <v>11</v>
      </c>
      <c r="C1039" t="s">
        <v>11</v>
      </c>
      <c r="D1039" t="s">
        <v>140</v>
      </c>
      <c r="E1039" s="2">
        <v>44155.393969907411</v>
      </c>
      <c r="F1039" s="2">
        <v>44155.395729166667</v>
      </c>
      <c r="G1039" s="3">
        <v>1.7592592557775788E-3</v>
      </c>
      <c r="H1039" s="3">
        <v>152.92587411140289</v>
      </c>
      <c r="I1039" s="3">
        <v>2.5487645685233815</v>
      </c>
      <c r="J1039" s="3">
        <v>4.2479409475389689E-2</v>
      </c>
    </row>
    <row r="1040" spans="1:10" x14ac:dyDescent="0.35">
      <c r="A1040">
        <v>1039</v>
      </c>
      <c r="B1040" t="s">
        <v>2</v>
      </c>
      <c r="C1040" t="s">
        <v>96</v>
      </c>
      <c r="D1040" t="s">
        <v>140</v>
      </c>
      <c r="E1040" s="2">
        <v>44155.395914351851</v>
      </c>
      <c r="F1040" s="2">
        <v>44155.396886574075</v>
      </c>
      <c r="G1040" s="3">
        <v>9.7222222393611446E-4</v>
      </c>
      <c r="H1040" s="3">
        <v>84.511667588327057</v>
      </c>
      <c r="I1040" s="3">
        <v>1.4085277931387843</v>
      </c>
      <c r="J1040" s="3">
        <v>2.3475463218979739E-2</v>
      </c>
    </row>
    <row r="1041" spans="1:11" x14ac:dyDescent="0.35">
      <c r="A1041">
        <v>1040</v>
      </c>
      <c r="B1041" t="s">
        <v>2</v>
      </c>
      <c r="C1041" t="s">
        <v>96</v>
      </c>
      <c r="D1041" t="s">
        <v>140</v>
      </c>
      <c r="E1041" s="2">
        <v>44155.39702546296</v>
      </c>
      <c r="F1041" s="2">
        <v>44155.398032407407</v>
      </c>
      <c r="G1041" s="3">
        <v>1.006944446999114E-3</v>
      </c>
      <c r="H1041" s="3">
        <v>87.529941498532153</v>
      </c>
      <c r="I1041" s="3">
        <v>1.4588323583088691</v>
      </c>
      <c r="J1041" s="3">
        <v>2.4313872638481154E-2</v>
      </c>
    </row>
    <row r="1042" spans="1:11" x14ac:dyDescent="0.35">
      <c r="A1042">
        <v>1041</v>
      </c>
      <c r="B1042" t="s">
        <v>2</v>
      </c>
      <c r="C1042" t="s">
        <v>96</v>
      </c>
      <c r="D1042" t="s">
        <v>140</v>
      </c>
      <c r="E1042" s="2">
        <v>44155.398217592592</v>
      </c>
      <c r="F1042" s="2">
        <v>44155.403865740744</v>
      </c>
      <c r="G1042" s="3">
        <v>5.6481481515220366E-3</v>
      </c>
      <c r="H1042" s="3">
        <v>490.97254446471106</v>
      </c>
      <c r="I1042" s="3">
        <v>8.1828757410785169</v>
      </c>
      <c r="J1042" s="3">
        <v>0.13638126235130862</v>
      </c>
    </row>
    <row r="1043" spans="1:11" x14ac:dyDescent="0.35">
      <c r="A1043">
        <v>1042</v>
      </c>
      <c r="B1043" t="s">
        <v>2</v>
      </c>
      <c r="C1043" t="s">
        <v>96</v>
      </c>
      <c r="D1043" t="s">
        <v>140</v>
      </c>
      <c r="E1043" s="2">
        <v>44155.404467592591</v>
      </c>
      <c r="F1043" s="2">
        <v>44155.410266203704</v>
      </c>
      <c r="G1043" s="3">
        <v>5.7986111132777296E-3</v>
      </c>
      <c r="H1043" s="3">
        <v>504.05173098728523</v>
      </c>
      <c r="I1043" s="3">
        <v>8.4008621831214203</v>
      </c>
      <c r="J1043" s="3">
        <v>0.14001436971869033</v>
      </c>
    </row>
    <row r="1044" spans="1:11" x14ac:dyDescent="0.35">
      <c r="A1044">
        <v>1043</v>
      </c>
      <c r="B1044" t="s">
        <v>2</v>
      </c>
      <c r="C1044" t="s">
        <v>96</v>
      </c>
      <c r="D1044" t="s">
        <v>140</v>
      </c>
      <c r="E1044" s="2">
        <v>44155.410717592589</v>
      </c>
      <c r="F1044" s="2">
        <v>44155.44568287037</v>
      </c>
      <c r="G1044" s="3">
        <v>3.496527778042946E-2</v>
      </c>
      <c r="H1044" s="3">
        <v>3039.4017542097931</v>
      </c>
      <c r="I1044" s="3">
        <v>50.656695903496555</v>
      </c>
      <c r="J1044" s="3">
        <v>0.84427826505827597</v>
      </c>
    </row>
    <row r="1045" spans="1:11" x14ac:dyDescent="0.35">
      <c r="A1045">
        <v>1044</v>
      </c>
      <c r="B1045" t="s">
        <v>2</v>
      </c>
      <c r="C1045" t="s">
        <v>96</v>
      </c>
      <c r="D1045" t="s">
        <v>140</v>
      </c>
      <c r="E1045" s="2">
        <v>44155.445914351854</v>
      </c>
      <c r="F1045" s="2">
        <v>44155.450266203705</v>
      </c>
      <c r="G1045" s="3">
        <v>4.3518518505152315E-3</v>
      </c>
      <c r="H1045" s="3">
        <v>378.29032080278438</v>
      </c>
      <c r="I1045" s="3">
        <v>6.304838680046406</v>
      </c>
      <c r="J1045" s="3">
        <v>0.1050806446674401</v>
      </c>
    </row>
    <row r="1046" spans="1:11" x14ac:dyDescent="0.35">
      <c r="A1046">
        <v>1045</v>
      </c>
      <c r="B1046" t="s">
        <v>2</v>
      </c>
      <c r="C1046" t="s">
        <v>96</v>
      </c>
      <c r="D1046" t="s">
        <v>140</v>
      </c>
      <c r="E1046" s="2">
        <v>44155.450486111113</v>
      </c>
      <c r="F1046" s="2">
        <v>44155.456261574072</v>
      </c>
      <c r="G1046" s="3">
        <v>5.7754629597184248E-3</v>
      </c>
      <c r="H1046" s="3">
        <v>502.03954795883385</v>
      </c>
      <c r="I1046" s="3">
        <v>8.3673257993138979</v>
      </c>
      <c r="J1046" s="3">
        <v>0.13945542998856497</v>
      </c>
    </row>
    <row r="1047" spans="1:11" x14ac:dyDescent="0.35">
      <c r="A1047">
        <v>1046</v>
      </c>
      <c r="B1047" t="s">
        <v>11</v>
      </c>
      <c r="C1047" t="s">
        <v>11</v>
      </c>
      <c r="D1047" t="s">
        <v>140</v>
      </c>
      <c r="E1047" s="2">
        <v>44155.456423611111</v>
      </c>
      <c r="F1047" s="2">
        <v>44155.468888888892</v>
      </c>
      <c r="G1047" s="3">
        <v>1.2465277781302575E-2</v>
      </c>
      <c r="H1047" s="3">
        <v>1083.5603078322822</v>
      </c>
      <c r="I1047" s="3">
        <v>18.05933846387137</v>
      </c>
      <c r="J1047" s="3">
        <v>0.30098897439785616</v>
      </c>
    </row>
    <row r="1048" spans="1:11" x14ac:dyDescent="0.35">
      <c r="A1048">
        <v>1047</v>
      </c>
      <c r="B1048" t="s">
        <v>2</v>
      </c>
      <c r="C1048" t="s">
        <v>96</v>
      </c>
      <c r="D1048" t="s">
        <v>140</v>
      </c>
      <c r="E1048" s="2">
        <v>44155.4690625</v>
      </c>
      <c r="F1048" s="2">
        <v>44155.470312500001</v>
      </c>
      <c r="G1048" s="3">
        <v>1.2500000011641532E-3</v>
      </c>
      <c r="H1048" s="3">
        <v>108.65785823749593</v>
      </c>
      <c r="I1048" s="3">
        <v>1.8109643039582655</v>
      </c>
      <c r="J1048" s="3">
        <v>3.0182738399304423E-2</v>
      </c>
    </row>
    <row r="1049" spans="1:11" x14ac:dyDescent="0.35">
      <c r="A1049">
        <v>1048</v>
      </c>
      <c r="B1049" t="s">
        <v>11</v>
      </c>
      <c r="C1049" t="s">
        <v>11</v>
      </c>
      <c r="D1049" t="s">
        <v>140</v>
      </c>
      <c r="E1049" s="2">
        <v>44155.470393518517</v>
      </c>
      <c r="F1049" s="2">
        <v>44155.471712962964</v>
      </c>
      <c r="G1049" s="3">
        <v>1.3194444472901523E-3</v>
      </c>
      <c r="H1049" s="3">
        <v>114.69440605790614</v>
      </c>
      <c r="I1049" s="3">
        <v>1.9115734342984356</v>
      </c>
      <c r="J1049" s="3">
        <v>3.1859557238307259E-2</v>
      </c>
    </row>
    <row r="1050" spans="1:11" x14ac:dyDescent="0.35">
      <c r="A1050">
        <v>1049</v>
      </c>
      <c r="B1050" t="s">
        <v>16</v>
      </c>
      <c r="C1050" t="s">
        <v>16</v>
      </c>
      <c r="D1050" t="s">
        <v>140</v>
      </c>
      <c r="E1050" s="2">
        <v>44155.471828703703</v>
      </c>
      <c r="F1050" s="2">
        <v>44155.509027777778</v>
      </c>
      <c r="G1050" s="3">
        <v>3.7199074075033423E-2</v>
      </c>
      <c r="H1050" s="3">
        <v>3233.57737091737</v>
      </c>
      <c r="I1050" s="3">
        <v>53.892956181956166</v>
      </c>
      <c r="J1050" s="3">
        <v>0.89821593636593611</v>
      </c>
    </row>
    <row r="1051" spans="1:11" x14ac:dyDescent="0.35">
      <c r="A1051">
        <v>1050</v>
      </c>
      <c r="B1051" t="s">
        <v>11</v>
      </c>
      <c r="C1051" t="s">
        <v>11</v>
      </c>
      <c r="D1051" t="s">
        <v>140</v>
      </c>
      <c r="E1051" s="2">
        <v>44155.509155092594</v>
      </c>
      <c r="F1051" s="2">
        <v>44155.515520833331</v>
      </c>
      <c r="G1051" s="3">
        <v>6.3657407372375019E-3</v>
      </c>
      <c r="H1051" s="3">
        <v>553.35020316737666</v>
      </c>
      <c r="I1051" s="3">
        <v>9.2225033861229448</v>
      </c>
      <c r="J1051" s="3">
        <v>0.15370838976871576</v>
      </c>
    </row>
    <row r="1052" spans="1:11" x14ac:dyDescent="0.35">
      <c r="A1052">
        <v>1051</v>
      </c>
      <c r="B1052" t="s">
        <v>11</v>
      </c>
      <c r="C1052" t="s">
        <v>11</v>
      </c>
      <c r="D1052" t="s">
        <v>140</v>
      </c>
      <c r="E1052" s="2">
        <v>44155.515625</v>
      </c>
      <c r="F1052" s="2">
        <v>44155.519178240742</v>
      </c>
      <c r="G1052" s="3">
        <v>3.5532407418941148E-3</v>
      </c>
      <c r="H1052" s="3">
        <v>308.87002276548282</v>
      </c>
      <c r="I1052" s="3">
        <v>5.1478337127580467</v>
      </c>
      <c r="J1052" s="3">
        <v>8.5797228545967441E-2</v>
      </c>
    </row>
    <row r="1053" spans="1:11" x14ac:dyDescent="0.35">
      <c r="A1053">
        <v>1052</v>
      </c>
      <c r="B1053" t="s">
        <v>2</v>
      </c>
      <c r="C1053" t="s">
        <v>96</v>
      </c>
      <c r="D1053" t="s">
        <v>140</v>
      </c>
      <c r="E1053" s="2">
        <v>44155.519583333335</v>
      </c>
      <c r="F1053" s="2">
        <v>44155.52584490741</v>
      </c>
      <c r="G1053" s="3">
        <v>6.2615740753244609E-3</v>
      </c>
      <c r="H1053" s="3">
        <v>544.29538206923337</v>
      </c>
      <c r="I1053" s="3">
        <v>9.07158970115389</v>
      </c>
      <c r="J1053" s="3">
        <v>0.15119316168589816</v>
      </c>
    </row>
    <row r="1054" spans="1:11" x14ac:dyDescent="0.35">
      <c r="A1054">
        <v>1053</v>
      </c>
      <c r="B1054" t="s">
        <v>2</v>
      </c>
      <c r="C1054" t="s">
        <v>96</v>
      </c>
      <c r="D1054" t="s">
        <v>140</v>
      </c>
      <c r="E1054" s="2">
        <v>44155.525995370372</v>
      </c>
      <c r="F1054" s="2">
        <v>44155.53633101852</v>
      </c>
      <c r="G1054" s="3">
        <v>1.0335648148611654E-2</v>
      </c>
      <c r="H1054" s="3">
        <v>898.43951222284886</v>
      </c>
      <c r="I1054" s="3">
        <v>14.973991870380814</v>
      </c>
      <c r="J1054" s="3">
        <v>0.24956653117301358</v>
      </c>
    </row>
    <row r="1055" spans="1:11" x14ac:dyDescent="0.35">
      <c r="A1055">
        <v>1054</v>
      </c>
      <c r="B1055" t="s">
        <v>2</v>
      </c>
      <c r="C1055" t="s">
        <v>132</v>
      </c>
      <c r="D1055" t="s">
        <v>140</v>
      </c>
      <c r="E1055" s="2">
        <v>44155.536481481482</v>
      </c>
      <c r="F1055" s="2">
        <v>44155.542673611111</v>
      </c>
      <c r="G1055" s="3">
        <v>6.1921296291984618E-3</v>
      </c>
      <c r="H1055" s="3">
        <v>538.25883424882318</v>
      </c>
      <c r="I1055" s="3">
        <v>8.9709805708137189</v>
      </c>
      <c r="J1055" s="3">
        <v>0.14951634284689533</v>
      </c>
      <c r="K1055" t="s">
        <v>42</v>
      </c>
    </row>
    <row r="1056" spans="1:11" x14ac:dyDescent="0.35">
      <c r="A1056">
        <v>1055</v>
      </c>
      <c r="B1056" t="s">
        <v>11</v>
      </c>
      <c r="C1056" t="s">
        <v>11</v>
      </c>
      <c r="D1056" t="s">
        <v>140</v>
      </c>
      <c r="E1056" s="2">
        <v>44155.54277777778</v>
      </c>
      <c r="F1056" s="2">
        <v>44155.543715277781</v>
      </c>
      <c r="G1056" s="3">
        <v>9.3750000087311491E-4</v>
      </c>
      <c r="H1056" s="3">
        <v>81.493393678121947</v>
      </c>
      <c r="I1056" s="3">
        <v>1.3582232279686992</v>
      </c>
      <c r="J1056" s="3">
        <v>2.2637053799478321E-2</v>
      </c>
    </row>
    <row r="1057" spans="1:11" x14ac:dyDescent="0.35">
      <c r="A1057">
        <v>1056</v>
      </c>
      <c r="B1057" t="s">
        <v>11</v>
      </c>
      <c r="C1057" t="s">
        <v>11</v>
      </c>
      <c r="D1057" t="s">
        <v>140</v>
      </c>
      <c r="E1057" s="2">
        <v>44155.543807870374</v>
      </c>
      <c r="F1057" s="2">
        <v>44155.544085648151</v>
      </c>
      <c r="G1057" s="3">
        <v>2.7777777722803876E-4</v>
      </c>
      <c r="H1057" s="3">
        <v>24.146190649168876</v>
      </c>
      <c r="I1057" s="3">
        <v>0.40243651081948129</v>
      </c>
      <c r="J1057" s="3">
        <v>6.7072751803246879E-3</v>
      </c>
    </row>
    <row r="1058" spans="1:11" x14ac:dyDescent="0.35">
      <c r="A1058">
        <v>1057</v>
      </c>
      <c r="B1058" t="s">
        <v>2</v>
      </c>
      <c r="C1058" t="s">
        <v>96</v>
      </c>
      <c r="D1058" t="s">
        <v>140</v>
      </c>
      <c r="E1058" s="2">
        <v>44155.544351851851</v>
      </c>
      <c r="F1058" s="2">
        <v>44155.547326388885</v>
      </c>
      <c r="G1058" s="3">
        <v>2.9745370338787325E-3</v>
      </c>
      <c r="H1058" s="3">
        <v>258.56545843869372</v>
      </c>
      <c r="I1058" s="3">
        <v>4.3094243073115619</v>
      </c>
      <c r="J1058" s="3">
        <v>7.1823738455192701E-2</v>
      </c>
    </row>
    <row r="1059" spans="1:11" x14ac:dyDescent="0.35">
      <c r="A1059">
        <v>1058</v>
      </c>
      <c r="B1059" t="s">
        <v>2</v>
      </c>
      <c r="C1059" t="s">
        <v>96</v>
      </c>
      <c r="D1059" t="s">
        <v>140</v>
      </c>
      <c r="E1059" s="2">
        <v>44155.547592592593</v>
      </c>
      <c r="F1059" s="2">
        <v>44155.55269675926</v>
      </c>
      <c r="G1059" s="3">
        <v>5.1041666665696539E-3</v>
      </c>
      <c r="H1059" s="3">
        <v>443.68625404812707</v>
      </c>
      <c r="I1059" s="3">
        <v>7.3947709008021176</v>
      </c>
      <c r="J1059" s="3">
        <v>0.12324618168003529</v>
      </c>
    </row>
    <row r="1060" spans="1:11" x14ac:dyDescent="0.35">
      <c r="A1060">
        <v>1059</v>
      </c>
      <c r="B1060" t="s">
        <v>2</v>
      </c>
      <c r="C1060" t="s">
        <v>96</v>
      </c>
      <c r="D1060" t="s">
        <v>140</v>
      </c>
      <c r="E1060" s="2">
        <v>44155.552893518521</v>
      </c>
      <c r="F1060" s="2">
        <v>44155.566701388889</v>
      </c>
      <c r="G1060" s="3">
        <v>1.3807870367600117E-2</v>
      </c>
      <c r="H1060" s="3">
        <v>1200.2668956536957</v>
      </c>
      <c r="I1060" s="3">
        <v>20.004448260894929</v>
      </c>
      <c r="J1060" s="3">
        <v>0.33340747101491547</v>
      </c>
    </row>
    <row r="1061" spans="1:11" x14ac:dyDescent="0.35">
      <c r="A1061">
        <v>1060</v>
      </c>
      <c r="B1061" t="s">
        <v>2</v>
      </c>
      <c r="C1061" t="s">
        <v>96</v>
      </c>
      <c r="D1061" t="s">
        <v>140</v>
      </c>
      <c r="E1061" s="2">
        <v>44155.566874999997</v>
      </c>
      <c r="F1061" s="2">
        <v>44155.567557870374</v>
      </c>
      <c r="G1061" s="3">
        <v>6.8287037720438093E-4</v>
      </c>
      <c r="H1061" s="3">
        <v>59.359386057404457</v>
      </c>
      <c r="I1061" s="3">
        <v>0.98932310095674092</v>
      </c>
      <c r="J1061" s="3">
        <v>1.6488718349279015E-2</v>
      </c>
    </row>
    <row r="1062" spans="1:11" x14ac:dyDescent="0.35">
      <c r="A1062">
        <v>1061</v>
      </c>
      <c r="B1062" t="s">
        <v>2</v>
      </c>
      <c r="C1062" t="s">
        <v>96</v>
      </c>
      <c r="D1062" t="s">
        <v>140</v>
      </c>
      <c r="E1062" s="2">
        <v>44155.56790509259</v>
      </c>
      <c r="F1062" s="2">
        <v>44155.570034722223</v>
      </c>
      <c r="G1062" s="3">
        <v>2.1296296326909214E-3</v>
      </c>
      <c r="H1062" s="3">
        <v>185.12079560943334</v>
      </c>
      <c r="I1062" s="3">
        <v>3.0853465934905557</v>
      </c>
      <c r="J1062" s="3">
        <v>5.1422443224842594E-2</v>
      </c>
    </row>
    <row r="1063" spans="1:11" x14ac:dyDescent="0.35">
      <c r="A1063">
        <v>1062</v>
      </c>
      <c r="B1063" t="s">
        <v>2</v>
      </c>
      <c r="C1063" t="s">
        <v>96</v>
      </c>
      <c r="D1063" t="s">
        <v>140</v>
      </c>
      <c r="E1063" s="2">
        <v>44155.570613425924</v>
      </c>
      <c r="F1063" s="2">
        <v>44155.572129629632</v>
      </c>
      <c r="G1063" s="3">
        <v>1.5162037088884972E-3</v>
      </c>
      <c r="H1063" s="3">
        <v>131.7979580049111</v>
      </c>
      <c r="I1063" s="3">
        <v>2.1966326334151849</v>
      </c>
      <c r="J1063" s="3">
        <v>3.6610543890253082E-2</v>
      </c>
    </row>
    <row r="1064" spans="1:11" x14ac:dyDescent="0.35">
      <c r="A1064">
        <v>1063</v>
      </c>
      <c r="B1064" t="s">
        <v>11</v>
      </c>
      <c r="C1064" t="s">
        <v>11</v>
      </c>
      <c r="D1064" t="s">
        <v>140</v>
      </c>
      <c r="E1064" s="2">
        <v>44155.572222222225</v>
      </c>
      <c r="F1064" s="2">
        <v>44155.579641203702</v>
      </c>
      <c r="G1064" s="3">
        <v>7.4189814768033102E-3</v>
      </c>
      <c r="H1064" s="3">
        <v>644.90450945786768</v>
      </c>
      <c r="I1064" s="3">
        <v>10.748408490964461</v>
      </c>
      <c r="J1064" s="3">
        <v>0.17914014151607435</v>
      </c>
    </row>
    <row r="1065" spans="1:11" x14ac:dyDescent="0.35">
      <c r="A1065">
        <v>1064</v>
      </c>
      <c r="B1065" t="s">
        <v>2</v>
      </c>
      <c r="C1065" t="s">
        <v>96</v>
      </c>
      <c r="D1065" t="s">
        <v>140</v>
      </c>
      <c r="E1065" s="2">
        <v>44155.579872685186</v>
      </c>
      <c r="F1065" s="2">
        <v>44155.588356481479</v>
      </c>
      <c r="G1065" s="3">
        <v>8.4837962931487709E-3</v>
      </c>
      <c r="H1065" s="3">
        <v>737.46490726258435</v>
      </c>
      <c r="I1065" s="3">
        <v>12.291081787709739</v>
      </c>
      <c r="J1065" s="3">
        <v>0.20485136312849567</v>
      </c>
    </row>
    <row r="1066" spans="1:11" x14ac:dyDescent="0.35">
      <c r="A1066">
        <v>1065</v>
      </c>
      <c r="B1066" t="s">
        <v>2</v>
      </c>
      <c r="C1066" t="s">
        <v>132</v>
      </c>
      <c r="D1066" t="s">
        <v>140</v>
      </c>
      <c r="E1066" s="2">
        <v>44155.588460648149</v>
      </c>
      <c r="F1066" s="2">
        <v>44155.607858796298</v>
      </c>
      <c r="G1066" s="3">
        <v>1.9398148149775807E-2</v>
      </c>
      <c r="H1066" s="3">
        <v>1686.2089838122224</v>
      </c>
      <c r="I1066" s="3">
        <v>28.103483063537041</v>
      </c>
      <c r="J1066" s="3">
        <v>0.468391384392284</v>
      </c>
      <c r="K1066" t="s">
        <v>64</v>
      </c>
    </row>
    <row r="1067" spans="1:11" x14ac:dyDescent="0.35">
      <c r="A1067">
        <v>1066</v>
      </c>
      <c r="B1067" t="s">
        <v>16</v>
      </c>
      <c r="C1067" t="s">
        <v>16</v>
      </c>
      <c r="D1067" t="s">
        <v>140</v>
      </c>
      <c r="E1067" s="2">
        <v>44155.607986111114</v>
      </c>
      <c r="F1067" s="2">
        <v>44155.612800925926</v>
      </c>
      <c r="G1067" s="3">
        <v>4.8148148125619628E-3</v>
      </c>
      <c r="H1067" s="3">
        <v>418.53397188473247</v>
      </c>
      <c r="I1067" s="3">
        <v>6.9755661980788748</v>
      </c>
      <c r="J1067" s="3">
        <v>0.11625943663464791</v>
      </c>
    </row>
    <row r="1068" spans="1:11" x14ac:dyDescent="0.35">
      <c r="A1068">
        <v>1067</v>
      </c>
      <c r="B1068" t="s">
        <v>11</v>
      </c>
      <c r="C1068" t="s">
        <v>11</v>
      </c>
      <c r="D1068" t="s">
        <v>140</v>
      </c>
      <c r="E1068" s="2">
        <v>44155.613113425927</v>
      </c>
      <c r="F1068" s="2">
        <v>44155.642858796295</v>
      </c>
      <c r="G1068" s="3">
        <v>2.9745370367891155E-2</v>
      </c>
      <c r="H1068" s="3">
        <v>2585.6545869168249</v>
      </c>
      <c r="I1068" s="3">
        <v>43.094243115280413</v>
      </c>
      <c r="J1068" s="3">
        <v>0.71823738525467351</v>
      </c>
    </row>
    <row r="1069" spans="1:11" x14ac:dyDescent="0.35">
      <c r="A1069">
        <v>1068</v>
      </c>
      <c r="B1069" t="s">
        <v>11</v>
      </c>
      <c r="C1069" t="s">
        <v>11</v>
      </c>
      <c r="D1069" t="s">
        <v>140</v>
      </c>
      <c r="E1069" s="2">
        <v>44155.643009259256</v>
      </c>
      <c r="F1069" s="2">
        <v>44155.643692129626</v>
      </c>
      <c r="G1069" s="3">
        <v>6.8287036992842332E-4</v>
      </c>
      <c r="H1069" s="3">
        <v>59.359385424932483</v>
      </c>
      <c r="I1069" s="3">
        <v>0.98932309041554134</v>
      </c>
      <c r="J1069" s="3">
        <v>1.6488718173592355E-2</v>
      </c>
    </row>
    <row r="1070" spans="1:11" x14ac:dyDescent="0.35">
      <c r="A1070">
        <v>1069</v>
      </c>
      <c r="B1070" t="s">
        <v>2</v>
      </c>
      <c r="C1070" t="s">
        <v>96</v>
      </c>
      <c r="D1070" t="s">
        <v>140</v>
      </c>
      <c r="E1070" s="2">
        <v>44155.643935185188</v>
      </c>
      <c r="F1070" s="2">
        <v>44155.647175925929</v>
      </c>
      <c r="G1070" s="3">
        <v>3.2407407416030765E-3</v>
      </c>
      <c r="H1070" s="3">
        <v>281.70555820610883</v>
      </c>
      <c r="I1070" s="3">
        <v>4.6950926367684804</v>
      </c>
      <c r="J1070" s="3">
        <v>7.8251543946141339E-2</v>
      </c>
    </row>
    <row r="1071" spans="1:11" x14ac:dyDescent="0.35">
      <c r="A1071">
        <v>1070</v>
      </c>
      <c r="B1071" t="s">
        <v>2</v>
      </c>
      <c r="C1071" t="s">
        <v>96</v>
      </c>
      <c r="D1071" t="s">
        <v>140</v>
      </c>
      <c r="E1071" s="2">
        <v>44155.647546296299</v>
      </c>
      <c r="F1071" s="2">
        <v>44155.656840277778</v>
      </c>
      <c r="G1071" s="3">
        <v>9.29398147854954E-3</v>
      </c>
      <c r="H1071" s="3">
        <v>807.89129681411157</v>
      </c>
      <c r="I1071" s="3">
        <v>13.464854946901859</v>
      </c>
      <c r="J1071" s="3">
        <v>0.22441424911503099</v>
      </c>
    </row>
    <row r="1072" spans="1:11" x14ac:dyDescent="0.35">
      <c r="A1072">
        <v>1071</v>
      </c>
      <c r="B1072" t="s">
        <v>11</v>
      </c>
      <c r="C1072" t="s">
        <v>11</v>
      </c>
      <c r="D1072" t="s">
        <v>140</v>
      </c>
      <c r="E1072" s="2">
        <v>44155.657118055555</v>
      </c>
      <c r="F1072" s="2">
        <v>44155.676620370374</v>
      </c>
      <c r="G1072" s="3">
        <v>1.9502314818964805E-2</v>
      </c>
      <c r="H1072" s="3">
        <v>1695.2638055428376</v>
      </c>
      <c r="I1072" s="3">
        <v>28.254396759047292</v>
      </c>
      <c r="J1072" s="3">
        <v>0.4709066126507882</v>
      </c>
    </row>
    <row r="1073" spans="1:11" x14ac:dyDescent="0.35">
      <c r="A1073">
        <v>1072</v>
      </c>
      <c r="B1073" t="s">
        <v>2</v>
      </c>
      <c r="C1073" t="s">
        <v>96</v>
      </c>
      <c r="D1073" t="s">
        <v>140</v>
      </c>
      <c r="E1073" s="2">
        <v>44155.676817129628</v>
      </c>
      <c r="F1073" s="2">
        <v>44155.682118055556</v>
      </c>
      <c r="G1073" s="3">
        <v>5.3009259281679988E-3</v>
      </c>
      <c r="H1073" s="3">
        <v>460.78980599513199</v>
      </c>
      <c r="I1073" s="3">
        <v>7.679830099918866</v>
      </c>
      <c r="J1073" s="3">
        <v>0.1279971683319811</v>
      </c>
    </row>
    <row r="1074" spans="1:11" x14ac:dyDescent="0.35">
      <c r="A1074">
        <v>1073</v>
      </c>
      <c r="B1074" t="s">
        <v>2</v>
      </c>
      <c r="C1074" t="s">
        <v>132</v>
      </c>
      <c r="D1074" t="s">
        <v>140</v>
      </c>
      <c r="E1074" s="2">
        <v>44155.68240740741</v>
      </c>
      <c r="F1074" s="2">
        <v>44155.683310185188</v>
      </c>
      <c r="G1074" s="3">
        <v>9.0277777781011537E-4</v>
      </c>
      <c r="H1074" s="3">
        <v>78.475119767916837</v>
      </c>
      <c r="I1074" s="3">
        <v>1.3079186627986139</v>
      </c>
      <c r="J1074" s="3">
        <v>2.17986443799769E-2</v>
      </c>
      <c r="K1074" t="s">
        <v>42</v>
      </c>
    </row>
    <row r="1075" spans="1:11" x14ac:dyDescent="0.35">
      <c r="A1075">
        <v>1074</v>
      </c>
      <c r="B1075" t="s">
        <v>11</v>
      </c>
      <c r="C1075" t="s">
        <v>11</v>
      </c>
      <c r="D1075" t="s">
        <v>140</v>
      </c>
      <c r="E1075" s="2">
        <v>44155.684432870374</v>
      </c>
      <c r="F1075" s="2">
        <v>44155.708414351851</v>
      </c>
      <c r="G1075" s="3">
        <v>2.3981481477676425E-2</v>
      </c>
      <c r="H1075" s="3">
        <v>2084.6211298397448</v>
      </c>
      <c r="I1075" s="3">
        <v>34.743685497329082</v>
      </c>
      <c r="J1075" s="3">
        <v>0.57906142495548474</v>
      </c>
    </row>
    <row r="1076" spans="1:11" x14ac:dyDescent="0.35">
      <c r="A1076">
        <v>1075</v>
      </c>
      <c r="B1076" t="s">
        <v>2</v>
      </c>
      <c r="C1076" t="s">
        <v>96</v>
      </c>
      <c r="D1076" t="s">
        <v>140</v>
      </c>
      <c r="E1076" s="2">
        <v>44155.884467592594</v>
      </c>
      <c r="F1076" s="2">
        <v>44155.888090277775</v>
      </c>
      <c r="G1076" s="3">
        <v>3.6226851807441562E-3</v>
      </c>
      <c r="H1076" s="3">
        <v>314.90656995342107</v>
      </c>
      <c r="I1076" s="3">
        <v>5.2484428325570178</v>
      </c>
      <c r="J1076" s="3">
        <v>8.7474047209283631E-2</v>
      </c>
    </row>
    <row r="1077" spans="1:11" x14ac:dyDescent="0.35">
      <c r="A1077">
        <v>1076</v>
      </c>
      <c r="B1077" t="s">
        <v>11</v>
      </c>
      <c r="C1077" t="s">
        <v>11</v>
      </c>
      <c r="D1077" t="s">
        <v>140</v>
      </c>
      <c r="E1077" s="2">
        <v>44157.485150462962</v>
      </c>
      <c r="F1077" s="2">
        <v>44157.54760416667</v>
      </c>
      <c r="G1077" s="3">
        <v>6.2453703707433306E-2</v>
      </c>
      <c r="H1077" s="3">
        <v>5428.8685420230613</v>
      </c>
      <c r="I1077" s="3">
        <v>90.481142367051021</v>
      </c>
      <c r="J1077" s="3">
        <v>1.5080190394508504</v>
      </c>
    </row>
    <row r="1078" spans="1:11" x14ac:dyDescent="0.35">
      <c r="A1078">
        <v>1077</v>
      </c>
      <c r="B1078" t="s">
        <v>11</v>
      </c>
      <c r="C1078" t="s">
        <v>11</v>
      </c>
      <c r="D1078" t="s">
        <v>140</v>
      </c>
      <c r="E1078" s="2">
        <v>44157.592789351853</v>
      </c>
      <c r="F1078" s="2">
        <v>44157.65525462963</v>
      </c>
      <c r="G1078" s="3">
        <v>6.2465277776937E-2</v>
      </c>
      <c r="H1078" s="3">
        <v>5429.8746329048154</v>
      </c>
      <c r="I1078" s="3">
        <v>90.497910548413586</v>
      </c>
      <c r="J1078" s="3">
        <v>1.5082985091402263</v>
      </c>
    </row>
    <row r="1079" spans="1:11" x14ac:dyDescent="0.35">
      <c r="A1079">
        <v>1078</v>
      </c>
      <c r="B1079" t="s">
        <v>11</v>
      </c>
      <c r="C1079" t="s">
        <v>11</v>
      </c>
      <c r="D1079" t="s">
        <v>140</v>
      </c>
      <c r="E1079" s="2">
        <v>44157.707962962966</v>
      </c>
      <c r="F1079" s="2">
        <v>44157.76898148148</v>
      </c>
      <c r="G1079" s="3">
        <v>6.1018518514174502E-2</v>
      </c>
      <c r="H1079" s="3">
        <v>5304.1132227203143</v>
      </c>
      <c r="I1079" s="3">
        <v>88.401887045338569</v>
      </c>
      <c r="J1079" s="3">
        <v>1.4733647840889761</v>
      </c>
    </row>
    <row r="1080" spans="1:11" x14ac:dyDescent="0.35">
      <c r="A1080">
        <v>1079</v>
      </c>
      <c r="B1080" t="s">
        <v>11</v>
      </c>
      <c r="C1080" t="s">
        <v>11</v>
      </c>
      <c r="D1080" t="s">
        <v>140</v>
      </c>
      <c r="E1080" s="2">
        <v>44158.326562499999</v>
      </c>
      <c r="F1080" s="2">
        <v>44158.335821759261</v>
      </c>
      <c r="G1080" s="3">
        <v>9.2592592627624981E-3</v>
      </c>
      <c r="H1080" s="3">
        <v>804.87302353637847</v>
      </c>
      <c r="I1080" s="3">
        <v>13.414550392272975</v>
      </c>
      <c r="J1080" s="3">
        <v>0.22357583987121626</v>
      </c>
    </row>
    <row r="1081" spans="1:11" x14ac:dyDescent="0.35">
      <c r="A1081">
        <v>1080</v>
      </c>
      <c r="B1081" t="s">
        <v>11</v>
      </c>
      <c r="C1081" t="s">
        <v>11</v>
      </c>
      <c r="D1081" t="s">
        <v>140</v>
      </c>
      <c r="E1081" s="2">
        <v>44158.335902777777</v>
      </c>
      <c r="F1081" s="2">
        <v>44158.339444444442</v>
      </c>
      <c r="G1081" s="3">
        <v>3.5416666651144624E-3</v>
      </c>
      <c r="H1081" s="3">
        <v>307.86393125125716</v>
      </c>
      <c r="I1081" s="3">
        <v>5.1310655208542864</v>
      </c>
      <c r="J1081" s="3">
        <v>8.5517758680904776E-2</v>
      </c>
    </row>
    <row r="1082" spans="1:11" x14ac:dyDescent="0.35">
      <c r="A1082">
        <v>1081</v>
      </c>
      <c r="B1082" t="s">
        <v>2</v>
      </c>
      <c r="C1082" t="s">
        <v>96</v>
      </c>
      <c r="D1082" t="s">
        <v>140</v>
      </c>
      <c r="E1082" s="2">
        <v>44158.33966435185</v>
      </c>
      <c r="F1082" s="2">
        <v>44158.342303240737</v>
      </c>
      <c r="G1082" s="3">
        <v>2.638888887304347E-3</v>
      </c>
      <c r="H1082" s="3">
        <v>229.38881148334031</v>
      </c>
      <c r="I1082" s="3">
        <v>3.8231468580556718</v>
      </c>
      <c r="J1082" s="3">
        <v>6.3719114300927859E-2</v>
      </c>
    </row>
    <row r="1083" spans="1:11" x14ac:dyDescent="0.35">
      <c r="A1083">
        <v>1082</v>
      </c>
      <c r="B1083" t="s">
        <v>11</v>
      </c>
      <c r="C1083" t="s">
        <v>11</v>
      </c>
      <c r="D1083" t="s">
        <v>140</v>
      </c>
      <c r="E1083" s="2">
        <v>44158.342627314814</v>
      </c>
      <c r="F1083" s="2">
        <v>44158.345185185186</v>
      </c>
      <c r="G1083" s="3">
        <v>2.5578703716746531E-3</v>
      </c>
      <c r="H1083" s="3">
        <v>222.34617278117636</v>
      </c>
      <c r="I1083" s="3">
        <v>3.7057695463529394</v>
      </c>
      <c r="J1083" s="3">
        <v>6.176282577254899E-2</v>
      </c>
    </row>
    <row r="1084" spans="1:11" x14ac:dyDescent="0.35">
      <c r="A1084">
        <v>1083</v>
      </c>
      <c r="B1084" t="s">
        <v>33</v>
      </c>
      <c r="C1084" t="s">
        <v>33</v>
      </c>
      <c r="D1084" t="s">
        <v>140</v>
      </c>
      <c r="E1084" s="2">
        <v>44160.375</v>
      </c>
      <c r="F1084" s="2">
        <v>44160.708333333336</v>
      </c>
      <c r="G1084" s="3">
        <v>0.33333333333575865</v>
      </c>
      <c r="H1084" s="3">
        <v>28975.428836557599</v>
      </c>
      <c r="I1084" s="3">
        <v>482.92381394262668</v>
      </c>
      <c r="J1084" s="3">
        <v>8.0487302323771122</v>
      </c>
    </row>
    <row r="1085" spans="1:11" x14ac:dyDescent="0.35">
      <c r="A1085">
        <v>1084</v>
      </c>
      <c r="B1085" t="s">
        <v>11</v>
      </c>
      <c r="C1085" t="s">
        <v>11</v>
      </c>
      <c r="D1085" t="s">
        <v>140</v>
      </c>
      <c r="E1085" s="2">
        <v>44158.345578703702</v>
      </c>
      <c r="F1085" s="2">
        <v>44158.346909722219</v>
      </c>
      <c r="G1085" s="3">
        <v>1.3310185167938471E-3</v>
      </c>
      <c r="H1085" s="3">
        <v>115.70049693965986</v>
      </c>
      <c r="I1085" s="3">
        <v>1.9283416156609976</v>
      </c>
      <c r="J1085" s="3">
        <v>3.2139026927683292E-2</v>
      </c>
    </row>
    <row r="1086" spans="1:11" x14ac:dyDescent="0.35">
      <c r="A1086">
        <v>1085</v>
      </c>
      <c r="B1086" t="s">
        <v>2</v>
      </c>
      <c r="C1086" t="s">
        <v>132</v>
      </c>
      <c r="D1086" t="s">
        <v>140</v>
      </c>
      <c r="E1086" s="2">
        <v>44158.347037037034</v>
      </c>
      <c r="F1086" s="2">
        <v>44158.351504629631</v>
      </c>
      <c r="G1086" s="3">
        <v>4.4675925964838825E-3</v>
      </c>
      <c r="H1086" s="3">
        <v>388.35123404762538</v>
      </c>
      <c r="I1086" s="3">
        <v>6.4725205674604229</v>
      </c>
      <c r="J1086" s="3">
        <v>0.10787534279100705</v>
      </c>
      <c r="K1086" t="s">
        <v>42</v>
      </c>
    </row>
    <row r="1087" spans="1:11" x14ac:dyDescent="0.35">
      <c r="A1087">
        <v>1086</v>
      </c>
      <c r="B1087" t="s">
        <v>2</v>
      </c>
      <c r="C1087" t="s">
        <v>132</v>
      </c>
      <c r="D1087" t="s">
        <v>140</v>
      </c>
      <c r="E1087" s="2">
        <v>44158.351770833331</v>
      </c>
      <c r="F1087" s="2">
        <v>44158.372164351851</v>
      </c>
      <c r="G1087" s="3">
        <v>2.0393518519995268E-2</v>
      </c>
      <c r="H1087" s="3">
        <v>1772.7328337965289</v>
      </c>
      <c r="I1087" s="3">
        <v>29.545547229942148</v>
      </c>
      <c r="J1087" s="3">
        <v>0.49242578716570246</v>
      </c>
      <c r="K1087" t="s">
        <v>64</v>
      </c>
    </row>
    <row r="1088" spans="1:11" x14ac:dyDescent="0.35">
      <c r="A1088">
        <v>1087</v>
      </c>
      <c r="B1088" t="s">
        <v>11</v>
      </c>
      <c r="C1088" t="s">
        <v>11</v>
      </c>
      <c r="D1088" t="s">
        <v>140</v>
      </c>
      <c r="E1088" s="2">
        <v>44158.37232638889</v>
      </c>
      <c r="F1088" s="2">
        <v>44158.377534722225</v>
      </c>
      <c r="G1088" s="3">
        <v>5.2083333357586525E-3</v>
      </c>
      <c r="H1088" s="3">
        <v>452.74107577874236</v>
      </c>
      <c r="I1088" s="3">
        <v>7.5456845963123724</v>
      </c>
      <c r="J1088" s="3">
        <v>0.12576140993853954</v>
      </c>
    </row>
    <row r="1089" spans="1:11" x14ac:dyDescent="0.35">
      <c r="A1089">
        <v>1088</v>
      </c>
      <c r="B1089" t="s">
        <v>2</v>
      </c>
      <c r="C1089" t="s">
        <v>96</v>
      </c>
      <c r="D1089" t="s">
        <v>140</v>
      </c>
      <c r="E1089" s="2">
        <v>44158.377754629626</v>
      </c>
      <c r="F1089" s="2">
        <v>44158.379942129628</v>
      </c>
      <c r="G1089" s="3">
        <v>2.1875000020372681E-3</v>
      </c>
      <c r="H1089" s="3">
        <v>190.15125191561788</v>
      </c>
      <c r="I1089" s="3">
        <v>3.1691875319269647</v>
      </c>
      <c r="J1089" s="3">
        <v>5.2819792198782745E-2</v>
      </c>
    </row>
    <row r="1090" spans="1:11" x14ac:dyDescent="0.35">
      <c r="A1090">
        <v>1089</v>
      </c>
      <c r="B1090" t="s">
        <v>11</v>
      </c>
      <c r="C1090" t="s">
        <v>11</v>
      </c>
      <c r="D1090" t="s">
        <v>140</v>
      </c>
      <c r="E1090" s="2">
        <v>44158.380196759259</v>
      </c>
      <c r="F1090" s="2">
        <v>44158.39261574074</v>
      </c>
      <c r="G1090" s="3">
        <v>1.2418981481459923E-2</v>
      </c>
      <c r="H1090" s="3">
        <v>1079.5359424078513</v>
      </c>
      <c r="I1090" s="3">
        <v>17.992265706797522</v>
      </c>
      <c r="J1090" s="3">
        <v>0.29987109511329202</v>
      </c>
    </row>
    <row r="1091" spans="1:11" x14ac:dyDescent="0.35">
      <c r="A1091">
        <v>1090</v>
      </c>
      <c r="B1091" t="s">
        <v>2</v>
      </c>
      <c r="C1091" t="s">
        <v>96</v>
      </c>
      <c r="D1091" t="s">
        <v>140</v>
      </c>
      <c r="E1091" s="2">
        <v>44158.392789351848</v>
      </c>
      <c r="F1091" s="2">
        <v>44158.395509259259</v>
      </c>
      <c r="G1091" s="3">
        <v>2.7199074102099985E-3</v>
      </c>
      <c r="H1091" s="3">
        <v>236.43145081797621</v>
      </c>
      <c r="I1091" s="3">
        <v>3.9405241802996036</v>
      </c>
      <c r="J1091" s="3">
        <v>6.5675403004993388E-2</v>
      </c>
    </row>
    <row r="1092" spans="1:11" x14ac:dyDescent="0.35">
      <c r="A1092">
        <v>1091</v>
      </c>
      <c r="B1092" t="s">
        <v>2</v>
      </c>
      <c r="C1092" t="s">
        <v>96</v>
      </c>
      <c r="D1092" t="s">
        <v>140</v>
      </c>
      <c r="E1092" s="2">
        <v>44158.39565972222</v>
      </c>
      <c r="F1092" s="2">
        <v>44158.410138888888</v>
      </c>
      <c r="G1092" s="3">
        <v>1.4479166668024845E-2</v>
      </c>
      <c r="H1092" s="3">
        <v>1258.6201901968745</v>
      </c>
      <c r="I1092" s="3">
        <v>20.97700316994791</v>
      </c>
      <c r="J1092" s="3">
        <v>0.34961671949913181</v>
      </c>
    </row>
    <row r="1093" spans="1:11" x14ac:dyDescent="0.35">
      <c r="A1093">
        <v>1092</v>
      </c>
      <c r="B1093" t="s">
        <v>2</v>
      </c>
      <c r="C1093" t="s">
        <v>96</v>
      </c>
      <c r="D1093" t="s">
        <v>140</v>
      </c>
      <c r="E1093" s="2">
        <v>44158.410300925927</v>
      </c>
      <c r="F1093" s="2">
        <v>44158.411782407406</v>
      </c>
      <c r="G1093" s="3">
        <v>1.48148147854954E-3</v>
      </c>
      <c r="H1093" s="3">
        <v>128.779683462234</v>
      </c>
      <c r="I1093" s="3">
        <v>2.1463280577038999</v>
      </c>
      <c r="J1093" s="3">
        <v>3.5772134295064997E-2</v>
      </c>
    </row>
    <row r="1094" spans="1:11" x14ac:dyDescent="0.35">
      <c r="A1094">
        <v>1093</v>
      </c>
      <c r="B1094" t="s">
        <v>2</v>
      </c>
      <c r="C1094" t="s">
        <v>96</v>
      </c>
      <c r="D1094" t="s">
        <v>140</v>
      </c>
      <c r="E1094" s="2">
        <v>44158.412106481483</v>
      </c>
      <c r="F1094" s="2">
        <v>44158.413043981483</v>
      </c>
      <c r="G1094" s="3">
        <v>9.3750000087311491E-4</v>
      </c>
      <c r="H1094" s="3">
        <v>81.493393678121947</v>
      </c>
      <c r="I1094" s="3">
        <v>1.3582232279686992</v>
      </c>
      <c r="J1094" s="3">
        <v>2.2637053799478321E-2</v>
      </c>
    </row>
    <row r="1095" spans="1:11" x14ac:dyDescent="0.35">
      <c r="A1095">
        <v>1094</v>
      </c>
      <c r="B1095" t="s">
        <v>11</v>
      </c>
      <c r="C1095" t="s">
        <v>11</v>
      </c>
      <c r="D1095" t="s">
        <v>140</v>
      </c>
      <c r="E1095" s="2">
        <v>44158.413391203707</v>
      </c>
      <c r="F1095" s="2">
        <v>44158.421157407407</v>
      </c>
      <c r="G1095" s="3">
        <v>7.7662037001573481E-3</v>
      </c>
      <c r="H1095" s="3">
        <v>675.08724792744681</v>
      </c>
      <c r="I1095" s="3">
        <v>11.251454132124113</v>
      </c>
      <c r="J1095" s="3">
        <v>0.1875242355354019</v>
      </c>
    </row>
    <row r="1096" spans="1:11" x14ac:dyDescent="0.35">
      <c r="A1096">
        <v>1095</v>
      </c>
      <c r="B1096" t="s">
        <v>74</v>
      </c>
      <c r="C1096" t="s">
        <v>74</v>
      </c>
      <c r="D1096" t="s">
        <v>140</v>
      </c>
      <c r="E1096" s="2">
        <v>44161.375</v>
      </c>
      <c r="F1096" s="2">
        <v>44161.708333333336</v>
      </c>
      <c r="G1096" s="3">
        <v>0.33333333333575865</v>
      </c>
      <c r="H1096" s="3">
        <v>28975.428836557599</v>
      </c>
      <c r="I1096" s="3">
        <v>482.92381394262668</v>
      </c>
      <c r="J1096" s="3">
        <v>8.0487302323771122</v>
      </c>
    </row>
    <row r="1097" spans="1:11" x14ac:dyDescent="0.35">
      <c r="A1097">
        <v>1096</v>
      </c>
      <c r="B1097" t="s">
        <v>74</v>
      </c>
      <c r="C1097" t="s">
        <v>74</v>
      </c>
      <c r="D1097" t="s">
        <v>140</v>
      </c>
      <c r="E1097" s="2">
        <v>44162.375</v>
      </c>
      <c r="F1097" s="2">
        <v>44162.708333333336</v>
      </c>
      <c r="G1097" s="3">
        <v>0.33333333333575865</v>
      </c>
      <c r="H1097" s="3">
        <v>28975.428836557599</v>
      </c>
      <c r="I1097" s="3">
        <v>482.92381394262668</v>
      </c>
      <c r="J1097" s="3">
        <v>8.0487302323771122</v>
      </c>
    </row>
    <row r="1098" spans="1:11" x14ac:dyDescent="0.35">
      <c r="A1098">
        <v>1097</v>
      </c>
      <c r="B1098" t="s">
        <v>11</v>
      </c>
      <c r="C1098" t="s">
        <v>11</v>
      </c>
      <c r="D1098" t="s">
        <v>140</v>
      </c>
      <c r="E1098" s="2">
        <v>44158.42083333333</v>
      </c>
      <c r="F1098" s="2">
        <v>44158.426724537036</v>
      </c>
      <c r="G1098" s="3">
        <v>5.8912037056870759E-3</v>
      </c>
      <c r="H1098" s="3">
        <v>512.10046120367485</v>
      </c>
      <c r="I1098" s="3">
        <v>8.5350076867279139</v>
      </c>
      <c r="J1098" s="3">
        <v>0.14225012811213189</v>
      </c>
    </row>
    <row r="1099" spans="1:11" x14ac:dyDescent="0.35">
      <c r="A1099">
        <v>1098</v>
      </c>
      <c r="B1099" t="s">
        <v>16</v>
      </c>
      <c r="C1099" t="s">
        <v>16</v>
      </c>
      <c r="D1099" t="s">
        <v>140</v>
      </c>
      <c r="E1099" s="2">
        <v>44158.427037037036</v>
      </c>
      <c r="F1099" s="2">
        <v>44158.43236111111</v>
      </c>
      <c r="G1099" s="3">
        <v>5.324074074451346E-3</v>
      </c>
      <c r="H1099" s="3">
        <v>462.80198839111142</v>
      </c>
      <c r="I1099" s="3">
        <v>7.7133664731851903</v>
      </c>
      <c r="J1099" s="3">
        <v>0.12855610788641983</v>
      </c>
    </row>
    <row r="1100" spans="1:11" x14ac:dyDescent="0.35">
      <c r="A1100">
        <v>1099</v>
      </c>
      <c r="B1100" t="s">
        <v>2</v>
      </c>
      <c r="C1100" t="s">
        <v>96</v>
      </c>
      <c r="D1100" t="s">
        <v>140</v>
      </c>
      <c r="E1100" s="2">
        <v>44158.432476851849</v>
      </c>
      <c r="F1100" s="2">
        <v>44158.433819444443</v>
      </c>
      <c r="G1100" s="3">
        <v>1.3425925935734995E-3</v>
      </c>
      <c r="H1100" s="3">
        <v>116.70658845388556</v>
      </c>
      <c r="I1100" s="3">
        <v>1.9451098075647593</v>
      </c>
      <c r="J1100" s="3">
        <v>3.2418496792745985E-2</v>
      </c>
    </row>
    <row r="1101" spans="1:11" x14ac:dyDescent="0.35">
      <c r="A1101">
        <v>1100</v>
      </c>
      <c r="B1101" t="s">
        <v>2</v>
      </c>
      <c r="C1101" t="s">
        <v>72</v>
      </c>
      <c r="D1101" t="s">
        <v>140</v>
      </c>
      <c r="E1101" s="2">
        <v>44158.433946759258</v>
      </c>
      <c r="F1101" s="2">
        <v>44158.451481481483</v>
      </c>
      <c r="G1101" s="3">
        <v>1.7534722224809229E-2</v>
      </c>
      <c r="H1101" s="3">
        <v>1524.2282879702041</v>
      </c>
      <c r="I1101" s="3">
        <v>25.403804799503401</v>
      </c>
      <c r="J1101" s="3">
        <v>0.42339674665839</v>
      </c>
      <c r="K1101" t="s">
        <v>73</v>
      </c>
    </row>
    <row r="1102" spans="1:11" x14ac:dyDescent="0.35">
      <c r="A1102">
        <v>1101</v>
      </c>
      <c r="B1102" t="s">
        <v>2</v>
      </c>
      <c r="C1102" t="s">
        <v>96</v>
      </c>
      <c r="D1102" t="s">
        <v>140</v>
      </c>
      <c r="E1102" s="2">
        <v>44158.451979166668</v>
      </c>
      <c r="F1102" s="2">
        <v>44158.459756944445</v>
      </c>
      <c r="G1102" s="3">
        <v>7.7777777769370005E-3</v>
      </c>
      <c r="H1102" s="3">
        <v>676.09333944167247</v>
      </c>
      <c r="I1102" s="3">
        <v>11.268222324027874</v>
      </c>
      <c r="J1102" s="3">
        <v>0.18780370540046457</v>
      </c>
    </row>
    <row r="1103" spans="1:11" x14ac:dyDescent="0.35">
      <c r="A1103">
        <v>1102</v>
      </c>
      <c r="B1103" t="s">
        <v>2</v>
      </c>
      <c r="C1103" t="s">
        <v>96</v>
      </c>
      <c r="D1103" t="s">
        <v>140</v>
      </c>
      <c r="E1103" s="2">
        <v>44158.45989583333</v>
      </c>
      <c r="F1103" s="2">
        <v>44158.463414351849</v>
      </c>
      <c r="G1103" s="3">
        <v>3.5185185188311152E-3</v>
      </c>
      <c r="H1103" s="3">
        <v>305.85174885527772</v>
      </c>
      <c r="I1103" s="3">
        <v>5.0975291475879621</v>
      </c>
      <c r="J1103" s="3">
        <v>8.4958819126466037E-2</v>
      </c>
    </row>
    <row r="1104" spans="1:11" x14ac:dyDescent="0.35">
      <c r="A1104">
        <v>1103</v>
      </c>
      <c r="B1104" t="s">
        <v>11</v>
      </c>
      <c r="C1104" t="s">
        <v>11</v>
      </c>
      <c r="D1104" t="s">
        <v>140</v>
      </c>
      <c r="E1104" s="2">
        <v>44158.463483796295</v>
      </c>
      <c r="F1104" s="2">
        <v>44158.471643518518</v>
      </c>
      <c r="G1104" s="3">
        <v>8.1597222233540379E-3</v>
      </c>
      <c r="H1104" s="3">
        <v>709.29435182145664</v>
      </c>
      <c r="I1104" s="3">
        <v>11.82157253035761</v>
      </c>
      <c r="J1104" s="3">
        <v>0.1970262088392935</v>
      </c>
    </row>
    <row r="1105" spans="1:10" x14ac:dyDescent="0.35">
      <c r="A1105">
        <v>1104</v>
      </c>
      <c r="B1105" t="s">
        <v>2</v>
      </c>
      <c r="C1105" t="s">
        <v>96</v>
      </c>
      <c r="D1105" t="s">
        <v>140</v>
      </c>
      <c r="E1105" s="2">
        <v>44158.47179398148</v>
      </c>
      <c r="F1105" s="2">
        <v>44158.474351851852</v>
      </c>
      <c r="G1105" s="3">
        <v>2.5578703716746531E-3</v>
      </c>
      <c r="H1105" s="3">
        <v>222.34617278117636</v>
      </c>
      <c r="I1105" s="3">
        <v>3.7057695463529394</v>
      </c>
      <c r="J1105" s="3">
        <v>6.176282577254899E-2</v>
      </c>
    </row>
    <row r="1106" spans="1:10" x14ac:dyDescent="0.35">
      <c r="A1106">
        <v>1105</v>
      </c>
      <c r="B1106" t="s">
        <v>2</v>
      </c>
      <c r="C1106" t="s">
        <v>96</v>
      </c>
      <c r="D1106" t="s">
        <v>140</v>
      </c>
      <c r="E1106" s="2">
        <v>44158.474791666667</v>
      </c>
      <c r="F1106" s="2">
        <v>44158.479895833334</v>
      </c>
      <c r="G1106" s="3">
        <v>5.1041666665696539E-3</v>
      </c>
      <c r="H1106" s="3">
        <v>443.68625404812707</v>
      </c>
      <c r="I1106" s="3">
        <v>7.3947709008021176</v>
      </c>
      <c r="J1106" s="3">
        <v>0.12324618168003529</v>
      </c>
    </row>
    <row r="1107" spans="1:10" x14ac:dyDescent="0.35">
      <c r="A1107">
        <v>1106</v>
      </c>
      <c r="B1107" t="s">
        <v>11</v>
      </c>
      <c r="C1107" t="s">
        <v>11</v>
      </c>
      <c r="D1107" t="s">
        <v>140</v>
      </c>
      <c r="E1107" s="2">
        <v>44158.480057870373</v>
      </c>
      <c r="F1107" s="2">
        <v>44158.488078703704</v>
      </c>
      <c r="G1107" s="3">
        <v>8.0208333311020397E-3</v>
      </c>
      <c r="H1107" s="3">
        <v>697.22125618063626</v>
      </c>
      <c r="I1107" s="3">
        <v>11.620354269677271</v>
      </c>
      <c r="J1107" s="3">
        <v>0.19367257116128786</v>
      </c>
    </row>
    <row r="1108" spans="1:10" x14ac:dyDescent="0.35">
      <c r="A1108">
        <v>1107</v>
      </c>
      <c r="B1108" t="s">
        <v>2</v>
      </c>
      <c r="C1108" t="s">
        <v>96</v>
      </c>
      <c r="D1108" t="s">
        <v>140</v>
      </c>
      <c r="E1108" s="2">
        <v>44158.488275462965</v>
      </c>
      <c r="F1108" s="2">
        <v>44158.491759259261</v>
      </c>
      <c r="G1108" s="3">
        <v>3.4837962957681157E-3</v>
      </c>
      <c r="H1108" s="3">
        <v>302.83347494507262</v>
      </c>
      <c r="I1108" s="3">
        <v>5.0472245824178774</v>
      </c>
      <c r="J1108" s="3">
        <v>8.4120409706964619E-2</v>
      </c>
    </row>
    <row r="1109" spans="1:10" x14ac:dyDescent="0.35">
      <c r="A1109">
        <v>1108</v>
      </c>
      <c r="B1109" t="s">
        <v>16</v>
      </c>
      <c r="C1109" t="s">
        <v>16</v>
      </c>
      <c r="D1109" t="s">
        <v>140</v>
      </c>
      <c r="E1109" s="2">
        <v>44158.491851851853</v>
      </c>
      <c r="F1109" s="2">
        <v>44158.518773148149</v>
      </c>
      <c r="G1109" s="3">
        <v>2.6921296295768116E-2</v>
      </c>
      <c r="H1109" s="3">
        <v>2340.1683150007052</v>
      </c>
      <c r="I1109" s="3">
        <v>39.002805250011754</v>
      </c>
      <c r="J1109" s="3">
        <v>0.65004675416686253</v>
      </c>
    </row>
    <row r="1110" spans="1:10" x14ac:dyDescent="0.35">
      <c r="A1110">
        <v>1109</v>
      </c>
      <c r="B1110" t="s">
        <v>11</v>
      </c>
      <c r="C1110" t="s">
        <v>11</v>
      </c>
      <c r="D1110" t="s">
        <v>140</v>
      </c>
      <c r="E1110" s="2">
        <v>44158.518865740742</v>
      </c>
      <c r="F1110" s="2">
        <v>44158.519108796296</v>
      </c>
      <c r="G1110" s="3">
        <v>2.4305555416503921E-4</v>
      </c>
      <c r="H1110" s="3">
        <v>21.127916738963769</v>
      </c>
      <c r="I1110" s="3">
        <v>0.35213194564939615</v>
      </c>
      <c r="J1110" s="3">
        <v>5.868865760823269E-3</v>
      </c>
    </row>
    <row r="1111" spans="1:10" x14ac:dyDescent="0.35">
      <c r="A1111">
        <v>1110</v>
      </c>
      <c r="B1111" t="s">
        <v>2</v>
      </c>
      <c r="C1111" t="s">
        <v>96</v>
      </c>
      <c r="D1111" t="s">
        <v>140</v>
      </c>
      <c r="E1111" s="2">
        <v>44158.519270833334</v>
      </c>
      <c r="F1111" s="2">
        <v>44158.523599537039</v>
      </c>
      <c r="G1111" s="3">
        <v>4.3287037042318843E-3</v>
      </c>
      <c r="H1111" s="3">
        <v>376.27813840680494</v>
      </c>
      <c r="I1111" s="3">
        <v>6.2713023067800826</v>
      </c>
      <c r="J1111" s="3">
        <v>0.10452170511300138</v>
      </c>
    </row>
    <row r="1112" spans="1:10" x14ac:dyDescent="0.35">
      <c r="A1112">
        <v>1111</v>
      </c>
      <c r="B1112" t="s">
        <v>2</v>
      </c>
      <c r="C1112" t="s">
        <v>96</v>
      </c>
      <c r="D1112" t="s">
        <v>140</v>
      </c>
      <c r="E1112" s="2">
        <v>44158.523865740739</v>
      </c>
      <c r="F1112" s="2">
        <v>44158.537789351853</v>
      </c>
      <c r="G1112" s="3">
        <v>1.3923611113568768E-2</v>
      </c>
      <c r="H1112" s="3">
        <v>1210.3278088985369</v>
      </c>
      <c r="I1112" s="3">
        <v>20.172130148308948</v>
      </c>
      <c r="J1112" s="3">
        <v>0.3362021691384825</v>
      </c>
    </row>
    <row r="1113" spans="1:10" x14ac:dyDescent="0.35">
      <c r="A1113">
        <v>1112</v>
      </c>
      <c r="B1113" t="s">
        <v>2</v>
      </c>
      <c r="C1113" t="s">
        <v>96</v>
      </c>
      <c r="D1113" t="s">
        <v>140</v>
      </c>
      <c r="E1113" s="2">
        <v>44158.538148148145</v>
      </c>
      <c r="F1113" s="2">
        <v>44158.545787037037</v>
      </c>
      <c r="G1113" s="3">
        <v>7.6388888919609599E-3</v>
      </c>
      <c r="H1113" s="3">
        <v>664.02024443332402</v>
      </c>
      <c r="I1113" s="3">
        <v>11.067004073888734</v>
      </c>
      <c r="J1113" s="3">
        <v>0.18445006789814558</v>
      </c>
    </row>
    <row r="1114" spans="1:10" x14ac:dyDescent="0.35">
      <c r="A1114">
        <v>1113</v>
      </c>
      <c r="B1114" t="s">
        <v>2</v>
      </c>
      <c r="C1114" t="s">
        <v>96</v>
      </c>
      <c r="D1114" t="s">
        <v>140</v>
      </c>
      <c r="E1114" s="2">
        <v>44158.546215277776</v>
      </c>
      <c r="F1114" s="2">
        <v>44158.549826388888</v>
      </c>
      <c r="G1114" s="3">
        <v>3.6111111112404615E-3</v>
      </c>
      <c r="H1114" s="3">
        <v>313.90047907166735</v>
      </c>
      <c r="I1114" s="3">
        <v>5.2316746511944556</v>
      </c>
      <c r="J1114" s="3">
        <v>8.7194577519907598E-2</v>
      </c>
    </row>
    <row r="1115" spans="1:10" x14ac:dyDescent="0.35">
      <c r="A1115">
        <v>1114</v>
      </c>
      <c r="B1115" t="s">
        <v>2</v>
      </c>
      <c r="C1115" t="s">
        <v>96</v>
      </c>
      <c r="D1115" t="s">
        <v>140</v>
      </c>
      <c r="E1115" s="2">
        <v>44158.550115740742</v>
      </c>
      <c r="F1115" s="2">
        <v>44158.557164351849</v>
      </c>
      <c r="G1115" s="3">
        <v>7.0486111071659252E-3</v>
      </c>
      <c r="H1115" s="3">
        <v>612.70958859230916</v>
      </c>
      <c r="I1115" s="3">
        <v>10.211826476538485</v>
      </c>
      <c r="J1115" s="3">
        <v>0.17019710794230808</v>
      </c>
    </row>
    <row r="1116" spans="1:10" x14ac:dyDescent="0.35">
      <c r="A1116">
        <v>1115</v>
      </c>
      <c r="B1116" t="s">
        <v>2</v>
      </c>
      <c r="C1116" t="s">
        <v>96</v>
      </c>
      <c r="D1116" t="s">
        <v>140</v>
      </c>
      <c r="E1116" s="2">
        <v>44158.557337962964</v>
      </c>
      <c r="F1116" s="2">
        <v>44158.608831018515</v>
      </c>
      <c r="G1116" s="3">
        <v>5.1493055550963618E-2</v>
      </c>
      <c r="H1116" s="3">
        <v>4476.1001000489932</v>
      </c>
      <c r="I1116" s="3">
        <v>74.601668334149892</v>
      </c>
      <c r="J1116" s="3">
        <v>1.2433611389024981</v>
      </c>
    </row>
    <row r="1117" spans="1:10" x14ac:dyDescent="0.35">
      <c r="A1117">
        <v>1116</v>
      </c>
      <c r="B1117" t="s">
        <v>16</v>
      </c>
      <c r="C1117" t="s">
        <v>16</v>
      </c>
      <c r="D1117" t="s">
        <v>140</v>
      </c>
      <c r="E1117" s="2">
        <v>44158.608946759261</v>
      </c>
      <c r="F1117" s="2">
        <v>44158.612361111111</v>
      </c>
      <c r="G1117" s="3">
        <v>3.4143518496421166E-3</v>
      </c>
      <c r="H1117" s="3">
        <v>296.79692712466243</v>
      </c>
      <c r="I1117" s="3">
        <v>4.9466154520777073</v>
      </c>
      <c r="J1117" s="3">
        <v>8.2443590867961783E-2</v>
      </c>
    </row>
    <row r="1118" spans="1:10" x14ac:dyDescent="0.35">
      <c r="A1118">
        <v>1117</v>
      </c>
      <c r="B1118" t="s">
        <v>11</v>
      </c>
      <c r="C1118" t="s">
        <v>11</v>
      </c>
      <c r="D1118" t="s">
        <v>140</v>
      </c>
      <c r="E1118" s="2">
        <v>44158.612500000003</v>
      </c>
      <c r="F1118" s="2">
        <v>44158.625972222224</v>
      </c>
      <c r="G1118" s="3">
        <v>1.3472222221025731E-2</v>
      </c>
      <c r="H1118" s="3">
        <v>1171.0902486983423</v>
      </c>
      <c r="I1118" s="3">
        <v>19.518170811639038</v>
      </c>
      <c r="J1118" s="3">
        <v>0.32530284686065064</v>
      </c>
    </row>
    <row r="1119" spans="1:10" x14ac:dyDescent="0.35">
      <c r="A1119">
        <v>1118</v>
      </c>
      <c r="B1119" t="s">
        <v>2</v>
      </c>
      <c r="C1119" t="s">
        <v>96</v>
      </c>
      <c r="D1119" t="s">
        <v>140</v>
      </c>
      <c r="E1119" s="2">
        <v>44158.626226851855</v>
      </c>
      <c r="F1119" s="2">
        <v>44158.629525462966</v>
      </c>
      <c r="G1119" s="3">
        <v>3.2986111109494232E-3</v>
      </c>
      <c r="H1119" s="3">
        <v>286.73601451229337</v>
      </c>
      <c r="I1119" s="3">
        <v>4.7789335752048894</v>
      </c>
      <c r="J1119" s="3">
        <v>7.9648892920081496E-2</v>
      </c>
    </row>
    <row r="1120" spans="1:10" x14ac:dyDescent="0.35">
      <c r="A1120">
        <v>1119</v>
      </c>
      <c r="B1120" t="s">
        <v>11</v>
      </c>
      <c r="C1120" t="s">
        <v>11</v>
      </c>
      <c r="D1120" t="s">
        <v>140</v>
      </c>
      <c r="E1120" s="2">
        <v>44158.629733796297</v>
      </c>
      <c r="F1120" s="2">
        <v>44158.633194444446</v>
      </c>
      <c r="G1120" s="3">
        <v>3.4606481494847685E-3</v>
      </c>
      <c r="H1120" s="3">
        <v>300.82129254909319</v>
      </c>
      <c r="I1120" s="3">
        <v>5.0136882091515531</v>
      </c>
      <c r="J1120" s="3">
        <v>8.356147015252588E-2</v>
      </c>
    </row>
    <row r="1121" spans="1:11" x14ac:dyDescent="0.35">
      <c r="A1121">
        <v>1120</v>
      </c>
      <c r="B1121" t="s">
        <v>2</v>
      </c>
      <c r="C1121" t="s">
        <v>96</v>
      </c>
      <c r="D1121" t="s">
        <v>140</v>
      </c>
      <c r="E1121" s="2">
        <v>44158.633449074077</v>
      </c>
      <c r="F1121" s="2">
        <v>44158.662141203706</v>
      </c>
      <c r="G1121" s="3">
        <v>2.8692129628325347E-2</v>
      </c>
      <c r="H1121" s="3">
        <v>2494.1002806263341</v>
      </c>
      <c r="I1121" s="3">
        <v>41.5683380104389</v>
      </c>
      <c r="J1121" s="3">
        <v>0.69280563350731506</v>
      </c>
    </row>
    <row r="1122" spans="1:11" x14ac:dyDescent="0.35">
      <c r="A1122">
        <v>1121</v>
      </c>
      <c r="B1122" t="s">
        <v>16</v>
      </c>
      <c r="C1122" t="s">
        <v>16</v>
      </c>
      <c r="D1122" t="s">
        <v>140</v>
      </c>
      <c r="E1122" s="2">
        <v>44158.662256944444</v>
      </c>
      <c r="F1122" s="2">
        <v>44158.664953703701</v>
      </c>
      <c r="G1122" s="3">
        <v>2.6967592566506937E-3</v>
      </c>
      <c r="H1122" s="3">
        <v>234.41926778952481</v>
      </c>
      <c r="I1122" s="3">
        <v>3.9069877964920803</v>
      </c>
      <c r="J1122" s="3">
        <v>6.5116463274868003E-2</v>
      </c>
    </row>
    <row r="1123" spans="1:11" x14ac:dyDescent="0.35">
      <c r="A1123">
        <v>1122</v>
      </c>
      <c r="B1123" t="s">
        <v>2</v>
      </c>
      <c r="C1123" t="s">
        <v>96</v>
      </c>
      <c r="D1123" t="s">
        <v>140</v>
      </c>
      <c r="E1123" s="2">
        <v>44158.665208333332</v>
      </c>
      <c r="F1123" s="2">
        <v>44158.746759259258</v>
      </c>
      <c r="G1123" s="3">
        <v>8.1550925926421769E-2</v>
      </c>
      <c r="H1123" s="3">
        <v>7088.919152157664</v>
      </c>
      <c r="I1123" s="3">
        <v>118.14865253596106</v>
      </c>
      <c r="J1123" s="3">
        <v>1.9691442089326843</v>
      </c>
    </row>
    <row r="1124" spans="1:11" x14ac:dyDescent="0.35">
      <c r="A1124">
        <v>1123</v>
      </c>
      <c r="B1124" t="s">
        <v>2</v>
      </c>
      <c r="C1124" t="s">
        <v>96</v>
      </c>
      <c r="D1124" t="s">
        <v>140</v>
      </c>
      <c r="E1124" s="2">
        <v>44158.747083333335</v>
      </c>
      <c r="F1124" s="2">
        <v>44158.752662037034</v>
      </c>
      <c r="G1124" s="3">
        <v>5.5787036981200799E-3</v>
      </c>
      <c r="H1124" s="3">
        <v>484.93599601182888</v>
      </c>
      <c r="I1124" s="3">
        <v>8.0822666001971477</v>
      </c>
      <c r="J1124" s="3">
        <v>0.13470444333661913</v>
      </c>
    </row>
    <row r="1125" spans="1:11" x14ac:dyDescent="0.35">
      <c r="A1125">
        <v>1124</v>
      </c>
      <c r="B1125" t="s">
        <v>11</v>
      </c>
      <c r="C1125" t="s">
        <v>11</v>
      </c>
      <c r="D1125" t="s">
        <v>140</v>
      </c>
      <c r="E1125" s="2">
        <v>44158.752835648149</v>
      </c>
      <c r="F1125" s="2">
        <v>44158.757094907407</v>
      </c>
      <c r="G1125" s="3">
        <v>4.2592592581058852E-3</v>
      </c>
      <c r="H1125" s="3">
        <v>370.24159058639475</v>
      </c>
      <c r="I1125" s="3">
        <v>6.1706931764399124</v>
      </c>
      <c r="J1125" s="3">
        <v>0.10284488627399854</v>
      </c>
    </row>
    <row r="1126" spans="1:11" x14ac:dyDescent="0.35">
      <c r="A1126">
        <v>1125</v>
      </c>
      <c r="B1126" t="s">
        <v>11</v>
      </c>
      <c r="C1126" t="s">
        <v>11</v>
      </c>
      <c r="D1126" t="s">
        <v>140</v>
      </c>
      <c r="E1126" s="2">
        <v>44158.757222222222</v>
      </c>
      <c r="F1126" s="2">
        <v>44158.760625000003</v>
      </c>
      <c r="G1126" s="3">
        <v>3.4027777801384218E-3</v>
      </c>
      <c r="H1126" s="3">
        <v>295.79083624290871</v>
      </c>
      <c r="I1126" s="3">
        <v>4.9298472707151451</v>
      </c>
      <c r="J1126" s="3">
        <v>8.216412117858575E-2</v>
      </c>
    </row>
    <row r="1127" spans="1:11" x14ac:dyDescent="0.35">
      <c r="A1127">
        <v>1126</v>
      </c>
      <c r="B1127" t="s">
        <v>11</v>
      </c>
      <c r="C1127" t="s">
        <v>11</v>
      </c>
      <c r="D1127" t="s">
        <v>140</v>
      </c>
      <c r="E1127" s="2">
        <v>44158.760717592595</v>
      </c>
      <c r="F1127" s="2">
        <v>44158.763819444444</v>
      </c>
      <c r="G1127" s="3">
        <v>3.1018518493510783E-3</v>
      </c>
      <c r="H1127" s="3">
        <v>269.63246256528845</v>
      </c>
      <c r="I1127" s="3">
        <v>4.493874376088141</v>
      </c>
      <c r="J1127" s="3">
        <v>7.4897906268135681E-2</v>
      </c>
    </row>
    <row r="1128" spans="1:11" x14ac:dyDescent="0.35">
      <c r="A1128">
        <v>1127</v>
      </c>
      <c r="B1128" t="s">
        <v>2</v>
      </c>
      <c r="C1128" t="s">
        <v>96</v>
      </c>
      <c r="D1128" t="s">
        <v>140</v>
      </c>
      <c r="E1128" s="2">
        <v>44158.764004629629</v>
      </c>
      <c r="F1128" s="2">
        <v>44158.765185185184</v>
      </c>
      <c r="G1128" s="3">
        <v>1.1805555550381541E-3</v>
      </c>
      <c r="H1128" s="3">
        <v>102.62131041708571</v>
      </c>
      <c r="I1128" s="3">
        <v>1.7103551736180951</v>
      </c>
      <c r="J1128" s="3">
        <v>2.8505919560301584E-2</v>
      </c>
    </row>
    <row r="1129" spans="1:11" x14ac:dyDescent="0.35">
      <c r="A1129">
        <v>1128</v>
      </c>
      <c r="B1129" t="s">
        <v>2</v>
      </c>
      <c r="C1129" t="s">
        <v>96</v>
      </c>
      <c r="D1129" t="s">
        <v>140</v>
      </c>
      <c r="E1129" s="2">
        <v>44158.765636574077</v>
      </c>
      <c r="F1129" s="2">
        <v>44158.771921296298</v>
      </c>
      <c r="G1129" s="3">
        <v>6.284722221607808E-3</v>
      </c>
      <c r="H1129" s="3">
        <v>546.30756446521275</v>
      </c>
      <c r="I1129" s="3">
        <v>9.1051260744202125</v>
      </c>
      <c r="J1129" s="3">
        <v>0.15175210124033686</v>
      </c>
    </row>
    <row r="1130" spans="1:11" x14ac:dyDescent="0.35">
      <c r="A1130">
        <v>1129</v>
      </c>
      <c r="B1130" t="s">
        <v>2</v>
      </c>
      <c r="C1130" t="s">
        <v>132</v>
      </c>
      <c r="D1130" t="s">
        <v>140</v>
      </c>
      <c r="E1130" s="2">
        <v>44158.772013888891</v>
      </c>
      <c r="F1130" s="2">
        <v>44158.773993055554</v>
      </c>
      <c r="G1130" s="3">
        <v>1.9791666636592709E-3</v>
      </c>
      <c r="H1130" s="3">
        <v>172.04160845438724</v>
      </c>
      <c r="I1130" s="3">
        <v>2.8673601409064542</v>
      </c>
      <c r="J1130" s="3">
        <v>4.7789335681774237E-2</v>
      </c>
      <c r="K1130" t="s">
        <v>64</v>
      </c>
    </row>
    <row r="1131" spans="1:11" x14ac:dyDescent="0.35">
      <c r="A1131">
        <v>1130</v>
      </c>
      <c r="B1131" t="s">
        <v>11</v>
      </c>
      <c r="C1131" t="s">
        <v>11</v>
      </c>
      <c r="D1131" t="s">
        <v>140</v>
      </c>
      <c r="E1131" s="2">
        <v>44158.796446759261</v>
      </c>
      <c r="F1131" s="2">
        <v>44158.826562499999</v>
      </c>
      <c r="G1131" s="3">
        <v>3.011574073752854E-2</v>
      </c>
      <c r="H1131" s="3">
        <v>2617.8495077823832</v>
      </c>
      <c r="I1131" s="3">
        <v>43.630825129706388</v>
      </c>
      <c r="J1131" s="3">
        <v>0.72718041882843976</v>
      </c>
    </row>
    <row r="1132" spans="1:11" x14ac:dyDescent="0.35">
      <c r="A1132">
        <v>1131</v>
      </c>
      <c r="B1132" t="s">
        <v>11</v>
      </c>
      <c r="C1132" t="s">
        <v>11</v>
      </c>
      <c r="D1132" t="s">
        <v>140</v>
      </c>
      <c r="E1132" s="2">
        <v>44159.33121527778</v>
      </c>
      <c r="F1132" s="2">
        <v>44159.338287037041</v>
      </c>
      <c r="G1132" s="3">
        <v>7.07175926072523E-3</v>
      </c>
      <c r="H1132" s="3">
        <v>614.72177162076059</v>
      </c>
      <c r="I1132" s="3">
        <v>10.24536286034601</v>
      </c>
      <c r="J1132" s="3">
        <v>0.17075604767243349</v>
      </c>
    </row>
    <row r="1133" spans="1:11" x14ac:dyDescent="0.35">
      <c r="A1133">
        <v>1132</v>
      </c>
      <c r="B1133" t="s">
        <v>11</v>
      </c>
      <c r="C1133" t="s">
        <v>11</v>
      </c>
      <c r="D1133" t="s">
        <v>140</v>
      </c>
      <c r="E1133" s="2">
        <v>44159.338506944441</v>
      </c>
      <c r="F1133" s="2">
        <v>44159.340300925927</v>
      </c>
      <c r="G1133" s="3">
        <v>1.793981486116536E-3</v>
      </c>
      <c r="H1133" s="3">
        <v>155.94414865407995</v>
      </c>
      <c r="I1133" s="3">
        <v>2.5990691442346661</v>
      </c>
      <c r="J1133" s="3">
        <v>4.3317819070577766E-2</v>
      </c>
    </row>
    <row r="1134" spans="1:11" x14ac:dyDescent="0.35">
      <c r="A1134">
        <v>1133</v>
      </c>
      <c r="B1134" t="s">
        <v>2</v>
      </c>
      <c r="C1134" t="s">
        <v>96</v>
      </c>
      <c r="D1134" t="s">
        <v>140</v>
      </c>
      <c r="E1134" s="2">
        <v>44159.340601851851</v>
      </c>
      <c r="F1134" s="2">
        <v>44159.344756944447</v>
      </c>
      <c r="G1134" s="3">
        <v>4.1550925961928442E-3</v>
      </c>
      <c r="H1134" s="3">
        <v>361.1867694882514</v>
      </c>
      <c r="I1134" s="3">
        <v>6.0197794914708567</v>
      </c>
      <c r="J1134" s="3">
        <v>0.10032965819118095</v>
      </c>
    </row>
    <row r="1135" spans="1:11" x14ac:dyDescent="0.35">
      <c r="A1135">
        <v>1134</v>
      </c>
      <c r="B1135" t="s">
        <v>11</v>
      </c>
      <c r="C1135" t="s">
        <v>11</v>
      </c>
      <c r="D1135" t="s">
        <v>140</v>
      </c>
      <c r="E1135" s="2">
        <v>44159.344918981478</v>
      </c>
      <c r="F1135" s="2">
        <v>44159.347094907411</v>
      </c>
      <c r="G1135" s="3">
        <v>2.1759259325335734E-3</v>
      </c>
      <c r="H1135" s="3">
        <v>189.14516103386416</v>
      </c>
      <c r="I1135" s="3">
        <v>3.1524193505644025</v>
      </c>
      <c r="J1135" s="3">
        <v>5.2540322509406705E-2</v>
      </c>
    </row>
    <row r="1136" spans="1:11" x14ac:dyDescent="0.35">
      <c r="A1136">
        <v>1135</v>
      </c>
      <c r="B1136" t="s">
        <v>2</v>
      </c>
      <c r="C1136" t="s">
        <v>132</v>
      </c>
      <c r="D1136" t="s">
        <v>140</v>
      </c>
      <c r="E1136" s="2">
        <v>44159.347546296296</v>
      </c>
      <c r="F1136" s="2">
        <v>44159.3674537037</v>
      </c>
      <c r="G1136" s="3">
        <v>1.9907407404389232E-2</v>
      </c>
      <c r="H1136" s="3">
        <v>1730.4769996861294</v>
      </c>
      <c r="I1136" s="3">
        <v>28.841283328102158</v>
      </c>
      <c r="J1136" s="3">
        <v>0.48068805546836929</v>
      </c>
      <c r="K1136" t="s">
        <v>64</v>
      </c>
    </row>
    <row r="1137" spans="1:11" x14ac:dyDescent="0.35">
      <c r="A1137">
        <v>1136</v>
      </c>
      <c r="B1137" t="s">
        <v>2</v>
      </c>
      <c r="C1137" t="s">
        <v>96</v>
      </c>
      <c r="D1137" t="s">
        <v>140</v>
      </c>
      <c r="E1137" s="2">
        <v>44159.367604166669</v>
      </c>
      <c r="F1137" s="2">
        <v>44159.370486111111</v>
      </c>
      <c r="G1137" s="3">
        <v>2.8819444414693862E-3</v>
      </c>
      <c r="H1137" s="3">
        <v>250.51672822230407</v>
      </c>
      <c r="I1137" s="3">
        <v>4.1752788037050674</v>
      </c>
      <c r="J1137" s="3">
        <v>6.9587980061751126E-2</v>
      </c>
    </row>
    <row r="1138" spans="1:11" x14ac:dyDescent="0.35">
      <c r="A1138">
        <v>1137</v>
      </c>
      <c r="B1138" t="s">
        <v>2</v>
      </c>
      <c r="C1138" t="s">
        <v>132</v>
      </c>
      <c r="D1138" t="s">
        <v>140</v>
      </c>
      <c r="E1138" s="2">
        <v>44159.370810185188</v>
      </c>
      <c r="F1138" s="2">
        <v>44159.377233796295</v>
      </c>
      <c r="G1138" s="3">
        <v>6.4236111065838486E-3</v>
      </c>
      <c r="H1138" s="3">
        <v>558.3806594735612</v>
      </c>
      <c r="I1138" s="3">
        <v>9.3063443245593529</v>
      </c>
      <c r="J1138" s="3">
        <v>0.15510573874265587</v>
      </c>
      <c r="K1138" t="s">
        <v>64</v>
      </c>
    </row>
    <row r="1139" spans="1:11" x14ac:dyDescent="0.35">
      <c r="A1139">
        <v>1138</v>
      </c>
      <c r="B1139" t="s">
        <v>11</v>
      </c>
      <c r="C1139" t="s">
        <v>11</v>
      </c>
      <c r="D1139" t="s">
        <v>140</v>
      </c>
      <c r="E1139" s="2">
        <v>44159.377488425926</v>
      </c>
      <c r="F1139" s="2">
        <v>44159.381006944444</v>
      </c>
      <c r="G1139" s="3">
        <v>3.5185185188311152E-3</v>
      </c>
      <c r="H1139" s="3">
        <v>305.85174885527772</v>
      </c>
      <c r="I1139" s="3">
        <v>5.0975291475879621</v>
      </c>
      <c r="J1139" s="3">
        <v>8.4958819126466037E-2</v>
      </c>
    </row>
    <row r="1140" spans="1:11" x14ac:dyDescent="0.35">
      <c r="A1140">
        <v>1139</v>
      </c>
      <c r="B1140" t="s">
        <v>16</v>
      </c>
      <c r="C1140" t="s">
        <v>16</v>
      </c>
      <c r="D1140" t="s">
        <v>140</v>
      </c>
      <c r="E1140" s="2">
        <v>44159.381076388891</v>
      </c>
      <c r="F1140" s="2">
        <v>44159.394097222219</v>
      </c>
      <c r="G1140" s="3">
        <v>1.3020833328482695E-2</v>
      </c>
      <c r="H1140" s="3">
        <v>1131.8526884981479</v>
      </c>
      <c r="I1140" s="3">
        <v>18.864211474969132</v>
      </c>
      <c r="J1140" s="3">
        <v>0.31440352458281884</v>
      </c>
    </row>
    <row r="1141" spans="1:11" x14ac:dyDescent="0.35">
      <c r="A1141">
        <v>1140</v>
      </c>
      <c r="B1141" t="s">
        <v>11</v>
      </c>
      <c r="C1141" t="s">
        <v>11</v>
      </c>
      <c r="D1141" t="s">
        <v>140</v>
      </c>
      <c r="E1141" s="2">
        <v>44159.394293981481</v>
      </c>
      <c r="F1141" s="2">
        <v>44159.394780092596</v>
      </c>
      <c r="G1141" s="3">
        <v>4.8611111560603604E-4</v>
      </c>
      <c r="H1141" s="3">
        <v>42.255834110399512</v>
      </c>
      <c r="I1141" s="3">
        <v>0.70426390183999188</v>
      </c>
      <c r="J1141" s="3">
        <v>1.1737731697333198E-2</v>
      </c>
    </row>
    <row r="1142" spans="1:11" x14ac:dyDescent="0.35">
      <c r="A1142">
        <v>1141</v>
      </c>
      <c r="B1142" t="s">
        <v>11</v>
      </c>
      <c r="C1142" t="s">
        <v>11</v>
      </c>
      <c r="D1142" t="s">
        <v>140</v>
      </c>
      <c r="E1142" s="2">
        <v>44159.394976851851</v>
      </c>
      <c r="F1142" s="2">
        <v>44159.397210648145</v>
      </c>
      <c r="G1142" s="3">
        <v>2.2337962946039625E-3</v>
      </c>
      <c r="H1142" s="3">
        <v>194.17561670757669</v>
      </c>
      <c r="I1142" s="3">
        <v>3.2362602784596115</v>
      </c>
      <c r="J1142" s="3">
        <v>5.3937671307660189E-2</v>
      </c>
    </row>
    <row r="1143" spans="1:11" x14ac:dyDescent="0.35">
      <c r="A1143">
        <v>1142</v>
      </c>
      <c r="B1143" t="s">
        <v>11</v>
      </c>
      <c r="C1143" t="s">
        <v>11</v>
      </c>
      <c r="D1143" t="s">
        <v>140</v>
      </c>
      <c r="E1143" s="2">
        <v>44159.39744212963</v>
      </c>
      <c r="F1143" s="2">
        <v>44159.415000000001</v>
      </c>
      <c r="G1143" s="3">
        <v>1.7557870371092577E-2</v>
      </c>
      <c r="H1143" s="3">
        <v>1526.2404703661834</v>
      </c>
      <c r="I1143" s="3">
        <v>25.437341172769724</v>
      </c>
      <c r="J1143" s="3">
        <v>0.42395568621282875</v>
      </c>
    </row>
    <row r="1144" spans="1:11" x14ac:dyDescent="0.35">
      <c r="A1144">
        <v>1143</v>
      </c>
      <c r="B1144" t="s">
        <v>2</v>
      </c>
      <c r="C1144" t="s">
        <v>96</v>
      </c>
      <c r="D1144" t="s">
        <v>140</v>
      </c>
      <c r="E1144" s="2">
        <v>44159.415196759262</v>
      </c>
      <c r="F1144" s="2">
        <v>44159.4528587963</v>
      </c>
      <c r="G1144" s="3">
        <v>3.7662037037080154E-2</v>
      </c>
      <c r="H1144" s="3">
        <v>3273.821021999318</v>
      </c>
      <c r="I1144" s="3">
        <v>54.56368369998863</v>
      </c>
      <c r="J1144" s="3">
        <v>0.90939472833314383</v>
      </c>
    </row>
    <row r="1145" spans="1:11" x14ac:dyDescent="0.35">
      <c r="A1145">
        <v>1144</v>
      </c>
      <c r="B1145" t="s">
        <v>16</v>
      </c>
      <c r="C1145" t="s">
        <v>16</v>
      </c>
      <c r="D1145" t="s">
        <v>140</v>
      </c>
      <c r="E1145" s="2">
        <v>44159.452986111108</v>
      </c>
      <c r="F1145" s="2">
        <v>44159.460439814815</v>
      </c>
      <c r="G1145" s="3">
        <v>7.4537037071422674E-3</v>
      </c>
      <c r="H1145" s="3">
        <v>647.92278400054477</v>
      </c>
      <c r="I1145" s="3">
        <v>10.798713066675747</v>
      </c>
      <c r="J1145" s="3">
        <v>0.17997855111126246</v>
      </c>
    </row>
    <row r="1146" spans="1:11" x14ac:dyDescent="0.35">
      <c r="A1146">
        <v>1145</v>
      </c>
      <c r="B1146" t="s">
        <v>2</v>
      </c>
      <c r="C1146" t="s">
        <v>96</v>
      </c>
      <c r="D1146" t="s">
        <v>140</v>
      </c>
      <c r="E1146" s="2">
        <v>44159.460648148146</v>
      </c>
      <c r="F1146" s="2">
        <v>44159.506793981483</v>
      </c>
      <c r="G1146" s="3">
        <v>4.6145833337504882E-2</v>
      </c>
      <c r="H1146" s="3">
        <v>4011.285929894374</v>
      </c>
      <c r="I1146" s="3">
        <v>66.854765498239573</v>
      </c>
      <c r="J1146" s="3">
        <v>1.1142460916373262</v>
      </c>
    </row>
    <row r="1147" spans="1:11" x14ac:dyDescent="0.35">
      <c r="A1147">
        <v>1146</v>
      </c>
      <c r="B1147" t="s">
        <v>16</v>
      </c>
      <c r="C1147" t="s">
        <v>16</v>
      </c>
      <c r="D1147" t="s">
        <v>140</v>
      </c>
      <c r="E1147" s="2">
        <v>44159.506874999999</v>
      </c>
      <c r="F1147" s="2">
        <v>44159.520787037036</v>
      </c>
      <c r="G1147" s="3">
        <v>1.3912037036789116E-2</v>
      </c>
      <c r="H1147" s="3">
        <v>1209.3217173843111</v>
      </c>
      <c r="I1147" s="3">
        <v>20.155361956405184</v>
      </c>
      <c r="J1147" s="3">
        <v>0.33592269927341972</v>
      </c>
    </row>
    <row r="1148" spans="1:11" x14ac:dyDescent="0.35">
      <c r="A1148">
        <v>1147</v>
      </c>
      <c r="B1148" t="s">
        <v>2</v>
      </c>
      <c r="C1148" t="s">
        <v>96</v>
      </c>
      <c r="D1148" t="s">
        <v>140</v>
      </c>
      <c r="E1148" s="2">
        <v>44159.521087962959</v>
      </c>
      <c r="F1148" s="2">
        <v>44159.540879629632</v>
      </c>
      <c r="G1148" s="3">
        <v>1.9791666672972497E-2</v>
      </c>
      <c r="H1148" s="3">
        <v>1720.4160877062322</v>
      </c>
      <c r="I1148" s="3">
        <v>28.673601461770538</v>
      </c>
      <c r="J1148" s="3">
        <v>0.47789335769617564</v>
      </c>
    </row>
    <row r="1149" spans="1:11" x14ac:dyDescent="0.35">
      <c r="A1149">
        <v>1148</v>
      </c>
      <c r="B1149" t="s">
        <v>2</v>
      </c>
      <c r="C1149" t="s">
        <v>96</v>
      </c>
      <c r="D1149" t="s">
        <v>140</v>
      </c>
      <c r="E1149" s="2">
        <v>44159.541226851848</v>
      </c>
      <c r="F1149" s="2">
        <v>44159.567465277774</v>
      </c>
      <c r="G1149" s="3">
        <v>2.6238425925839692E-2</v>
      </c>
      <c r="H1149" s="3">
        <v>2280.8089295757727</v>
      </c>
      <c r="I1149" s="3">
        <v>38.013482159596215</v>
      </c>
      <c r="J1149" s="3">
        <v>0.63355803599327021</v>
      </c>
    </row>
    <row r="1150" spans="1:11" x14ac:dyDescent="0.35">
      <c r="A1150">
        <v>1149</v>
      </c>
      <c r="B1150" t="s">
        <v>11</v>
      </c>
      <c r="C1150" t="s">
        <v>11</v>
      </c>
      <c r="D1150" t="s">
        <v>140</v>
      </c>
      <c r="E1150" s="2">
        <v>44159.567546296297</v>
      </c>
      <c r="F1150" s="2">
        <v>44159.568923611114</v>
      </c>
      <c r="G1150" s="3">
        <v>1.377314816636499E-3</v>
      </c>
      <c r="H1150" s="3">
        <v>119.72486236409065</v>
      </c>
      <c r="I1150" s="3">
        <v>1.9954143727348443</v>
      </c>
      <c r="J1150" s="3">
        <v>3.3256906212247403E-2</v>
      </c>
    </row>
    <row r="1151" spans="1:11" x14ac:dyDescent="0.35">
      <c r="A1151">
        <v>1150</v>
      </c>
      <c r="B1151" t="s">
        <v>2</v>
      </c>
      <c r="C1151" t="s">
        <v>96</v>
      </c>
      <c r="D1151" t="s">
        <v>140</v>
      </c>
      <c r="E1151" s="2">
        <v>44159.56931712963</v>
      </c>
      <c r="F1151" s="2">
        <v>44159.575219907405</v>
      </c>
      <c r="G1151" s="3">
        <v>5.9027777751907706E-3</v>
      </c>
      <c r="H1151" s="3">
        <v>513.10655208542858</v>
      </c>
      <c r="I1151" s="3">
        <v>8.551775868090477</v>
      </c>
      <c r="J1151" s="3">
        <v>0.14252959780150795</v>
      </c>
    </row>
    <row r="1152" spans="1:11" x14ac:dyDescent="0.35">
      <c r="A1152">
        <v>1151</v>
      </c>
      <c r="B1152" t="s">
        <v>2</v>
      </c>
      <c r="C1152" t="s">
        <v>96</v>
      </c>
      <c r="D1152" t="s">
        <v>140</v>
      </c>
      <c r="E1152" s="2">
        <v>44159.575532407405</v>
      </c>
      <c r="F1152" s="2">
        <v>44159.583379629628</v>
      </c>
      <c r="G1152" s="3">
        <v>7.8472222230629995E-3</v>
      </c>
      <c r="H1152" s="3">
        <v>682.12988726208266</v>
      </c>
      <c r="I1152" s="3">
        <v>11.368831454368044</v>
      </c>
      <c r="J1152" s="3">
        <v>0.1894805242394674</v>
      </c>
    </row>
    <row r="1153" spans="1:11" x14ac:dyDescent="0.35">
      <c r="A1153">
        <v>1152</v>
      </c>
      <c r="B1153" t="s">
        <v>11</v>
      </c>
      <c r="C1153" t="s">
        <v>11</v>
      </c>
      <c r="D1153" t="s">
        <v>140</v>
      </c>
      <c r="E1153" s="2">
        <v>44159.583784722221</v>
      </c>
      <c r="F1153" s="2">
        <v>44159.588530092595</v>
      </c>
      <c r="G1153" s="3">
        <v>4.7453703737119213E-3</v>
      </c>
      <c r="H1153" s="3">
        <v>412.49742469679427</v>
      </c>
      <c r="I1153" s="3">
        <v>6.8749570782799045</v>
      </c>
      <c r="J1153" s="3">
        <v>0.11458261797133175</v>
      </c>
    </row>
    <row r="1154" spans="1:11" x14ac:dyDescent="0.35">
      <c r="A1154">
        <v>1153</v>
      </c>
      <c r="B1154" t="s">
        <v>11</v>
      </c>
      <c r="C1154" t="s">
        <v>11</v>
      </c>
      <c r="D1154" t="s">
        <v>140</v>
      </c>
      <c r="E1154" s="2">
        <v>44159.58871527778</v>
      </c>
      <c r="F1154" s="2">
        <v>44159.590046296296</v>
      </c>
      <c r="G1154" s="3">
        <v>1.3310185167938471E-3</v>
      </c>
      <c r="H1154" s="3">
        <v>115.70049693965986</v>
      </c>
      <c r="I1154" s="3">
        <v>1.9283416156609976</v>
      </c>
      <c r="J1154" s="3">
        <v>3.2139026927683292E-2</v>
      </c>
    </row>
    <row r="1155" spans="1:11" x14ac:dyDescent="0.35">
      <c r="A1155">
        <v>1154</v>
      </c>
      <c r="B1155" t="s">
        <v>2</v>
      </c>
      <c r="C1155" t="s">
        <v>96</v>
      </c>
      <c r="D1155" t="s">
        <v>140</v>
      </c>
      <c r="E1155" s="2">
        <v>44159.590486111112</v>
      </c>
      <c r="F1155" s="2">
        <v>44159.594386574077</v>
      </c>
      <c r="G1155" s="3">
        <v>3.9004629652481526E-3</v>
      </c>
      <c r="H1155" s="3">
        <v>339.05276123506195</v>
      </c>
      <c r="I1155" s="3">
        <v>5.6508793539176994</v>
      </c>
      <c r="J1155" s="3">
        <v>9.4181322565294989E-2</v>
      </c>
    </row>
    <row r="1156" spans="1:11" x14ac:dyDescent="0.35">
      <c r="A1156">
        <v>1155</v>
      </c>
      <c r="B1156" t="s">
        <v>2</v>
      </c>
      <c r="C1156" t="s">
        <v>96</v>
      </c>
      <c r="D1156" t="s">
        <v>140</v>
      </c>
      <c r="E1156" s="2">
        <v>44159.594548611109</v>
      </c>
      <c r="F1156" s="2">
        <v>44159.596782407411</v>
      </c>
      <c r="G1156" s="3">
        <v>2.2337963018799201E-3</v>
      </c>
      <c r="H1156" s="3">
        <v>194.17561734004866</v>
      </c>
      <c r="I1156" s="3">
        <v>3.236260289000811</v>
      </c>
      <c r="J1156" s="3">
        <v>5.3937671483346848E-2</v>
      </c>
    </row>
    <row r="1157" spans="1:11" x14ac:dyDescent="0.35">
      <c r="A1157">
        <v>1156</v>
      </c>
      <c r="B1157" t="s">
        <v>2</v>
      </c>
      <c r="C1157" t="s">
        <v>96</v>
      </c>
      <c r="D1157" t="s">
        <v>140</v>
      </c>
      <c r="E1157" s="2">
        <v>44159.597268518519</v>
      </c>
      <c r="F1157" s="2">
        <v>44159.598981481482</v>
      </c>
      <c r="G1157" s="3">
        <v>1.7129629632108845E-3</v>
      </c>
      <c r="H1157" s="3">
        <v>148.90150931944405</v>
      </c>
      <c r="I1157" s="3">
        <v>2.4816918219907342</v>
      </c>
      <c r="J1157" s="3">
        <v>4.1361530366512238E-2</v>
      </c>
    </row>
    <row r="1158" spans="1:11" x14ac:dyDescent="0.35">
      <c r="A1158">
        <v>1157</v>
      </c>
      <c r="B1158" t="s">
        <v>11</v>
      </c>
      <c r="C1158" t="s">
        <v>11</v>
      </c>
      <c r="D1158" t="s">
        <v>140</v>
      </c>
      <c r="E1158" s="2">
        <v>44159.599062499998</v>
      </c>
      <c r="F1158" s="2">
        <v>44159.606863425928</v>
      </c>
      <c r="G1158" s="3">
        <v>7.8009259304963052E-3</v>
      </c>
      <c r="H1158" s="3">
        <v>678.1055224701239</v>
      </c>
      <c r="I1158" s="3">
        <v>11.301758707835399</v>
      </c>
      <c r="J1158" s="3">
        <v>0.18836264513058998</v>
      </c>
    </row>
    <row r="1159" spans="1:11" x14ac:dyDescent="0.35">
      <c r="A1159">
        <v>1158</v>
      </c>
      <c r="B1159" t="s">
        <v>2</v>
      </c>
      <c r="C1159" t="s">
        <v>96</v>
      </c>
      <c r="D1159" t="s">
        <v>140</v>
      </c>
      <c r="E1159" s="2">
        <v>44159.607048611113</v>
      </c>
      <c r="F1159" s="2">
        <v>44159.607673611114</v>
      </c>
      <c r="G1159" s="3">
        <v>6.2500000058207661E-4</v>
      </c>
      <c r="H1159" s="3">
        <v>54.328929118747965</v>
      </c>
      <c r="I1159" s="3">
        <v>0.90548215197913273</v>
      </c>
      <c r="J1159" s="3">
        <v>1.5091369199652212E-2</v>
      </c>
    </row>
    <row r="1160" spans="1:11" x14ac:dyDescent="0.35">
      <c r="A1160">
        <v>1159</v>
      </c>
      <c r="B1160" t="s">
        <v>2</v>
      </c>
      <c r="C1160" t="s">
        <v>96</v>
      </c>
      <c r="D1160" t="s">
        <v>140</v>
      </c>
      <c r="E1160" s="2">
        <v>44159.608090277776</v>
      </c>
      <c r="F1160" s="2">
        <v>44159.609131944446</v>
      </c>
      <c r="G1160" s="3">
        <v>1.0416666700621136E-3</v>
      </c>
      <c r="H1160" s="3">
        <v>90.548215408737263</v>
      </c>
      <c r="I1160" s="3">
        <v>1.5091369234789545</v>
      </c>
      <c r="J1160" s="3">
        <v>2.5152282057982575E-2</v>
      </c>
    </row>
    <row r="1161" spans="1:11" x14ac:dyDescent="0.35">
      <c r="A1161">
        <v>1160</v>
      </c>
      <c r="B1161" t="s">
        <v>2</v>
      </c>
      <c r="C1161" t="s">
        <v>132</v>
      </c>
      <c r="D1161" t="s">
        <v>140</v>
      </c>
      <c r="E1161" s="2">
        <v>44159.609282407408</v>
      </c>
      <c r="F1161" s="2">
        <v>44159.615706018521</v>
      </c>
      <c r="G1161" s="3">
        <v>6.4236111138598062E-3</v>
      </c>
      <c r="H1161" s="3">
        <v>558.38066010603325</v>
      </c>
      <c r="I1161" s="3">
        <v>9.3063443351005546</v>
      </c>
      <c r="J1161" s="3">
        <v>0.15510573891834259</v>
      </c>
      <c r="K1161" t="s">
        <v>64</v>
      </c>
    </row>
    <row r="1162" spans="1:11" x14ac:dyDescent="0.35">
      <c r="A1162">
        <v>1161</v>
      </c>
      <c r="B1162" t="s">
        <v>11</v>
      </c>
      <c r="C1162" t="s">
        <v>11</v>
      </c>
      <c r="D1162" t="s">
        <v>140</v>
      </c>
      <c r="E1162" s="2">
        <v>44159.616018518522</v>
      </c>
      <c r="F1162" s="2">
        <v>44159.618472222224</v>
      </c>
      <c r="G1162" s="3">
        <v>2.4537037024856545E-3</v>
      </c>
      <c r="H1162" s="3">
        <v>213.29135105056105</v>
      </c>
      <c r="I1162" s="3">
        <v>3.5548558508426842</v>
      </c>
      <c r="J1162" s="3">
        <v>5.9247597514044736E-2</v>
      </c>
    </row>
    <row r="1163" spans="1:11" x14ac:dyDescent="0.35">
      <c r="A1163">
        <v>1162</v>
      </c>
      <c r="B1163" t="s">
        <v>11</v>
      </c>
      <c r="C1163" t="s">
        <v>11</v>
      </c>
      <c r="D1163" t="s">
        <v>140</v>
      </c>
      <c r="E1163" s="2">
        <v>44159.618657407409</v>
      </c>
      <c r="F1163" s="2">
        <v>44159.62122685185</v>
      </c>
      <c r="G1163" s="3">
        <v>2.5694444411783479E-3</v>
      </c>
      <c r="H1163" s="3">
        <v>223.35226366293008</v>
      </c>
      <c r="I1163" s="3">
        <v>3.7225377277155016</v>
      </c>
      <c r="J1163" s="3">
        <v>6.204229546192503E-2</v>
      </c>
    </row>
    <row r="1164" spans="1:11" x14ac:dyDescent="0.35">
      <c r="A1164">
        <v>1163</v>
      </c>
      <c r="B1164" t="s">
        <v>2</v>
      </c>
      <c r="C1164" t="s">
        <v>96</v>
      </c>
      <c r="D1164" t="s">
        <v>140</v>
      </c>
      <c r="E1164" s="2">
        <v>44159.621446759258</v>
      </c>
      <c r="F1164" s="2">
        <v>44159.638206018521</v>
      </c>
      <c r="G1164" s="3">
        <v>1.675925926247146E-2</v>
      </c>
      <c r="H1164" s="3">
        <v>1456.8201723288821</v>
      </c>
      <c r="I1164" s="3">
        <v>24.280336205481369</v>
      </c>
      <c r="J1164" s="3">
        <v>0.40467227009135615</v>
      </c>
    </row>
    <row r="1165" spans="1:11" x14ac:dyDescent="0.35">
      <c r="A1165">
        <v>1164</v>
      </c>
      <c r="B1165" t="s">
        <v>2</v>
      </c>
      <c r="C1165" t="s">
        <v>96</v>
      </c>
      <c r="D1165" t="s">
        <v>140</v>
      </c>
      <c r="E1165" s="2">
        <v>44159.638356481482</v>
      </c>
      <c r="F1165" s="2">
        <v>44159.69871527778</v>
      </c>
      <c r="G1165" s="3">
        <v>6.0358796297805384E-2</v>
      </c>
      <c r="H1165" s="3">
        <v>5246.7660203238338</v>
      </c>
      <c r="I1165" s="3">
        <v>87.44610033873056</v>
      </c>
      <c r="J1165" s="3">
        <v>1.4574350056455094</v>
      </c>
    </row>
    <row r="1166" spans="1:11" x14ac:dyDescent="0.35">
      <c r="A1166">
        <v>1165</v>
      </c>
      <c r="B1166" t="s">
        <v>11</v>
      </c>
      <c r="C1166" t="s">
        <v>11</v>
      </c>
      <c r="D1166" t="s">
        <v>140</v>
      </c>
      <c r="E1166" s="2">
        <v>44159.698831018519</v>
      </c>
      <c r="F1166" s="2">
        <v>44159.699386574073</v>
      </c>
      <c r="G1166" s="3">
        <v>5.5555555445607752E-4</v>
      </c>
      <c r="H1166" s="3">
        <v>48.292381298337752</v>
      </c>
      <c r="I1166" s="3">
        <v>0.80487302163896257</v>
      </c>
      <c r="J1166" s="3">
        <v>1.3414550360649376E-2</v>
      </c>
    </row>
    <row r="1167" spans="1:11" x14ac:dyDescent="0.35">
      <c r="A1167">
        <v>1166</v>
      </c>
      <c r="B1167" t="s">
        <v>11</v>
      </c>
      <c r="C1167" t="s">
        <v>11</v>
      </c>
      <c r="D1167" t="s">
        <v>140</v>
      </c>
      <c r="E1167" s="2">
        <v>44159.699675925927</v>
      </c>
      <c r="F1167" s="2">
        <v>44159.714479166665</v>
      </c>
      <c r="G1167" s="3">
        <v>1.4803240737819578E-2</v>
      </c>
      <c r="H1167" s="3">
        <v>1286.7907456380021</v>
      </c>
      <c r="I1167" s="3">
        <v>21.446512427300036</v>
      </c>
      <c r="J1167" s="3">
        <v>0.35744187378833392</v>
      </c>
    </row>
    <row r="1168" spans="1:11" x14ac:dyDescent="0.35">
      <c r="A1168">
        <v>1167</v>
      </c>
      <c r="B1168" t="s">
        <v>2</v>
      </c>
      <c r="C1168" t="s">
        <v>96</v>
      </c>
      <c r="D1168" t="s">
        <v>140</v>
      </c>
      <c r="E1168" s="2">
        <v>44159.71565972222</v>
      </c>
      <c r="F1168" s="2">
        <v>44159.717986111114</v>
      </c>
      <c r="G1168" s="3">
        <v>2.3263888942892663E-3</v>
      </c>
      <c r="H1168" s="3">
        <v>202.22434755643829</v>
      </c>
      <c r="I1168" s="3">
        <v>3.370405792607305</v>
      </c>
      <c r="J1168" s="3">
        <v>5.6173429876788417E-2</v>
      </c>
    </row>
    <row r="1169" spans="1:11" x14ac:dyDescent="0.35">
      <c r="A1169">
        <v>1168</v>
      </c>
      <c r="B1169" t="s">
        <v>11</v>
      </c>
      <c r="C1169" t="s">
        <v>11</v>
      </c>
      <c r="D1169" t="s">
        <v>140</v>
      </c>
      <c r="E1169" s="2">
        <v>44159.718113425923</v>
      </c>
      <c r="F1169" s="2">
        <v>44159.721643518518</v>
      </c>
      <c r="G1169" s="3">
        <v>3.5300925956107676E-3</v>
      </c>
      <c r="H1169" s="3">
        <v>306.85784036950344</v>
      </c>
      <c r="I1169" s="3">
        <v>5.1142973394917242</v>
      </c>
      <c r="J1169" s="3">
        <v>8.523828899152873E-2</v>
      </c>
    </row>
    <row r="1170" spans="1:11" x14ac:dyDescent="0.35">
      <c r="A1170">
        <v>1169</v>
      </c>
      <c r="B1170" t="s">
        <v>11</v>
      </c>
      <c r="C1170" t="s">
        <v>11</v>
      </c>
      <c r="D1170" t="s">
        <v>140</v>
      </c>
      <c r="E1170" s="2">
        <v>44160.367881944447</v>
      </c>
      <c r="F1170" s="2">
        <v>44160.375358796293</v>
      </c>
      <c r="G1170" s="3">
        <v>7.4768518461496569E-3</v>
      </c>
      <c r="H1170" s="3">
        <v>649.93496576405221</v>
      </c>
      <c r="I1170" s="3">
        <v>10.83224942940087</v>
      </c>
      <c r="J1170" s="3">
        <v>0.1805374904900145</v>
      </c>
    </row>
    <row r="1171" spans="1:11" x14ac:dyDescent="0.35">
      <c r="A1171">
        <v>1170</v>
      </c>
      <c r="B1171" t="s">
        <v>2</v>
      </c>
      <c r="C1171" t="s">
        <v>96</v>
      </c>
      <c r="D1171" t="s">
        <v>140</v>
      </c>
      <c r="E1171" s="2">
        <v>44160.375532407408</v>
      </c>
      <c r="F1171" s="2">
        <v>44160.395405092589</v>
      </c>
      <c r="G1171" s="3">
        <v>1.9872685181326233E-2</v>
      </c>
      <c r="H1171" s="3">
        <v>1727.4587257759242</v>
      </c>
      <c r="I1171" s="3">
        <v>28.79097876293207</v>
      </c>
      <c r="J1171" s="3">
        <v>0.47984964604886782</v>
      </c>
    </row>
    <row r="1172" spans="1:11" x14ac:dyDescent="0.35">
      <c r="A1172">
        <v>1171</v>
      </c>
      <c r="B1172" t="s">
        <v>11</v>
      </c>
      <c r="C1172" t="s">
        <v>11</v>
      </c>
      <c r="D1172" t="s">
        <v>140</v>
      </c>
      <c r="E1172" s="2">
        <v>44160.422442129631</v>
      </c>
      <c r="F1172" s="2">
        <v>44160.493518518517</v>
      </c>
      <c r="G1172" s="3">
        <v>7.1076388885558117E-2</v>
      </c>
      <c r="H1172" s="3">
        <v>6178.4065442939946</v>
      </c>
      <c r="I1172" s="3">
        <v>102.97344240489991</v>
      </c>
      <c r="J1172" s="3">
        <v>1.7162240400816653</v>
      </c>
    </row>
    <row r="1173" spans="1:11" x14ac:dyDescent="0.35">
      <c r="A1173">
        <v>1172</v>
      </c>
      <c r="B1173" t="s">
        <v>11</v>
      </c>
      <c r="C1173" t="s">
        <v>11</v>
      </c>
      <c r="D1173" t="s">
        <v>140</v>
      </c>
      <c r="E1173" s="2">
        <v>44160.495324074072</v>
      </c>
      <c r="F1173" s="2">
        <v>44160.49590277778</v>
      </c>
      <c r="G1173" s="3">
        <v>5.7870370801538229E-4</v>
      </c>
      <c r="H1173" s="3">
        <v>50.304564326789141</v>
      </c>
      <c r="I1173" s="3">
        <v>0.83840940544648568</v>
      </c>
      <c r="J1173" s="3">
        <v>1.3973490090774761E-2</v>
      </c>
    </row>
    <row r="1174" spans="1:11" x14ac:dyDescent="0.35">
      <c r="A1174">
        <v>1173</v>
      </c>
      <c r="B1174" t="s">
        <v>11</v>
      </c>
      <c r="C1174" t="s">
        <v>11</v>
      </c>
      <c r="D1174" t="s">
        <v>140</v>
      </c>
      <c r="E1174" s="2">
        <v>44160.623298611114</v>
      </c>
      <c r="F1174" s="2">
        <v>44160.628541666665</v>
      </c>
      <c r="G1174" s="3">
        <v>5.2430555515456945E-3</v>
      </c>
      <c r="H1174" s="3">
        <v>455.75934905647551</v>
      </c>
      <c r="I1174" s="3">
        <v>7.5959891509412589</v>
      </c>
      <c r="J1174" s="3">
        <v>0.12659981918235433</v>
      </c>
    </row>
    <row r="1175" spans="1:11" x14ac:dyDescent="0.35">
      <c r="A1175">
        <v>1174</v>
      </c>
      <c r="B1175" t="s">
        <v>11</v>
      </c>
      <c r="C1175" t="s">
        <v>11</v>
      </c>
      <c r="D1175" t="s">
        <v>140</v>
      </c>
      <c r="E1175" s="2">
        <v>44165.333726851852</v>
      </c>
      <c r="F1175" s="2">
        <v>44165.353680555556</v>
      </c>
      <c r="G1175" s="3">
        <v>1.9953703704231884E-2</v>
      </c>
      <c r="H1175" s="3">
        <v>1734.5013651105601</v>
      </c>
      <c r="I1175" s="3">
        <v>28.908356085176003</v>
      </c>
      <c r="J1175" s="3">
        <v>0.48180593475293337</v>
      </c>
    </row>
    <row r="1176" spans="1:11" x14ac:dyDescent="0.35">
      <c r="A1176">
        <v>1175</v>
      </c>
      <c r="B1176" t="s">
        <v>2</v>
      </c>
      <c r="C1176" t="s">
        <v>96</v>
      </c>
      <c r="D1176" t="s">
        <v>140</v>
      </c>
      <c r="E1176" s="2">
        <v>44165.353854166664</v>
      </c>
      <c r="F1176" s="2">
        <v>44165.354803240742</v>
      </c>
      <c r="G1176" s="3">
        <v>9.490740776527673E-4</v>
      </c>
      <c r="H1176" s="3">
        <v>82.499485192347635</v>
      </c>
      <c r="I1176" s="3">
        <v>1.3749914198724607</v>
      </c>
      <c r="J1176" s="3">
        <v>2.291652366454101E-2</v>
      </c>
    </row>
    <row r="1177" spans="1:11" x14ac:dyDescent="0.35">
      <c r="A1177">
        <v>1176</v>
      </c>
      <c r="B1177" t="s">
        <v>11</v>
      </c>
      <c r="C1177" t="s">
        <v>11</v>
      </c>
      <c r="D1177" t="s">
        <v>140</v>
      </c>
      <c r="E1177" s="2">
        <v>44165.354988425926</v>
      </c>
      <c r="F1177" s="2">
        <v>44165.362303240741</v>
      </c>
      <c r="G1177" s="3">
        <v>7.3148148148902692E-3</v>
      </c>
      <c r="H1177" s="3">
        <v>635.84968835972438</v>
      </c>
      <c r="I1177" s="3">
        <v>10.597494805995407</v>
      </c>
      <c r="J1177" s="3">
        <v>0.17662491343325679</v>
      </c>
    </row>
    <row r="1178" spans="1:11" x14ac:dyDescent="0.35">
      <c r="A1178">
        <v>1177</v>
      </c>
      <c r="B1178" t="s">
        <v>2</v>
      </c>
      <c r="C1178" t="s">
        <v>96</v>
      </c>
      <c r="D1178" t="s">
        <v>140</v>
      </c>
      <c r="E1178" s="2">
        <v>44165.362604166665</v>
      </c>
      <c r="F1178" s="2">
        <v>44165.366562499999</v>
      </c>
      <c r="G1178" s="3">
        <v>3.9583333345944993E-3</v>
      </c>
      <c r="H1178" s="3">
        <v>344.08321754124643</v>
      </c>
      <c r="I1178" s="3">
        <v>5.7347202923541074</v>
      </c>
      <c r="J1178" s="3">
        <v>9.5578671539235119E-2</v>
      </c>
    </row>
    <row r="1179" spans="1:11" x14ac:dyDescent="0.35">
      <c r="A1179">
        <v>1178</v>
      </c>
      <c r="B1179" t="s">
        <v>11</v>
      </c>
      <c r="C1179" t="s">
        <v>11</v>
      </c>
      <c r="D1179" t="s">
        <v>140</v>
      </c>
      <c r="E1179" s="2">
        <v>44165.366689814815</v>
      </c>
      <c r="F1179" s="2">
        <v>44165.376527777778</v>
      </c>
      <c r="G1179" s="3">
        <v>9.8379629635019228E-3</v>
      </c>
      <c r="H1179" s="3">
        <v>855.17758723069562</v>
      </c>
      <c r="I1179" s="3">
        <v>14.252959787178261</v>
      </c>
      <c r="J1179" s="3">
        <v>0.23754932978630436</v>
      </c>
    </row>
    <row r="1180" spans="1:11" x14ac:dyDescent="0.35">
      <c r="A1180">
        <v>1179</v>
      </c>
      <c r="B1180" t="s">
        <v>2</v>
      </c>
      <c r="C1180" t="s">
        <v>132</v>
      </c>
      <c r="D1180" t="s">
        <v>140</v>
      </c>
      <c r="E1180" s="2">
        <v>44165.376446759263</v>
      </c>
      <c r="F1180" s="2">
        <v>44165.39576388889</v>
      </c>
      <c r="G1180" s="3">
        <v>1.9317129626870155E-2</v>
      </c>
      <c r="H1180" s="3">
        <v>1679.1663444775863</v>
      </c>
      <c r="I1180" s="3">
        <v>27.986105741293105</v>
      </c>
      <c r="J1180" s="3">
        <v>0.46643509568821845</v>
      </c>
      <c r="K1180" t="s">
        <v>64</v>
      </c>
    </row>
    <row r="1181" spans="1:11" x14ac:dyDescent="0.35">
      <c r="A1181">
        <v>1180</v>
      </c>
      <c r="B1181" t="s">
        <v>2</v>
      </c>
      <c r="C1181" t="s">
        <v>96</v>
      </c>
      <c r="D1181" t="s">
        <v>140</v>
      </c>
      <c r="E1181" s="2">
        <v>44165.395902777775</v>
      </c>
      <c r="F1181" s="2">
        <v>44165.429803240739</v>
      </c>
      <c r="G1181" s="3">
        <v>3.3900462964083999E-2</v>
      </c>
      <c r="H1181" s="3">
        <v>2946.8413564050761</v>
      </c>
      <c r="I1181" s="3">
        <v>49.11402260675127</v>
      </c>
      <c r="J1181" s="3">
        <v>0.81856704344585451</v>
      </c>
    </row>
    <row r="1182" spans="1:11" x14ac:dyDescent="0.35">
      <c r="A1182">
        <v>1181</v>
      </c>
      <c r="B1182" t="s">
        <v>11</v>
      </c>
      <c r="C1182" t="s">
        <v>11</v>
      </c>
      <c r="D1182" t="s">
        <v>140</v>
      </c>
      <c r="E1182" s="2">
        <v>44165.429942129631</v>
      </c>
      <c r="F1182" s="2">
        <v>44165.440671296295</v>
      </c>
      <c r="G1182" s="3">
        <v>1.0729166664532386E-2</v>
      </c>
      <c r="H1182" s="3">
        <v>932.64661548438676</v>
      </c>
      <c r="I1182" s="3">
        <v>15.544110258073113</v>
      </c>
      <c r="J1182" s="3">
        <v>0.25906850430121853</v>
      </c>
    </row>
    <row r="1183" spans="1:11" x14ac:dyDescent="0.35">
      <c r="A1183">
        <v>1182</v>
      </c>
      <c r="B1183" t="s">
        <v>2</v>
      </c>
      <c r="C1183" t="s">
        <v>96</v>
      </c>
      <c r="D1183" t="s">
        <v>140</v>
      </c>
      <c r="E1183" s="2">
        <v>44165.440879629627</v>
      </c>
      <c r="F1183" s="2">
        <v>44165.449953703705</v>
      </c>
      <c r="G1183" s="3">
        <v>9.0740740779438056E-3</v>
      </c>
      <c r="H1183" s="3">
        <v>788.77556310359921</v>
      </c>
      <c r="I1183" s="3">
        <v>13.146259385059986</v>
      </c>
      <c r="J1183" s="3">
        <v>0.21910432308433311</v>
      </c>
    </row>
    <row r="1184" spans="1:11" x14ac:dyDescent="0.35">
      <c r="A1184">
        <v>1183</v>
      </c>
      <c r="B1184" t="s">
        <v>11</v>
      </c>
      <c r="C1184" t="s">
        <v>11</v>
      </c>
      <c r="D1184" t="s">
        <v>140</v>
      </c>
      <c r="E1184" s="2">
        <v>44165.450069444443</v>
      </c>
      <c r="F1184" s="2">
        <v>44165.455625000002</v>
      </c>
      <c r="G1184" s="3">
        <v>5.5555555591126904E-3</v>
      </c>
      <c r="H1184" s="3">
        <v>482.92381424832143</v>
      </c>
      <c r="I1184" s="3">
        <v>8.0487302374720233</v>
      </c>
      <c r="J1184" s="3">
        <v>0.13414550395786706</v>
      </c>
    </row>
    <row r="1185" spans="1:10" x14ac:dyDescent="0.35">
      <c r="A1185">
        <v>1184</v>
      </c>
      <c r="B1185" t="s">
        <v>2</v>
      </c>
      <c r="C1185" t="s">
        <v>96</v>
      </c>
      <c r="D1185" t="s">
        <v>140</v>
      </c>
      <c r="E1185" s="2">
        <v>44165.455752314818</v>
      </c>
      <c r="F1185" s="2">
        <v>44165.459444444445</v>
      </c>
      <c r="G1185" s="3">
        <v>3.6921296268701553E-3</v>
      </c>
      <c r="H1185" s="3">
        <v>320.94311777383126</v>
      </c>
      <c r="I1185" s="3">
        <v>5.349051962897188</v>
      </c>
      <c r="J1185" s="3">
        <v>8.9150866048286467E-2</v>
      </c>
    </row>
    <row r="1186" spans="1:10" x14ac:dyDescent="0.35">
      <c r="A1186">
        <v>1185</v>
      </c>
      <c r="B1186" t="s">
        <v>2</v>
      </c>
      <c r="C1186" t="s">
        <v>96</v>
      </c>
      <c r="D1186" t="s">
        <v>140</v>
      </c>
      <c r="E1186" s="2">
        <v>44165.459641203706</v>
      </c>
      <c r="F1186" s="2">
        <v>44165.460752314815</v>
      </c>
      <c r="G1186" s="3">
        <v>1.111111108912155E-3</v>
      </c>
      <c r="H1186" s="3">
        <v>96.584762596675503</v>
      </c>
      <c r="I1186" s="3">
        <v>1.6097460432779251</v>
      </c>
      <c r="J1186" s="3">
        <v>2.6829100721298751E-2</v>
      </c>
    </row>
    <row r="1187" spans="1:10" x14ac:dyDescent="0.35">
      <c r="A1187">
        <v>1186</v>
      </c>
      <c r="B1187" t="s">
        <v>2</v>
      </c>
      <c r="C1187" t="s">
        <v>96</v>
      </c>
      <c r="D1187" t="s">
        <v>140</v>
      </c>
      <c r="E1187" s="2">
        <v>44165.461006944446</v>
      </c>
      <c r="F1187" s="2">
        <v>44165.461655092593</v>
      </c>
      <c r="G1187" s="3">
        <v>6.4814814686542377E-4</v>
      </c>
      <c r="H1187" s="3">
        <v>56.341111514727373</v>
      </c>
      <c r="I1187" s="3">
        <v>0.93901852524545626</v>
      </c>
      <c r="J1187" s="3">
        <v>1.5650308754090937E-2</v>
      </c>
    </row>
    <row r="1188" spans="1:10" x14ac:dyDescent="0.35">
      <c r="A1188">
        <v>1187</v>
      </c>
      <c r="B1188" t="s">
        <v>2</v>
      </c>
      <c r="C1188" t="s">
        <v>96</v>
      </c>
      <c r="D1188" t="s">
        <v>140</v>
      </c>
      <c r="E1188" s="2">
        <v>44165.461828703701</v>
      </c>
      <c r="F1188" s="2">
        <v>44165.462905092594</v>
      </c>
      <c r="G1188" s="3">
        <v>1.0763888931251131E-3</v>
      </c>
      <c r="H1188" s="3">
        <v>93.566489318942374</v>
      </c>
      <c r="I1188" s="3">
        <v>1.5594414886490395</v>
      </c>
      <c r="J1188" s="3">
        <v>2.5990691477483993E-2</v>
      </c>
    </row>
    <row r="1189" spans="1:10" x14ac:dyDescent="0.35">
      <c r="A1189">
        <v>1188</v>
      </c>
      <c r="B1189" t="s">
        <v>2</v>
      </c>
      <c r="C1189" t="s">
        <v>96</v>
      </c>
      <c r="D1189" t="s">
        <v>140</v>
      </c>
      <c r="E1189" s="2">
        <v>44165.463090277779</v>
      </c>
      <c r="F1189" s="2">
        <v>44165.46670138889</v>
      </c>
      <c r="G1189" s="3">
        <v>3.6111111112404615E-3</v>
      </c>
      <c r="H1189" s="3">
        <v>313.90047907166735</v>
      </c>
      <c r="I1189" s="3">
        <v>5.2316746511944556</v>
      </c>
      <c r="J1189" s="3">
        <v>8.7194577519907598E-2</v>
      </c>
    </row>
    <row r="1190" spans="1:10" x14ac:dyDescent="0.35">
      <c r="A1190">
        <v>1189</v>
      </c>
      <c r="B1190" t="s">
        <v>2</v>
      </c>
      <c r="C1190" t="s">
        <v>96</v>
      </c>
      <c r="D1190" t="s">
        <v>140</v>
      </c>
      <c r="E1190" s="2">
        <v>44165.467245370368</v>
      </c>
      <c r="F1190" s="2">
        <v>44165.488263888888</v>
      </c>
      <c r="G1190" s="3">
        <v>2.1018518520577345E-2</v>
      </c>
      <c r="H1190" s="3">
        <v>1827.0617629152769</v>
      </c>
      <c r="I1190" s="3">
        <v>30.451029381921281</v>
      </c>
      <c r="J1190" s="3">
        <v>0.50751715636535466</v>
      </c>
    </row>
    <row r="1191" spans="1:10" x14ac:dyDescent="0.35">
      <c r="A1191">
        <v>1190</v>
      </c>
      <c r="B1191" t="s">
        <v>2</v>
      </c>
      <c r="C1191" t="s">
        <v>96</v>
      </c>
      <c r="D1191" t="s">
        <v>140</v>
      </c>
      <c r="E1191" s="2">
        <v>44165.48847222222</v>
      </c>
      <c r="F1191" s="2">
        <v>44165.489583333336</v>
      </c>
      <c r="G1191" s="3">
        <v>1.1111111161881126E-3</v>
      </c>
      <c r="H1191" s="3">
        <v>96.584763229147484</v>
      </c>
      <c r="I1191" s="3">
        <v>1.6097460538191248</v>
      </c>
      <c r="J1191" s="3">
        <v>2.6829100896985415E-2</v>
      </c>
    </row>
    <row r="1192" spans="1:10" x14ac:dyDescent="0.35">
      <c r="A1192">
        <v>1191</v>
      </c>
      <c r="B1192" t="s">
        <v>16</v>
      </c>
      <c r="C1192" t="s">
        <v>16</v>
      </c>
      <c r="D1192" t="s">
        <v>140</v>
      </c>
      <c r="E1192" s="2">
        <v>44165.489722222221</v>
      </c>
      <c r="F1192" s="2">
        <v>44165.518425925926</v>
      </c>
      <c r="G1192" s="3">
        <v>2.8703703705104999E-2</v>
      </c>
      <c r="H1192" s="3">
        <v>2495.1063721405594</v>
      </c>
      <c r="I1192" s="3">
        <v>41.585106202342658</v>
      </c>
      <c r="J1192" s="3">
        <v>0.69308510337237761</v>
      </c>
    </row>
    <row r="1193" spans="1:10" x14ac:dyDescent="0.35">
      <c r="A1193">
        <v>1192</v>
      </c>
      <c r="B1193" t="s">
        <v>11</v>
      </c>
      <c r="C1193" t="s">
        <v>11</v>
      </c>
      <c r="D1193" t="s">
        <v>140</v>
      </c>
      <c r="E1193" s="2">
        <v>44165.518645833334</v>
      </c>
      <c r="F1193" s="2">
        <v>44165.522407407407</v>
      </c>
      <c r="G1193" s="3">
        <v>3.7615740729961544E-3</v>
      </c>
      <c r="H1193" s="3">
        <v>326.97966559424151</v>
      </c>
      <c r="I1193" s="3">
        <v>5.4496610932373581</v>
      </c>
      <c r="J1193" s="3">
        <v>9.0827684887289303E-2</v>
      </c>
    </row>
    <row r="1194" spans="1:10" x14ac:dyDescent="0.35">
      <c r="A1194">
        <v>1193</v>
      </c>
      <c r="B1194" t="s">
        <v>2</v>
      </c>
      <c r="C1194" t="s">
        <v>96</v>
      </c>
      <c r="D1194" t="s">
        <v>140</v>
      </c>
      <c r="E1194" s="2">
        <v>44165.522731481484</v>
      </c>
      <c r="F1194" s="2">
        <v>44165.52511574074</v>
      </c>
      <c r="G1194" s="3">
        <v>2.3842592563596554E-3</v>
      </c>
      <c r="H1194" s="3">
        <v>207.25480323015086</v>
      </c>
      <c r="I1194" s="3">
        <v>3.4542467205025145</v>
      </c>
      <c r="J1194" s="3">
        <v>5.7570778675041907E-2</v>
      </c>
    </row>
    <row r="1195" spans="1:10" x14ac:dyDescent="0.35">
      <c r="A1195">
        <v>1194</v>
      </c>
      <c r="B1195" t="s">
        <v>2</v>
      </c>
      <c r="C1195" t="s">
        <v>96</v>
      </c>
      <c r="D1195" t="s">
        <v>140</v>
      </c>
      <c r="E1195" s="2">
        <v>44165.525312500002</v>
      </c>
      <c r="F1195" s="2">
        <v>44165.540381944447</v>
      </c>
      <c r="G1195" s="3">
        <v>1.5069444445543922E-2</v>
      </c>
      <c r="H1195" s="3">
        <v>1309.9308454054174</v>
      </c>
      <c r="I1195" s="3">
        <v>21.832180756756955</v>
      </c>
      <c r="J1195" s="3">
        <v>0.3638696792792826</v>
      </c>
    </row>
    <row r="1196" spans="1:10" x14ac:dyDescent="0.35">
      <c r="A1196">
        <v>1195</v>
      </c>
      <c r="B1196" t="s">
        <v>2</v>
      </c>
      <c r="C1196" t="s">
        <v>96</v>
      </c>
      <c r="D1196" t="s">
        <v>140</v>
      </c>
      <c r="E1196" s="2">
        <v>44165.540625000001</v>
      </c>
      <c r="F1196" s="2">
        <v>44165.541250000002</v>
      </c>
      <c r="G1196" s="3">
        <v>6.2500000058207661E-4</v>
      </c>
      <c r="H1196" s="3">
        <v>54.328929118747965</v>
      </c>
      <c r="I1196" s="3">
        <v>0.90548215197913273</v>
      </c>
      <c r="J1196" s="3">
        <v>1.5091369199652212E-2</v>
      </c>
    </row>
    <row r="1197" spans="1:10" x14ac:dyDescent="0.35">
      <c r="A1197">
        <v>1196</v>
      </c>
      <c r="B1197" t="s">
        <v>2</v>
      </c>
      <c r="C1197" t="s">
        <v>96</v>
      </c>
      <c r="D1197" t="s">
        <v>140</v>
      </c>
      <c r="E1197" s="2">
        <v>44165.541435185187</v>
      </c>
      <c r="F1197" s="2">
        <v>44165.578541666669</v>
      </c>
      <c r="G1197" s="3">
        <v>3.7106481482624076E-2</v>
      </c>
      <c r="H1197" s="3">
        <v>3225.5286407009798</v>
      </c>
      <c r="I1197" s="3">
        <v>53.758810678349661</v>
      </c>
      <c r="J1197" s="3">
        <v>0.89598017797249441</v>
      </c>
    </row>
    <row r="1198" spans="1:10" x14ac:dyDescent="0.35">
      <c r="A1198">
        <v>1197</v>
      </c>
      <c r="B1198" t="s">
        <v>2</v>
      </c>
      <c r="C1198" t="s">
        <v>96</v>
      </c>
      <c r="D1198" t="s">
        <v>140</v>
      </c>
      <c r="E1198" s="2">
        <v>44165.578750000001</v>
      </c>
      <c r="F1198" s="2">
        <v>44165.581157407411</v>
      </c>
      <c r="G1198" s="3">
        <v>2.4074074099189602E-3</v>
      </c>
      <c r="H1198" s="3">
        <v>209.26698625860223</v>
      </c>
      <c r="I1198" s="3">
        <v>3.4877831043100374</v>
      </c>
      <c r="J1198" s="3">
        <v>5.8129718405167292E-2</v>
      </c>
    </row>
    <row r="1199" spans="1:10" x14ac:dyDescent="0.35">
      <c r="A1199">
        <v>1198</v>
      </c>
      <c r="B1199" t="s">
        <v>2</v>
      </c>
      <c r="C1199" t="s">
        <v>96</v>
      </c>
      <c r="D1199" t="s">
        <v>140</v>
      </c>
      <c r="E1199" s="2">
        <v>44165.581331018519</v>
      </c>
      <c r="F1199" s="2">
        <v>44165.591400462959</v>
      </c>
      <c r="G1199" s="3">
        <v>1.006944444088731E-2</v>
      </c>
      <c r="H1199" s="3">
        <v>875.29941245543364</v>
      </c>
      <c r="I1199" s="3">
        <v>14.588323540923893</v>
      </c>
      <c r="J1199" s="3">
        <v>0.24313872568206488</v>
      </c>
    </row>
    <row r="1200" spans="1:10" x14ac:dyDescent="0.35">
      <c r="A1200">
        <v>1199</v>
      </c>
      <c r="B1200" t="s">
        <v>2</v>
      </c>
      <c r="C1200" t="s">
        <v>96</v>
      </c>
      <c r="D1200" t="s">
        <v>140</v>
      </c>
      <c r="E1200" s="2">
        <v>44165.591527777775</v>
      </c>
      <c r="F1200" s="2">
        <v>44165.594155092593</v>
      </c>
      <c r="G1200" s="3">
        <v>2.6273148178006522E-3</v>
      </c>
      <c r="H1200" s="3">
        <v>228.38272060158658</v>
      </c>
      <c r="I1200" s="3">
        <v>3.8063786766931096</v>
      </c>
      <c r="J1200" s="3">
        <v>6.3439644611551826E-2</v>
      </c>
    </row>
    <row r="1201" spans="1:11" x14ac:dyDescent="0.35">
      <c r="A1201">
        <v>1200</v>
      </c>
      <c r="B1201" t="s">
        <v>11</v>
      </c>
      <c r="C1201" t="s">
        <v>11</v>
      </c>
      <c r="D1201" t="s">
        <v>140</v>
      </c>
      <c r="E1201" s="2">
        <v>44165.594317129631</v>
      </c>
      <c r="F1201" s="2">
        <v>44165.599687499998</v>
      </c>
      <c r="G1201" s="3">
        <v>5.3703703670180403E-3</v>
      </c>
      <c r="H1201" s="3">
        <v>466.82635318307024</v>
      </c>
      <c r="I1201" s="3">
        <v>7.7804392197178371</v>
      </c>
      <c r="J1201" s="3">
        <v>0.12967398699529728</v>
      </c>
    </row>
    <row r="1202" spans="1:11" x14ac:dyDescent="0.35">
      <c r="A1202">
        <v>1201</v>
      </c>
      <c r="B1202" t="s">
        <v>11</v>
      </c>
      <c r="C1202" t="s">
        <v>11</v>
      </c>
      <c r="D1202" t="s">
        <v>140</v>
      </c>
      <c r="E1202" s="2">
        <v>44165.599791666667</v>
      </c>
      <c r="F1202" s="2">
        <v>44165.600416666668</v>
      </c>
      <c r="G1202" s="3">
        <v>6.2500000058207661E-4</v>
      </c>
      <c r="H1202" s="3">
        <v>54.328929118747965</v>
      </c>
      <c r="I1202" s="3">
        <v>0.90548215197913273</v>
      </c>
      <c r="J1202" s="3">
        <v>1.5091369199652212E-2</v>
      </c>
    </row>
    <row r="1203" spans="1:11" x14ac:dyDescent="0.35">
      <c r="A1203">
        <v>1202</v>
      </c>
      <c r="B1203" t="s">
        <v>11</v>
      </c>
      <c r="C1203" t="s">
        <v>11</v>
      </c>
      <c r="D1203" t="s">
        <v>140</v>
      </c>
      <c r="E1203" s="2">
        <v>44165.60050925926</v>
      </c>
      <c r="F1203" s="2">
        <v>44165.612222222226</v>
      </c>
      <c r="G1203" s="3">
        <v>1.1712962965248153E-2</v>
      </c>
      <c r="H1203" s="3">
        <v>1018.1643745869395</v>
      </c>
      <c r="I1203" s="3">
        <v>16.96940624311566</v>
      </c>
      <c r="J1203" s="3">
        <v>0.282823437385261</v>
      </c>
    </row>
    <row r="1204" spans="1:11" x14ac:dyDescent="0.35">
      <c r="A1204">
        <v>1203</v>
      </c>
      <c r="B1204" t="s">
        <v>2</v>
      </c>
      <c r="C1204" t="s">
        <v>96</v>
      </c>
      <c r="D1204" t="s">
        <v>140</v>
      </c>
      <c r="E1204" s="2">
        <v>44165.613391203704</v>
      </c>
      <c r="F1204" s="2">
        <v>44165.675046296295</v>
      </c>
      <c r="G1204" s="3">
        <v>6.1655092591536231E-2</v>
      </c>
      <c r="H1204" s="3">
        <v>5359.4482433532885</v>
      </c>
      <c r="I1204" s="3">
        <v>89.324137389221477</v>
      </c>
      <c r="J1204" s="3">
        <v>1.4887356231536912</v>
      </c>
    </row>
    <row r="1205" spans="1:11" x14ac:dyDescent="0.35">
      <c r="A1205">
        <v>1204</v>
      </c>
      <c r="B1205" t="s">
        <v>16</v>
      </c>
      <c r="C1205" t="s">
        <v>16</v>
      </c>
      <c r="D1205" t="s">
        <v>140</v>
      </c>
      <c r="E1205" s="2">
        <v>44165.675185185188</v>
      </c>
      <c r="F1205" s="2">
        <v>44165.708865740744</v>
      </c>
      <c r="G1205" s="3">
        <v>3.3680555556202307E-2</v>
      </c>
      <c r="H1205" s="3">
        <v>2927.725622062092</v>
      </c>
      <c r="I1205" s="3">
        <v>48.795427034368203</v>
      </c>
      <c r="J1205" s="3">
        <v>0.81325711723947003</v>
      </c>
    </row>
    <row r="1206" spans="1:11" x14ac:dyDescent="0.35">
      <c r="A1206">
        <v>1205</v>
      </c>
      <c r="B1206" t="s">
        <v>16</v>
      </c>
      <c r="C1206" t="s">
        <v>16</v>
      </c>
      <c r="D1206" t="s">
        <v>140</v>
      </c>
      <c r="E1206" s="2">
        <v>44165.893923611111</v>
      </c>
      <c r="F1206" s="2">
        <v>44165.894756944443</v>
      </c>
      <c r="G1206" s="3">
        <v>8.3333333168411627E-4</v>
      </c>
      <c r="H1206" s="3">
        <v>72.438571947506631</v>
      </c>
      <c r="I1206" s="3">
        <v>1.2073095324584437</v>
      </c>
      <c r="J1206" s="3">
        <v>2.0121825540974064E-2</v>
      </c>
    </row>
    <row r="1207" spans="1:11" x14ac:dyDescent="0.35">
      <c r="A1207">
        <v>1206</v>
      </c>
      <c r="B1207" t="s">
        <v>2</v>
      </c>
      <c r="C1207" t="s">
        <v>96</v>
      </c>
      <c r="D1207" t="s">
        <v>140</v>
      </c>
      <c r="E1207" s="2">
        <v>44165.894953703704</v>
      </c>
      <c r="F1207" s="2">
        <v>44165.940717592595</v>
      </c>
      <c r="G1207" s="3">
        <v>4.5763888891087845E-2</v>
      </c>
      <c r="H1207" s="3">
        <v>3978.08491751459</v>
      </c>
      <c r="I1207" s="3">
        <v>66.301415291909834</v>
      </c>
      <c r="J1207" s="3">
        <v>1.1050235881984973</v>
      </c>
    </row>
    <row r="1208" spans="1:11" x14ac:dyDescent="0.35">
      <c r="A1208">
        <v>1207</v>
      </c>
      <c r="B1208" t="s">
        <v>11</v>
      </c>
      <c r="C1208" t="s">
        <v>11</v>
      </c>
      <c r="D1208" t="s">
        <v>140</v>
      </c>
      <c r="E1208" s="2">
        <v>44166.325740740744</v>
      </c>
      <c r="F1208" s="2">
        <v>44166.33384259259</v>
      </c>
      <c r="G1208" s="3">
        <v>8.1018518467317335E-3</v>
      </c>
      <c r="H1208" s="3">
        <v>704.26389488280017</v>
      </c>
      <c r="I1208" s="3">
        <v>11.737731581380002</v>
      </c>
      <c r="J1208" s="3">
        <v>0.1956288596896667</v>
      </c>
    </row>
    <row r="1209" spans="1:11" x14ac:dyDescent="0.35">
      <c r="A1209">
        <v>1208</v>
      </c>
      <c r="B1209" t="s">
        <v>2</v>
      </c>
      <c r="C1209" t="s">
        <v>96</v>
      </c>
      <c r="D1209" t="s">
        <v>140</v>
      </c>
      <c r="E1209" s="2">
        <v>44166.334004629629</v>
      </c>
      <c r="F1209" s="2">
        <v>44166.393888888888</v>
      </c>
      <c r="G1209" s="3">
        <v>5.9884259258979E-2</v>
      </c>
      <c r="H1209" s="3">
        <v>5205.5162777276601</v>
      </c>
      <c r="I1209" s="3">
        <v>86.75860462879433</v>
      </c>
      <c r="J1209" s="3">
        <v>1.4459767438132389</v>
      </c>
    </row>
    <row r="1210" spans="1:11" x14ac:dyDescent="0.35">
      <c r="A1210">
        <v>1209</v>
      </c>
      <c r="B1210" t="s">
        <v>2</v>
      </c>
      <c r="C1210" t="s">
        <v>96</v>
      </c>
      <c r="D1210" t="s">
        <v>140</v>
      </c>
      <c r="E1210" s="2">
        <v>44166.394131944442</v>
      </c>
      <c r="F1210" s="2">
        <v>44166.396898148145</v>
      </c>
      <c r="G1210" s="3">
        <v>2.7662037027766928E-3</v>
      </c>
      <c r="H1210" s="3">
        <v>240.45581560993503</v>
      </c>
      <c r="I1210" s="3">
        <v>4.0075969268322504</v>
      </c>
      <c r="J1210" s="3">
        <v>6.6793282113870839E-2</v>
      </c>
    </row>
    <row r="1211" spans="1:11" x14ac:dyDescent="0.35">
      <c r="A1211">
        <v>1210</v>
      </c>
      <c r="B1211" t="s">
        <v>2</v>
      </c>
      <c r="C1211" t="s">
        <v>72</v>
      </c>
      <c r="D1211" t="s">
        <v>140</v>
      </c>
      <c r="E1211" s="2">
        <v>44166.397048611114</v>
      </c>
      <c r="F1211" s="2">
        <v>44166.437592592592</v>
      </c>
      <c r="G1211" s="3">
        <v>4.054398147854954E-2</v>
      </c>
      <c r="H1211" s="3">
        <v>3524.3377502216217</v>
      </c>
      <c r="I1211" s="3">
        <v>58.738962503693692</v>
      </c>
      <c r="J1211" s="3">
        <v>0.97898270839489487</v>
      </c>
      <c r="K1211" t="s">
        <v>73</v>
      </c>
    </row>
    <row r="1212" spans="1:11" x14ac:dyDescent="0.35">
      <c r="A1212">
        <v>1211</v>
      </c>
      <c r="B1212" t="s">
        <v>16</v>
      </c>
      <c r="C1212" t="s">
        <v>16</v>
      </c>
      <c r="D1212" t="s">
        <v>140</v>
      </c>
      <c r="E1212" s="2">
        <v>44166.437708333331</v>
      </c>
      <c r="F1212" s="2">
        <v>44166.440405092595</v>
      </c>
      <c r="G1212" s="3">
        <v>2.6967592639266513E-3</v>
      </c>
      <c r="H1212" s="3">
        <v>234.4192684219968</v>
      </c>
      <c r="I1212" s="3">
        <v>3.9069878070332802</v>
      </c>
      <c r="J1212" s="3">
        <v>6.5116463450554676E-2</v>
      </c>
    </row>
    <row r="1213" spans="1:11" x14ac:dyDescent="0.35">
      <c r="A1213">
        <v>1212</v>
      </c>
      <c r="B1213" t="s">
        <v>2</v>
      </c>
      <c r="C1213" t="s">
        <v>132</v>
      </c>
      <c r="D1213" t="s">
        <v>140</v>
      </c>
      <c r="E1213" s="2">
        <v>44166.440717592595</v>
      </c>
      <c r="F1213" s="2">
        <v>44166.4455787037</v>
      </c>
      <c r="G1213" s="3">
        <v>4.8611111051286571E-3</v>
      </c>
      <c r="H1213" s="3">
        <v>422.55833667669128</v>
      </c>
      <c r="I1213" s="3">
        <v>7.0426389446115216</v>
      </c>
      <c r="J1213" s="3">
        <v>0.11737731574352536</v>
      </c>
      <c r="K1213" t="s">
        <v>41</v>
      </c>
    </row>
    <row r="1214" spans="1:11" x14ac:dyDescent="0.35">
      <c r="A1214">
        <v>1213</v>
      </c>
      <c r="B1214" t="s">
        <v>2</v>
      </c>
      <c r="C1214" t="s">
        <v>96</v>
      </c>
      <c r="D1214" t="s">
        <v>140</v>
      </c>
      <c r="E1214" s="2">
        <v>44166.445787037039</v>
      </c>
      <c r="F1214" s="2">
        <v>44166.489699074074</v>
      </c>
      <c r="G1214" s="3">
        <v>4.3912037035624962E-2</v>
      </c>
      <c r="H1214" s="3">
        <v>3817.1103125543254</v>
      </c>
      <c r="I1214" s="3">
        <v>63.618505209238755</v>
      </c>
      <c r="J1214" s="3">
        <v>1.0603084201539792</v>
      </c>
    </row>
    <row r="1215" spans="1:11" x14ac:dyDescent="0.35">
      <c r="A1215">
        <v>1214</v>
      </c>
      <c r="B1215" t="s">
        <v>2</v>
      </c>
      <c r="C1215" t="s">
        <v>96</v>
      </c>
      <c r="D1215" t="s">
        <v>140</v>
      </c>
      <c r="E1215" s="2">
        <v>44166.489895833336</v>
      </c>
      <c r="F1215" s="2">
        <v>44166.491238425922</v>
      </c>
      <c r="G1215" s="3">
        <v>1.3425925862975419E-3</v>
      </c>
      <c r="H1215" s="3">
        <v>116.70658782141358</v>
      </c>
      <c r="I1215" s="3">
        <v>1.9451097970235596</v>
      </c>
      <c r="J1215" s="3">
        <v>3.2418496617059325E-2</v>
      </c>
    </row>
    <row r="1216" spans="1:11" x14ac:dyDescent="0.35">
      <c r="A1216">
        <v>1215</v>
      </c>
      <c r="B1216" t="s">
        <v>16</v>
      </c>
      <c r="C1216" t="s">
        <v>16</v>
      </c>
      <c r="D1216" t="s">
        <v>140</v>
      </c>
      <c r="E1216" s="2">
        <v>44166.491354166668</v>
      </c>
      <c r="F1216" s="2">
        <v>44166.520798611113</v>
      </c>
      <c r="G1216" s="3">
        <v>2.9444444444379769E-2</v>
      </c>
      <c r="H1216" s="3">
        <v>2559.4962138716764</v>
      </c>
      <c r="I1216" s="3">
        <v>42.658270231194606</v>
      </c>
      <c r="J1216" s="3">
        <v>0.7109711705199101</v>
      </c>
    </row>
    <row r="1217" spans="1:11" x14ac:dyDescent="0.35">
      <c r="A1217">
        <v>1216</v>
      </c>
      <c r="B1217" t="s">
        <v>2</v>
      </c>
      <c r="C1217" t="s">
        <v>96</v>
      </c>
      <c r="D1217" t="s">
        <v>140</v>
      </c>
      <c r="E1217" s="2">
        <v>44166.52107638889</v>
      </c>
      <c r="F1217" s="2">
        <v>44166.551516203705</v>
      </c>
      <c r="G1217" s="3">
        <v>3.0439814814599231E-2</v>
      </c>
      <c r="H1217" s="3">
        <v>2646.0200638559832</v>
      </c>
      <c r="I1217" s="3">
        <v>44.100334397599717</v>
      </c>
      <c r="J1217" s="3">
        <v>0.73500557329332861</v>
      </c>
    </row>
    <row r="1218" spans="1:11" x14ac:dyDescent="0.35">
      <c r="A1218">
        <v>1217</v>
      </c>
      <c r="B1218" t="s">
        <v>2</v>
      </c>
      <c r="C1218" t="s">
        <v>96</v>
      </c>
      <c r="D1218" t="s">
        <v>140</v>
      </c>
      <c r="E1218" s="2">
        <v>44166.551678240743</v>
      </c>
      <c r="F1218" s="2">
        <v>44166.573634259257</v>
      </c>
      <c r="G1218" s="3">
        <v>2.1956018514174502E-2</v>
      </c>
      <c r="H1218" s="3">
        <v>1908.5551559609266</v>
      </c>
      <c r="I1218" s="3">
        <v>31.809252599348778</v>
      </c>
      <c r="J1218" s="3">
        <v>0.53015420998914631</v>
      </c>
    </row>
    <row r="1219" spans="1:11" x14ac:dyDescent="0.35">
      <c r="A1219">
        <v>1218</v>
      </c>
      <c r="B1219" t="s">
        <v>2</v>
      </c>
      <c r="C1219" t="s">
        <v>96</v>
      </c>
      <c r="D1219" t="s">
        <v>140</v>
      </c>
      <c r="E1219" s="2">
        <v>44166.573807870373</v>
      </c>
      <c r="F1219" s="2">
        <v>44166.583344907405</v>
      </c>
      <c r="G1219" s="3">
        <v>9.5370370327145793E-3</v>
      </c>
      <c r="H1219" s="3">
        <v>829.01921355307536</v>
      </c>
      <c r="I1219" s="3">
        <v>13.816986892551256</v>
      </c>
      <c r="J1219" s="3">
        <v>0.23028311487585426</v>
      </c>
    </row>
    <row r="1220" spans="1:11" x14ac:dyDescent="0.35">
      <c r="A1220">
        <v>1219</v>
      </c>
      <c r="B1220" t="s">
        <v>2</v>
      </c>
      <c r="C1220" t="s">
        <v>96</v>
      </c>
      <c r="D1220" t="s">
        <v>140</v>
      </c>
      <c r="E1220" s="2">
        <v>44166.583726851852</v>
      </c>
      <c r="F1220" s="2">
        <v>44166.598865740743</v>
      </c>
      <c r="G1220" s="3">
        <v>1.5138888891669922E-2</v>
      </c>
      <c r="H1220" s="3">
        <v>1315.9673932258277</v>
      </c>
      <c r="I1220" s="3">
        <v>21.932789887097126</v>
      </c>
      <c r="J1220" s="3">
        <v>0.36554649811828543</v>
      </c>
    </row>
    <row r="1221" spans="1:11" x14ac:dyDescent="0.35">
      <c r="A1221">
        <v>1220</v>
      </c>
      <c r="B1221" t="s">
        <v>16</v>
      </c>
      <c r="C1221" t="s">
        <v>16</v>
      </c>
      <c r="D1221" t="s">
        <v>140</v>
      </c>
      <c r="E1221" s="2">
        <v>44166.598969907405</v>
      </c>
      <c r="F1221" s="2">
        <v>44166.602002314816</v>
      </c>
      <c r="G1221" s="3">
        <v>3.0324074105010368E-3</v>
      </c>
      <c r="H1221" s="3">
        <v>263.5959153773502</v>
      </c>
      <c r="I1221" s="3">
        <v>4.3932652562891699</v>
      </c>
      <c r="J1221" s="3">
        <v>7.3221087604819504E-2</v>
      </c>
    </row>
    <row r="1222" spans="1:11" x14ac:dyDescent="0.35">
      <c r="A1222">
        <v>1221</v>
      </c>
      <c r="B1222" t="s">
        <v>11</v>
      </c>
      <c r="C1222" t="s">
        <v>11</v>
      </c>
      <c r="D1222" t="s">
        <v>140</v>
      </c>
      <c r="E1222" s="2">
        <v>44166.602175925924</v>
      </c>
      <c r="F1222" s="2">
        <v>44166.604212962964</v>
      </c>
      <c r="G1222" s="3">
        <v>2.0370370402815752E-3</v>
      </c>
      <c r="H1222" s="3">
        <v>177.07206539304372</v>
      </c>
      <c r="I1222" s="3">
        <v>2.9512010898840617</v>
      </c>
      <c r="J1222" s="3">
        <v>4.9186684831401026E-2</v>
      </c>
    </row>
    <row r="1223" spans="1:11" x14ac:dyDescent="0.35">
      <c r="A1223">
        <v>1222</v>
      </c>
      <c r="B1223" t="s">
        <v>2</v>
      </c>
      <c r="C1223" t="s">
        <v>132</v>
      </c>
      <c r="D1223" t="s">
        <v>140</v>
      </c>
      <c r="E1223" s="2">
        <v>44166.604849537034</v>
      </c>
      <c r="F1223" s="2">
        <v>44166.625520833331</v>
      </c>
      <c r="G1223" s="3">
        <v>2.0671296297223307E-2</v>
      </c>
      <c r="H1223" s="3">
        <v>1796.8790244456977</v>
      </c>
      <c r="I1223" s="3">
        <v>29.947983740761629</v>
      </c>
      <c r="J1223" s="3">
        <v>0.49913306234602717</v>
      </c>
      <c r="K1223" t="s">
        <v>64</v>
      </c>
    </row>
    <row r="1224" spans="1:11" x14ac:dyDescent="0.35">
      <c r="A1224">
        <v>1223</v>
      </c>
      <c r="B1224" t="s">
        <v>2</v>
      </c>
      <c r="C1224" t="s">
        <v>96</v>
      </c>
      <c r="D1224" t="s">
        <v>140</v>
      </c>
      <c r="E1224" s="2">
        <v>44166.625625000001</v>
      </c>
      <c r="F1224" s="2">
        <v>44166.644571759258</v>
      </c>
      <c r="G1224" s="3">
        <v>1.894675925723277E-2</v>
      </c>
      <c r="H1224" s="3">
        <v>1646.9714236120278</v>
      </c>
      <c r="I1224" s="3">
        <v>27.449523726867131</v>
      </c>
      <c r="J1224" s="3">
        <v>0.4574920621144522</v>
      </c>
    </row>
    <row r="1225" spans="1:11" x14ac:dyDescent="0.35">
      <c r="A1225">
        <v>1224</v>
      </c>
      <c r="B1225" t="s">
        <v>11</v>
      </c>
      <c r="C1225" t="s">
        <v>11</v>
      </c>
      <c r="D1225" t="s">
        <v>140</v>
      </c>
      <c r="E1225" s="2">
        <v>44166.644675925927</v>
      </c>
      <c r="F1225" s="2">
        <v>44166.646307870367</v>
      </c>
      <c r="G1225" s="3">
        <v>1.631944440305233E-3</v>
      </c>
      <c r="H1225" s="3">
        <v>141.85886998480814</v>
      </c>
      <c r="I1225" s="3">
        <v>2.3643144997468024</v>
      </c>
      <c r="J1225" s="3">
        <v>3.9405241662446709E-2</v>
      </c>
    </row>
    <row r="1226" spans="1:11" x14ac:dyDescent="0.35">
      <c r="A1226">
        <v>1225</v>
      </c>
      <c r="B1226" t="s">
        <v>11</v>
      </c>
      <c r="C1226" t="s">
        <v>11</v>
      </c>
      <c r="D1226" t="s">
        <v>140</v>
      </c>
      <c r="E1226" s="2">
        <v>44166.646481481483</v>
      </c>
      <c r="F1226" s="2">
        <v>44166.649293981478</v>
      </c>
      <c r="G1226" s="3">
        <v>2.8124999953433871E-3</v>
      </c>
      <c r="H1226" s="3">
        <v>244.48018040189385</v>
      </c>
      <c r="I1226" s="3">
        <v>4.0746696733648973</v>
      </c>
      <c r="J1226" s="3">
        <v>6.791116122274829E-2</v>
      </c>
    </row>
    <row r="1227" spans="1:11" x14ac:dyDescent="0.35">
      <c r="A1227">
        <v>1226</v>
      </c>
      <c r="B1227" t="s">
        <v>11</v>
      </c>
      <c r="C1227" t="s">
        <v>11</v>
      </c>
      <c r="D1227" t="s">
        <v>140</v>
      </c>
      <c r="E1227" s="2">
        <v>44166.649375000001</v>
      </c>
      <c r="F1227" s="2">
        <v>44166.656701388885</v>
      </c>
      <c r="G1227" s="3">
        <v>7.326388884393964E-3</v>
      </c>
      <c r="H1227" s="3">
        <v>636.8557792414781</v>
      </c>
      <c r="I1227" s="3">
        <v>10.614262987357968</v>
      </c>
      <c r="J1227" s="3">
        <v>0.17690438312263279</v>
      </c>
    </row>
    <row r="1228" spans="1:11" x14ac:dyDescent="0.35">
      <c r="A1228">
        <v>1227</v>
      </c>
      <c r="B1228" t="s">
        <v>2</v>
      </c>
      <c r="C1228" t="s">
        <v>96</v>
      </c>
      <c r="D1228" t="s">
        <v>140</v>
      </c>
      <c r="E1228" s="2">
        <v>44166.657083333332</v>
      </c>
      <c r="F1228" s="2">
        <v>44166.665416666663</v>
      </c>
      <c r="G1228" s="3">
        <v>8.333333331393078E-3</v>
      </c>
      <c r="H1228" s="3">
        <v>724.38572074001024</v>
      </c>
      <c r="I1228" s="3">
        <v>12.073095345666838</v>
      </c>
      <c r="J1228" s="3">
        <v>0.20121825576111396</v>
      </c>
    </row>
    <row r="1229" spans="1:11" x14ac:dyDescent="0.35">
      <c r="A1229">
        <v>1228</v>
      </c>
      <c r="B1229" t="s">
        <v>2</v>
      </c>
      <c r="C1229" t="s">
        <v>96</v>
      </c>
      <c r="D1229" t="s">
        <v>140</v>
      </c>
      <c r="E1229" s="2">
        <v>44166.665659722225</v>
      </c>
      <c r="F1229" s="2">
        <v>44166.683136574073</v>
      </c>
      <c r="G1229" s="3">
        <v>1.7476851848186925E-2</v>
      </c>
      <c r="H1229" s="3">
        <v>1519.1978310315476</v>
      </c>
      <c r="I1229" s="3">
        <v>25.319963850525792</v>
      </c>
      <c r="J1229" s="3">
        <v>0.4219993975087632</v>
      </c>
    </row>
    <row r="1230" spans="1:11" x14ac:dyDescent="0.35">
      <c r="A1230">
        <v>1229</v>
      </c>
      <c r="B1230" t="s">
        <v>2</v>
      </c>
      <c r="C1230" t="s">
        <v>96</v>
      </c>
      <c r="D1230" t="s">
        <v>140</v>
      </c>
      <c r="E1230" s="2">
        <v>44166.68341435185</v>
      </c>
      <c r="F1230" s="2">
        <v>44166.72619212963</v>
      </c>
      <c r="G1230" s="3">
        <v>4.277777778042946E-2</v>
      </c>
      <c r="H1230" s="3">
        <v>3718.5133675616707</v>
      </c>
      <c r="I1230" s="3">
        <v>61.97522279269451</v>
      </c>
      <c r="J1230" s="3">
        <v>1.0329203798782418</v>
      </c>
    </row>
    <row r="1231" spans="1:11" x14ac:dyDescent="0.35">
      <c r="A1231">
        <v>1230</v>
      </c>
      <c r="B1231" t="s">
        <v>16</v>
      </c>
      <c r="C1231" t="s">
        <v>16</v>
      </c>
      <c r="D1231" t="s">
        <v>140</v>
      </c>
      <c r="E1231" s="2">
        <v>44166.784907407404</v>
      </c>
      <c r="F1231" s="2">
        <v>44166.789317129631</v>
      </c>
      <c r="G1231" s="3">
        <v>4.4097222271375358E-3</v>
      </c>
      <c r="H1231" s="3">
        <v>383.32077774144085</v>
      </c>
      <c r="I1231" s="3">
        <v>6.388679629024014</v>
      </c>
      <c r="J1231" s="3">
        <v>0.10647799381706689</v>
      </c>
    </row>
    <row r="1232" spans="1:11" x14ac:dyDescent="0.35">
      <c r="A1232">
        <v>1231</v>
      </c>
      <c r="B1232" t="s">
        <v>16</v>
      </c>
      <c r="C1232" t="s">
        <v>16</v>
      </c>
      <c r="D1232" t="s">
        <v>140</v>
      </c>
      <c r="E1232" s="2">
        <v>44166.801134259258</v>
      </c>
      <c r="F1232" s="2">
        <v>44166.810682870368</v>
      </c>
      <c r="G1232" s="3">
        <v>9.5486111094942316E-3</v>
      </c>
      <c r="H1232" s="3">
        <v>830.02530506730102</v>
      </c>
      <c r="I1232" s="3">
        <v>13.833755084455017</v>
      </c>
      <c r="J1232" s="3">
        <v>0.23056258474091695</v>
      </c>
    </row>
    <row r="1233" spans="1:11" x14ac:dyDescent="0.35">
      <c r="A1233">
        <v>1232</v>
      </c>
      <c r="B1233" t="s">
        <v>16</v>
      </c>
      <c r="C1233" t="s">
        <v>16</v>
      </c>
      <c r="D1233" t="s">
        <v>140</v>
      </c>
      <c r="E1233" s="2">
        <v>44166.856736111113</v>
      </c>
      <c r="F1233" s="2">
        <v>44166.895289351851</v>
      </c>
      <c r="G1233" s="3">
        <v>3.8553240738110617E-2</v>
      </c>
      <c r="H1233" s="3">
        <v>3351.2900502530088</v>
      </c>
      <c r="I1233" s="3">
        <v>55.854834170883478</v>
      </c>
      <c r="J1233" s="3">
        <v>0.93091390284805797</v>
      </c>
    </row>
    <row r="1234" spans="1:11" x14ac:dyDescent="0.35">
      <c r="A1234">
        <v>1233</v>
      </c>
      <c r="B1234" t="s">
        <v>11</v>
      </c>
      <c r="C1234" t="s">
        <v>11</v>
      </c>
      <c r="D1234" t="s">
        <v>140</v>
      </c>
      <c r="E1234" s="2">
        <v>44167.337905092594</v>
      </c>
      <c r="F1234" s="2">
        <v>44167.345173611109</v>
      </c>
      <c r="G1234" s="3">
        <v>7.2685185150476173E-3</v>
      </c>
      <c r="H1234" s="3">
        <v>631.82532293529357</v>
      </c>
      <c r="I1234" s="3">
        <v>10.53042204892156</v>
      </c>
      <c r="J1234" s="3">
        <v>0.17550703414869268</v>
      </c>
    </row>
    <row r="1235" spans="1:11" x14ac:dyDescent="0.35">
      <c r="A1235">
        <v>1234</v>
      </c>
      <c r="B1235" t="s">
        <v>2</v>
      </c>
      <c r="C1235" t="s">
        <v>96</v>
      </c>
      <c r="D1235" t="s">
        <v>140</v>
      </c>
      <c r="E1235" s="2">
        <v>44167.345370370371</v>
      </c>
      <c r="F1235" s="2">
        <v>44167.375532407408</v>
      </c>
      <c r="G1235" s="3">
        <v>3.0162037037371192E-2</v>
      </c>
      <c r="H1235" s="3">
        <v>2621.8738732068141</v>
      </c>
      <c r="I1235" s="3">
        <v>43.697897886780233</v>
      </c>
      <c r="J1235" s="3">
        <v>0.72829829811300384</v>
      </c>
    </row>
    <row r="1236" spans="1:11" x14ac:dyDescent="0.35">
      <c r="A1236">
        <v>1235</v>
      </c>
      <c r="B1236" t="s">
        <v>2</v>
      </c>
      <c r="C1236" t="s">
        <v>96</v>
      </c>
      <c r="D1236" t="s">
        <v>140</v>
      </c>
      <c r="E1236" s="2">
        <v>44167.375659722224</v>
      </c>
      <c r="F1236" s="2">
        <v>44167.395428240743</v>
      </c>
      <c r="G1236" s="3">
        <v>1.9768518519413192E-2</v>
      </c>
      <c r="H1236" s="3">
        <v>1718.4039046777809</v>
      </c>
      <c r="I1236" s="3">
        <v>28.640065077963015</v>
      </c>
      <c r="J1236" s="3">
        <v>0.47733441796605025</v>
      </c>
    </row>
    <row r="1237" spans="1:11" x14ac:dyDescent="0.35">
      <c r="A1237">
        <v>1236</v>
      </c>
      <c r="B1237" t="s">
        <v>2</v>
      </c>
      <c r="C1237" t="s">
        <v>96</v>
      </c>
      <c r="D1237" t="s">
        <v>140</v>
      </c>
      <c r="E1237" s="2">
        <v>44167.395636574074</v>
      </c>
      <c r="F1237" s="2">
        <v>44167.429942129631</v>
      </c>
      <c r="G1237" s="3">
        <v>3.4305555556784384E-2</v>
      </c>
      <c r="H1237" s="3">
        <v>2982.05455118084</v>
      </c>
      <c r="I1237" s="3">
        <v>49.700909186347332</v>
      </c>
      <c r="J1237" s="3">
        <v>0.82834848643912218</v>
      </c>
    </row>
    <row r="1238" spans="1:11" x14ac:dyDescent="0.35">
      <c r="A1238">
        <v>1237</v>
      </c>
      <c r="B1238" t="s">
        <v>16</v>
      </c>
      <c r="C1238" t="s">
        <v>16</v>
      </c>
      <c r="D1238" t="s">
        <v>140</v>
      </c>
      <c r="E1238" s="2">
        <v>44167.430023148147</v>
      </c>
      <c r="F1238" s="2">
        <v>44167.432569444441</v>
      </c>
      <c r="G1238" s="3">
        <v>2.5462962948950008E-3</v>
      </c>
      <c r="H1238" s="3">
        <v>221.34008126695068</v>
      </c>
      <c r="I1238" s="3">
        <v>3.6890013544491778</v>
      </c>
      <c r="J1238" s="3">
        <v>6.1483355907486298E-2</v>
      </c>
    </row>
    <row r="1239" spans="1:11" x14ac:dyDescent="0.35">
      <c r="A1239">
        <v>1238</v>
      </c>
      <c r="B1239" t="s">
        <v>2</v>
      </c>
      <c r="C1239" t="s">
        <v>96</v>
      </c>
      <c r="D1239" t="s">
        <v>140</v>
      </c>
      <c r="E1239" s="2">
        <v>44167.432743055557</v>
      </c>
      <c r="F1239" s="2">
        <v>44167.475891203707</v>
      </c>
      <c r="G1239" s="3">
        <v>4.3148148150066845E-2</v>
      </c>
      <c r="H1239" s="3">
        <v>3750.708288427229</v>
      </c>
      <c r="I1239" s="3">
        <v>62.511804807120484</v>
      </c>
      <c r="J1239" s="3">
        <v>1.0418634134520082</v>
      </c>
    </row>
    <row r="1240" spans="1:11" x14ac:dyDescent="0.35">
      <c r="A1240">
        <v>1239</v>
      </c>
      <c r="B1240" t="s">
        <v>16</v>
      </c>
      <c r="C1240" t="s">
        <v>16</v>
      </c>
      <c r="D1240" t="s">
        <v>140</v>
      </c>
      <c r="E1240" s="2">
        <v>44167.476064814815</v>
      </c>
      <c r="F1240" s="2">
        <v>44167.501099537039</v>
      </c>
      <c r="G1240" s="3">
        <v>2.5034722224518191E-2</v>
      </c>
      <c r="H1240" s="3">
        <v>2176.1754367627077</v>
      </c>
      <c r="I1240" s="3">
        <v>36.269590612711795</v>
      </c>
      <c r="J1240" s="3">
        <v>0.60449317687852988</v>
      </c>
    </row>
    <row r="1241" spans="1:11" x14ac:dyDescent="0.35">
      <c r="A1241">
        <v>1240</v>
      </c>
      <c r="B1241" t="s">
        <v>2</v>
      </c>
      <c r="C1241" t="s">
        <v>96</v>
      </c>
      <c r="D1241" t="s">
        <v>140</v>
      </c>
      <c r="E1241" s="2">
        <v>44167.501296296294</v>
      </c>
      <c r="F1241" s="2">
        <v>44167.520914351851</v>
      </c>
      <c r="G1241" s="3">
        <v>1.9618055557657499E-2</v>
      </c>
      <c r="H1241" s="3">
        <v>1705.3247181552067</v>
      </c>
      <c r="I1241" s="3">
        <v>28.422078635920112</v>
      </c>
      <c r="J1241" s="3">
        <v>0.47370131059866855</v>
      </c>
    </row>
    <row r="1242" spans="1:11" x14ac:dyDescent="0.35">
      <c r="A1242">
        <v>1241</v>
      </c>
      <c r="B1242" t="s">
        <v>2</v>
      </c>
      <c r="C1242" t="s">
        <v>72</v>
      </c>
      <c r="D1242" t="s">
        <v>140</v>
      </c>
      <c r="E1242" s="2">
        <v>44167.52107638889</v>
      </c>
      <c r="F1242" s="2">
        <v>44167.531469907408</v>
      </c>
      <c r="G1242" s="3">
        <v>1.0393518517958E-2</v>
      </c>
      <c r="H1242" s="3">
        <v>903.46996852903339</v>
      </c>
      <c r="I1242" s="3">
        <v>15.057832808817222</v>
      </c>
      <c r="J1242" s="3">
        <v>0.2509638801469537</v>
      </c>
      <c r="K1242" t="s">
        <v>73</v>
      </c>
    </row>
    <row r="1243" spans="1:11" x14ac:dyDescent="0.35">
      <c r="A1243">
        <v>1242</v>
      </c>
      <c r="B1243" t="s">
        <v>2</v>
      </c>
      <c r="C1243" t="s">
        <v>96</v>
      </c>
      <c r="D1243" t="s">
        <v>140</v>
      </c>
      <c r="E1243" s="2">
        <v>44167.531574074077</v>
      </c>
      <c r="F1243" s="2">
        <v>44167.58390046296</v>
      </c>
      <c r="G1243" s="3">
        <v>5.2326388882647734E-2</v>
      </c>
      <c r="H1243" s="3">
        <v>4548.5386719964999</v>
      </c>
      <c r="I1243" s="3">
        <v>75.80897786660833</v>
      </c>
      <c r="J1243" s="3">
        <v>1.2634829644434722</v>
      </c>
    </row>
    <row r="1244" spans="1:11" x14ac:dyDescent="0.35">
      <c r="A1244">
        <v>1243</v>
      </c>
      <c r="B1244" t="s">
        <v>2</v>
      </c>
      <c r="C1244" t="s">
        <v>96</v>
      </c>
      <c r="D1244" t="s">
        <v>140</v>
      </c>
      <c r="E1244" s="2">
        <v>44167.584247685183</v>
      </c>
      <c r="F1244" s="2">
        <v>44167.6015162037</v>
      </c>
      <c r="G1244" s="3">
        <v>1.7268518517084885E-2</v>
      </c>
      <c r="H1244" s="3">
        <v>1501.0881882027891</v>
      </c>
      <c r="I1244" s="3">
        <v>25.018136470046485</v>
      </c>
      <c r="J1244" s="3">
        <v>0.41696894116744143</v>
      </c>
    </row>
    <row r="1245" spans="1:11" x14ac:dyDescent="0.35">
      <c r="A1245">
        <v>1244</v>
      </c>
      <c r="B1245" t="s">
        <v>2</v>
      </c>
      <c r="C1245" t="s">
        <v>96</v>
      </c>
      <c r="D1245" t="s">
        <v>140</v>
      </c>
      <c r="E1245" s="2">
        <v>44167.601736111108</v>
      </c>
      <c r="F1245" s="2">
        <v>44167.60601851852</v>
      </c>
      <c r="G1245" s="3">
        <v>4.28240741166519E-3</v>
      </c>
      <c r="H1245" s="3">
        <v>372.25377361484612</v>
      </c>
      <c r="I1245" s="3">
        <v>6.2042295602474358</v>
      </c>
      <c r="J1245" s="3">
        <v>0.10340382600412393</v>
      </c>
    </row>
    <row r="1246" spans="1:11" x14ac:dyDescent="0.35">
      <c r="A1246">
        <v>1245</v>
      </c>
      <c r="B1246" t="s">
        <v>2</v>
      </c>
      <c r="C1246" t="s">
        <v>96</v>
      </c>
      <c r="D1246" t="s">
        <v>140</v>
      </c>
      <c r="E1246" s="2">
        <v>44167.606203703705</v>
      </c>
      <c r="F1246" s="2">
        <v>44167.622256944444</v>
      </c>
      <c r="G1246" s="3">
        <v>1.6053240738983732E-2</v>
      </c>
      <c r="H1246" s="3">
        <v>1395.4486038754981</v>
      </c>
      <c r="I1246" s="3">
        <v>23.257476731258301</v>
      </c>
      <c r="J1246" s="3">
        <v>0.38762461218763833</v>
      </c>
    </row>
    <row r="1247" spans="1:11" x14ac:dyDescent="0.35">
      <c r="A1247">
        <v>1246</v>
      </c>
      <c r="B1247" t="s">
        <v>2</v>
      </c>
      <c r="C1247" t="s">
        <v>96</v>
      </c>
      <c r="D1247" t="s">
        <v>140</v>
      </c>
      <c r="E1247" s="2">
        <v>44167.622407407405</v>
      </c>
      <c r="F1247" s="2">
        <v>44167.64334490741</v>
      </c>
      <c r="G1247" s="3">
        <v>2.0937500004947651E-2</v>
      </c>
      <c r="H1247" s="3">
        <v>1820.0191242131129</v>
      </c>
      <c r="I1247" s="3">
        <v>30.333652070218548</v>
      </c>
      <c r="J1247" s="3">
        <v>0.50556086783697585</v>
      </c>
    </row>
    <row r="1248" spans="1:11" x14ac:dyDescent="0.35">
      <c r="A1248">
        <v>1247</v>
      </c>
      <c r="B1248" t="s">
        <v>16</v>
      </c>
      <c r="C1248" t="s">
        <v>16</v>
      </c>
      <c r="D1248" t="s">
        <v>140</v>
      </c>
      <c r="E1248" s="2">
        <v>44167.643506944441</v>
      </c>
      <c r="F1248" s="2">
        <v>44167.6483912037</v>
      </c>
      <c r="G1248" s="3">
        <v>4.8842592586879618E-3</v>
      </c>
      <c r="H1248" s="3">
        <v>424.57051970514271</v>
      </c>
      <c r="I1248" s="3">
        <v>7.076175328419045</v>
      </c>
      <c r="J1248" s="3">
        <v>0.11793625547365075</v>
      </c>
    </row>
    <row r="1249" spans="1:10" x14ac:dyDescent="0.35">
      <c r="A1249">
        <v>1248</v>
      </c>
      <c r="B1249" t="s">
        <v>2</v>
      </c>
      <c r="C1249" t="s">
        <v>96</v>
      </c>
      <c r="D1249" t="s">
        <v>140</v>
      </c>
      <c r="E1249" s="2">
        <v>44167.648530092592</v>
      </c>
      <c r="F1249" s="2">
        <v>44167.669699074075</v>
      </c>
      <c r="G1249" s="3">
        <v>2.1168981482333038E-2</v>
      </c>
      <c r="H1249" s="3">
        <v>1840.1409494378508</v>
      </c>
      <c r="I1249" s="3">
        <v>30.66901582396418</v>
      </c>
      <c r="J1249" s="3">
        <v>0.51115026373273631</v>
      </c>
    </row>
    <row r="1250" spans="1:10" x14ac:dyDescent="0.35">
      <c r="A1250">
        <v>1249</v>
      </c>
      <c r="B1250" t="s">
        <v>11</v>
      </c>
      <c r="C1250" t="s">
        <v>11</v>
      </c>
      <c r="D1250" t="s">
        <v>140</v>
      </c>
      <c r="E1250" s="2">
        <v>44167.669907407406</v>
      </c>
      <c r="F1250" s="2">
        <v>44167.676712962966</v>
      </c>
      <c r="G1250" s="3">
        <v>6.8055555602768436E-3</v>
      </c>
      <c r="H1250" s="3">
        <v>591.58167248581742</v>
      </c>
      <c r="I1250" s="3">
        <v>9.8596945414302901</v>
      </c>
      <c r="J1250" s="3">
        <v>0.1643282423571715</v>
      </c>
    </row>
    <row r="1251" spans="1:10" x14ac:dyDescent="0.35">
      <c r="A1251">
        <v>1250</v>
      </c>
      <c r="B1251" t="s">
        <v>11</v>
      </c>
      <c r="C1251" t="s">
        <v>11</v>
      </c>
      <c r="D1251" t="s">
        <v>140</v>
      </c>
      <c r="E1251" s="2">
        <v>44167.676851851851</v>
      </c>
      <c r="F1251" s="2">
        <v>44167.727708333332</v>
      </c>
      <c r="G1251" s="3">
        <v>5.0856481480877846E-2</v>
      </c>
      <c r="H1251" s="3">
        <v>4420.7650800484917</v>
      </c>
      <c r="I1251" s="3">
        <v>73.679418000808198</v>
      </c>
      <c r="J1251" s="3">
        <v>1.22799030001347</v>
      </c>
    </row>
    <row r="1252" spans="1:10" x14ac:dyDescent="0.35">
      <c r="A1252">
        <v>1251</v>
      </c>
      <c r="B1252" t="s">
        <v>11</v>
      </c>
      <c r="C1252" t="s">
        <v>11</v>
      </c>
      <c r="D1252" t="s">
        <v>140</v>
      </c>
      <c r="E1252" s="2">
        <v>44167.729699074072</v>
      </c>
      <c r="F1252" s="2">
        <v>44167.743703703702</v>
      </c>
      <c r="G1252" s="3">
        <v>1.4004629629198462E-2</v>
      </c>
      <c r="H1252" s="3">
        <v>1217.3704476007008</v>
      </c>
      <c r="I1252" s="3">
        <v>20.289507460011681</v>
      </c>
      <c r="J1252" s="3">
        <v>0.33815845766686137</v>
      </c>
    </row>
    <row r="1253" spans="1:10" x14ac:dyDescent="0.35">
      <c r="A1253">
        <v>1252</v>
      </c>
      <c r="B1253" t="s">
        <v>11</v>
      </c>
      <c r="C1253" t="s">
        <v>11</v>
      </c>
      <c r="D1253" t="s">
        <v>140</v>
      </c>
      <c r="E1253" s="2">
        <v>44167.835659722223</v>
      </c>
      <c r="F1253" s="2">
        <v>44167.850937499999</v>
      </c>
      <c r="G1253" s="3">
        <v>1.5277777776645962E-2</v>
      </c>
      <c r="H1253" s="3">
        <v>1328.0404882341761</v>
      </c>
      <c r="I1253" s="3">
        <v>22.134008137236268</v>
      </c>
      <c r="J1253" s="3">
        <v>0.36890013562060447</v>
      </c>
    </row>
    <row r="1254" spans="1:10" x14ac:dyDescent="0.35">
      <c r="A1254">
        <v>1253</v>
      </c>
      <c r="B1254" t="s">
        <v>11</v>
      </c>
      <c r="C1254" t="s">
        <v>11</v>
      </c>
      <c r="D1254" t="s">
        <v>140</v>
      </c>
      <c r="E1254" s="2">
        <v>44168.34103009259</v>
      </c>
      <c r="F1254" s="2">
        <v>44168.348553240743</v>
      </c>
      <c r="G1254" s="3">
        <v>7.5231481532682665E-3</v>
      </c>
      <c r="H1254" s="3">
        <v>653.95933182095496</v>
      </c>
      <c r="I1254" s="3">
        <v>10.899322197015916</v>
      </c>
      <c r="J1254" s="3">
        <v>0.18165536995026527</v>
      </c>
    </row>
    <row r="1255" spans="1:10" x14ac:dyDescent="0.35">
      <c r="A1255">
        <v>1254</v>
      </c>
      <c r="B1255" t="s">
        <v>11</v>
      </c>
      <c r="C1255" t="s">
        <v>11</v>
      </c>
      <c r="D1255" t="s">
        <v>140</v>
      </c>
      <c r="E1255" s="2">
        <v>44168.348761574074</v>
      </c>
      <c r="F1255" s="2">
        <v>44168.351921296293</v>
      </c>
      <c r="G1255" s="3">
        <v>3.159722218697425E-3</v>
      </c>
      <c r="H1255" s="3">
        <v>274.66291887147293</v>
      </c>
      <c r="I1255" s="3">
        <v>4.5777153145245491</v>
      </c>
      <c r="J1255" s="3">
        <v>7.6295255242075824E-2</v>
      </c>
    </row>
    <row r="1256" spans="1:10" x14ac:dyDescent="0.35">
      <c r="A1256">
        <v>1255</v>
      </c>
      <c r="B1256" t="s">
        <v>2</v>
      </c>
      <c r="C1256" t="s">
        <v>96</v>
      </c>
      <c r="D1256" t="s">
        <v>140</v>
      </c>
      <c r="E1256" s="2">
        <v>44168.352210648147</v>
      </c>
      <c r="F1256" s="2">
        <v>44168.379907407405</v>
      </c>
      <c r="G1256" s="3">
        <v>2.7696759258105885E-2</v>
      </c>
      <c r="H1256" s="3">
        <v>2407.5764306420274</v>
      </c>
      <c r="I1256" s="3">
        <v>40.12627384403379</v>
      </c>
      <c r="J1256" s="3">
        <v>0.66877123073389655</v>
      </c>
    </row>
    <row r="1257" spans="1:10" x14ac:dyDescent="0.35">
      <c r="A1257">
        <v>1256</v>
      </c>
      <c r="B1257" t="s">
        <v>11</v>
      </c>
      <c r="C1257" t="s">
        <v>11</v>
      </c>
      <c r="D1257" t="s">
        <v>140</v>
      </c>
      <c r="E1257" s="2">
        <v>44168.380011574074</v>
      </c>
      <c r="F1257" s="2">
        <v>44168.387187499997</v>
      </c>
      <c r="G1257" s="3">
        <v>7.175925922638271E-3</v>
      </c>
      <c r="H1257" s="3">
        <v>623.77659271890388</v>
      </c>
      <c r="I1257" s="3">
        <v>10.396276545315065</v>
      </c>
      <c r="J1257" s="3">
        <v>0.17327127575525109</v>
      </c>
    </row>
    <row r="1258" spans="1:10" x14ac:dyDescent="0.35">
      <c r="A1258">
        <v>1257</v>
      </c>
      <c r="B1258" t="s">
        <v>2</v>
      </c>
      <c r="C1258" t="s">
        <v>96</v>
      </c>
      <c r="D1258" t="s">
        <v>140</v>
      </c>
      <c r="E1258" s="2">
        <v>44168.38758101852</v>
      </c>
      <c r="F1258" s="2">
        <v>44168.427523148152</v>
      </c>
      <c r="G1258" s="3">
        <v>3.9942129631526768E-2</v>
      </c>
      <c r="H1258" s="3">
        <v>3472.0210041313253</v>
      </c>
      <c r="I1258" s="3">
        <v>57.867016735522085</v>
      </c>
      <c r="J1258" s="3">
        <v>0.96445027892536805</v>
      </c>
    </row>
    <row r="1259" spans="1:10" x14ac:dyDescent="0.35">
      <c r="A1259">
        <v>1258</v>
      </c>
      <c r="B1259" t="s">
        <v>16</v>
      </c>
      <c r="C1259" t="s">
        <v>16</v>
      </c>
      <c r="D1259" t="s">
        <v>140</v>
      </c>
      <c r="E1259" s="2">
        <v>44168.427662037036</v>
      </c>
      <c r="F1259" s="2">
        <v>44168.42895833333</v>
      </c>
      <c r="G1259" s="3">
        <v>1.2962962937308475E-3</v>
      </c>
      <c r="H1259" s="3">
        <v>112.68222302945475</v>
      </c>
      <c r="I1259" s="3">
        <v>1.8780370504909125</v>
      </c>
      <c r="J1259" s="3">
        <v>3.1300617508181874E-2</v>
      </c>
    </row>
    <row r="1260" spans="1:10" x14ac:dyDescent="0.35">
      <c r="A1260">
        <v>1259</v>
      </c>
      <c r="B1260" t="s">
        <v>2</v>
      </c>
      <c r="C1260" t="s">
        <v>96</v>
      </c>
      <c r="D1260" t="s">
        <v>140</v>
      </c>
      <c r="E1260" s="2">
        <v>44168.429293981484</v>
      </c>
      <c r="F1260" s="2">
        <v>44168.436400462961</v>
      </c>
      <c r="G1260" s="3">
        <v>7.1064814765122719E-3</v>
      </c>
      <c r="H1260" s="3">
        <v>617.74004489849369</v>
      </c>
      <c r="I1260" s="3">
        <v>10.295667414974895</v>
      </c>
      <c r="J1260" s="3">
        <v>0.17159445691624825</v>
      </c>
    </row>
    <row r="1261" spans="1:10" x14ac:dyDescent="0.35">
      <c r="A1261">
        <v>1260</v>
      </c>
      <c r="B1261" t="s">
        <v>11</v>
      </c>
      <c r="C1261" t="s">
        <v>11</v>
      </c>
      <c r="D1261" t="s">
        <v>140</v>
      </c>
      <c r="E1261" s="2">
        <v>44168.436493055553</v>
      </c>
      <c r="F1261" s="2">
        <v>44168.444444444445</v>
      </c>
      <c r="G1261" s="3">
        <v>7.9513888922519982E-3</v>
      </c>
      <c r="H1261" s="3">
        <v>691.18470899269801</v>
      </c>
      <c r="I1261" s="3">
        <v>11.5197451498783</v>
      </c>
      <c r="J1261" s="3">
        <v>0.19199575249797168</v>
      </c>
    </row>
    <row r="1262" spans="1:10" x14ac:dyDescent="0.35">
      <c r="A1262">
        <v>1261</v>
      </c>
      <c r="B1262" t="s">
        <v>2</v>
      </c>
      <c r="C1262" t="s">
        <v>96</v>
      </c>
      <c r="D1262" t="s">
        <v>140</v>
      </c>
      <c r="E1262" s="2">
        <v>44168.444618055553</v>
      </c>
      <c r="F1262" s="2">
        <v>44168.445416666669</v>
      </c>
      <c r="G1262" s="3">
        <v>7.9861111589707434E-4</v>
      </c>
      <c r="H1262" s="3">
        <v>69.420298669773501</v>
      </c>
      <c r="I1262" s="3">
        <v>1.1570049778295584</v>
      </c>
      <c r="J1262" s="3">
        <v>1.9283416297159305E-2</v>
      </c>
    </row>
    <row r="1263" spans="1:10" x14ac:dyDescent="0.35">
      <c r="A1263">
        <v>1262</v>
      </c>
      <c r="B1263" t="s">
        <v>2</v>
      </c>
      <c r="C1263" t="s">
        <v>96</v>
      </c>
      <c r="D1263" t="s">
        <v>140</v>
      </c>
      <c r="E1263" s="2">
        <v>44168.445601851854</v>
      </c>
      <c r="F1263" s="2">
        <v>44168.446608796294</v>
      </c>
      <c r="G1263" s="3">
        <v>1.0069444397231564E-3</v>
      </c>
      <c r="H1263" s="3">
        <v>87.529940866060187</v>
      </c>
      <c r="I1263" s="3">
        <v>1.4588323477676697</v>
      </c>
      <c r="J1263" s="3">
        <v>2.4313872462794494E-2</v>
      </c>
    </row>
    <row r="1264" spans="1:10" x14ac:dyDescent="0.35">
      <c r="A1264">
        <v>1263</v>
      </c>
      <c r="B1264" t="s">
        <v>2</v>
      </c>
      <c r="C1264" t="s">
        <v>96</v>
      </c>
      <c r="D1264" t="s">
        <v>140</v>
      </c>
      <c r="E1264" s="2">
        <v>44168.446863425925</v>
      </c>
      <c r="F1264" s="2">
        <v>44168.45821759259</v>
      </c>
      <c r="G1264" s="3">
        <v>1.1354166665114462E-2</v>
      </c>
      <c r="H1264" s="3">
        <v>986.97554460313472</v>
      </c>
      <c r="I1264" s="3">
        <v>16.449592410052244</v>
      </c>
      <c r="J1264" s="3">
        <v>0.27415987350087073</v>
      </c>
    </row>
    <row r="1265" spans="1:11" x14ac:dyDescent="0.35">
      <c r="A1265">
        <v>1264</v>
      </c>
      <c r="B1265" t="s">
        <v>2</v>
      </c>
      <c r="C1265" t="s">
        <v>132</v>
      </c>
      <c r="D1265" t="s">
        <v>140</v>
      </c>
      <c r="E1265" s="2">
        <v>44168.458356481482</v>
      </c>
      <c r="F1265" s="2">
        <v>44168.532442129632</v>
      </c>
      <c r="G1265" s="3">
        <v>7.4085648149775807E-2</v>
      </c>
      <c r="H1265" s="3">
        <v>6439.9902772753658</v>
      </c>
      <c r="I1265" s="3">
        <v>107.33317128792277</v>
      </c>
      <c r="J1265" s="3">
        <v>1.7888861881320461</v>
      </c>
      <c r="K1265" t="s">
        <v>64</v>
      </c>
    </row>
    <row r="1266" spans="1:11" x14ac:dyDescent="0.35">
      <c r="A1266">
        <v>1265</v>
      </c>
      <c r="B1266" t="s">
        <v>11</v>
      </c>
      <c r="C1266" t="s">
        <v>11</v>
      </c>
      <c r="D1266" t="s">
        <v>140</v>
      </c>
      <c r="E1266" s="2">
        <v>44168.532581018517</v>
      </c>
      <c r="F1266" s="2">
        <v>44168.535196759258</v>
      </c>
      <c r="G1266" s="3">
        <v>2.6157407410209998E-3</v>
      </c>
      <c r="H1266" s="3">
        <v>227.3766290873609</v>
      </c>
      <c r="I1266" s="3">
        <v>3.7896104847893484</v>
      </c>
      <c r="J1266" s="3">
        <v>6.3160174746489134E-2</v>
      </c>
    </row>
    <row r="1267" spans="1:11" x14ac:dyDescent="0.35">
      <c r="A1267">
        <v>1266</v>
      </c>
      <c r="B1267" t="s">
        <v>16</v>
      </c>
      <c r="C1267" t="s">
        <v>16</v>
      </c>
      <c r="D1267" t="s">
        <v>140</v>
      </c>
      <c r="E1267" s="2">
        <v>44168.535300925927</v>
      </c>
      <c r="F1267" s="2">
        <v>44168.538726851853</v>
      </c>
      <c r="G1267" s="3">
        <v>3.425925926421769E-3</v>
      </c>
      <c r="H1267" s="3">
        <v>297.80301863888809</v>
      </c>
      <c r="I1267" s="3">
        <v>4.9633836439814685</v>
      </c>
      <c r="J1267" s="3">
        <v>8.2723060733024475E-2</v>
      </c>
    </row>
    <row r="1268" spans="1:11" x14ac:dyDescent="0.35">
      <c r="A1268">
        <v>1267</v>
      </c>
      <c r="B1268" t="s">
        <v>2</v>
      </c>
      <c r="C1268" t="s">
        <v>96</v>
      </c>
      <c r="D1268" t="s">
        <v>140</v>
      </c>
      <c r="E1268" s="2">
        <v>44168.538854166669</v>
      </c>
      <c r="F1268" s="2">
        <v>44168.555138888885</v>
      </c>
      <c r="G1268" s="3">
        <v>1.6284722216369119E-2</v>
      </c>
      <c r="H1268" s="3">
        <v>1415.5704291002362</v>
      </c>
      <c r="I1268" s="3">
        <v>23.592840485003936</v>
      </c>
      <c r="J1268" s="3">
        <v>0.39321400808339896</v>
      </c>
    </row>
    <row r="1269" spans="1:11" x14ac:dyDescent="0.35">
      <c r="A1269">
        <v>1268</v>
      </c>
      <c r="B1269" t="s">
        <v>2</v>
      </c>
      <c r="C1269" t="s">
        <v>96</v>
      </c>
      <c r="D1269" t="s">
        <v>140</v>
      </c>
      <c r="E1269" s="2">
        <v>44168.555405092593</v>
      </c>
      <c r="F1269" s="2">
        <v>44168.573449074072</v>
      </c>
      <c r="G1269" s="3">
        <v>1.8043981479422655E-2</v>
      </c>
      <c r="H1269" s="3">
        <v>1568.496303844111</v>
      </c>
      <c r="I1269" s="3">
        <v>26.141605064068518</v>
      </c>
      <c r="J1269" s="3">
        <v>0.43569341773447529</v>
      </c>
    </row>
    <row r="1270" spans="1:11" x14ac:dyDescent="0.35">
      <c r="A1270">
        <v>1269</v>
      </c>
      <c r="B1270" t="s">
        <v>11</v>
      </c>
      <c r="C1270" t="s">
        <v>11</v>
      </c>
      <c r="D1270" t="s">
        <v>140</v>
      </c>
      <c r="E1270" s="2">
        <v>44168.57371527778</v>
      </c>
      <c r="F1270" s="2">
        <v>44168.645381944443</v>
      </c>
      <c r="G1270" s="3">
        <v>7.1666666663077194E-2</v>
      </c>
      <c r="H1270" s="3">
        <v>6229.7171995025374</v>
      </c>
      <c r="I1270" s="3">
        <v>103.82861999170896</v>
      </c>
      <c r="J1270" s="3">
        <v>1.7304769998618161</v>
      </c>
    </row>
    <row r="1271" spans="1:11" x14ac:dyDescent="0.35">
      <c r="A1271">
        <v>1270</v>
      </c>
      <c r="B1271" t="s">
        <v>11</v>
      </c>
      <c r="C1271" t="s">
        <v>11</v>
      </c>
      <c r="D1271" t="s">
        <v>140</v>
      </c>
      <c r="E1271" s="2">
        <v>44168.645555555559</v>
      </c>
      <c r="F1271" s="2">
        <v>44168.648356481484</v>
      </c>
      <c r="G1271" s="3">
        <v>2.8009259258396924E-3</v>
      </c>
      <c r="H1271" s="3">
        <v>243.47408952014015</v>
      </c>
      <c r="I1271" s="3">
        <v>4.057901492002336</v>
      </c>
      <c r="J1271" s="3">
        <v>6.7631691533372271E-2</v>
      </c>
    </row>
    <row r="1272" spans="1:11" x14ac:dyDescent="0.35">
      <c r="A1272">
        <v>1271</v>
      </c>
      <c r="B1272" t="s">
        <v>2</v>
      </c>
      <c r="C1272" t="s">
        <v>96</v>
      </c>
      <c r="D1272" t="s">
        <v>140</v>
      </c>
      <c r="E1272" s="2">
        <v>44168.648634259262</v>
      </c>
      <c r="F1272" s="2">
        <v>44168.722881944443</v>
      </c>
      <c r="G1272" s="3">
        <v>7.4247685181035195E-2</v>
      </c>
      <c r="H1272" s="3">
        <v>6454.0755546796936</v>
      </c>
      <c r="I1272" s="3">
        <v>107.56792591132823</v>
      </c>
      <c r="J1272" s="3">
        <v>1.7927987651888038</v>
      </c>
    </row>
    <row r="1273" spans="1:11" x14ac:dyDescent="0.35">
      <c r="A1273">
        <v>1272</v>
      </c>
      <c r="B1273" t="s">
        <v>2</v>
      </c>
      <c r="C1273" t="s">
        <v>96</v>
      </c>
      <c r="D1273" t="s">
        <v>140</v>
      </c>
      <c r="E1273" s="2">
        <v>44168.723113425927</v>
      </c>
      <c r="F1273" s="2">
        <v>44168.72797453704</v>
      </c>
      <c r="G1273" s="3">
        <v>4.8611111124046147E-3</v>
      </c>
      <c r="H1273" s="3">
        <v>422.55833730916328</v>
      </c>
      <c r="I1273" s="3">
        <v>7.0426389551527215</v>
      </c>
      <c r="J1273" s="3">
        <v>0.11737731591921202</v>
      </c>
    </row>
    <row r="1274" spans="1:11" x14ac:dyDescent="0.35">
      <c r="A1274">
        <v>1273</v>
      </c>
      <c r="B1274" t="s">
        <v>11</v>
      </c>
      <c r="C1274" t="s">
        <v>11</v>
      </c>
      <c r="D1274" t="s">
        <v>140</v>
      </c>
      <c r="E1274" s="2">
        <v>44168.779317129629</v>
      </c>
      <c r="F1274" s="2">
        <v>44168.807962962965</v>
      </c>
      <c r="G1274" s="3">
        <v>2.8645833335758653E-2</v>
      </c>
      <c r="H1274" s="3">
        <v>2490.0759158343749</v>
      </c>
      <c r="I1274" s="3">
        <v>41.501265263906248</v>
      </c>
      <c r="J1274" s="3">
        <v>0.69168775439843744</v>
      </c>
    </row>
    <row r="1275" spans="1:11" x14ac:dyDescent="0.35">
      <c r="A1275">
        <v>1274</v>
      </c>
      <c r="B1275" t="s">
        <v>11</v>
      </c>
      <c r="C1275" t="s">
        <v>11</v>
      </c>
      <c r="D1275" t="s">
        <v>140</v>
      </c>
      <c r="E1275" s="2">
        <v>44168.816608796296</v>
      </c>
      <c r="F1275" s="2">
        <v>44168.832858796297</v>
      </c>
      <c r="G1275" s="3">
        <v>1.6250000000582077E-2</v>
      </c>
      <c r="H1275" s="3">
        <v>1412.5521558225032</v>
      </c>
      <c r="I1275" s="3">
        <v>23.542535930375053</v>
      </c>
      <c r="J1275" s="3">
        <v>0.39237559883958423</v>
      </c>
    </row>
    <row r="1276" spans="1:11" x14ac:dyDescent="0.35">
      <c r="A1276">
        <v>1275</v>
      </c>
      <c r="B1276" t="s">
        <v>11</v>
      </c>
      <c r="C1276" t="s">
        <v>11</v>
      </c>
      <c r="D1276" t="s">
        <v>140</v>
      </c>
      <c r="E1276" s="2">
        <v>44169.333333333336</v>
      </c>
      <c r="F1276" s="2">
        <v>44169.346145833333</v>
      </c>
      <c r="G1276" s="3">
        <v>1.2812499997380655E-2</v>
      </c>
      <c r="H1276" s="3">
        <v>1113.7430456693894</v>
      </c>
      <c r="I1276" s="3">
        <v>18.562384094489822</v>
      </c>
      <c r="J1276" s="3">
        <v>0.30937306824149702</v>
      </c>
    </row>
    <row r="1277" spans="1:11" x14ac:dyDescent="0.35">
      <c r="A1277">
        <v>1276</v>
      </c>
      <c r="B1277" t="s">
        <v>2</v>
      </c>
      <c r="C1277" t="s">
        <v>96</v>
      </c>
      <c r="D1277" t="s">
        <v>140</v>
      </c>
      <c r="E1277" s="2">
        <v>44169.346412037034</v>
      </c>
      <c r="F1277" s="2">
        <v>44169.348749999997</v>
      </c>
      <c r="G1277" s="3">
        <v>2.3379629637929611E-3</v>
      </c>
      <c r="H1277" s="3">
        <v>203.23043843819201</v>
      </c>
      <c r="I1277" s="3">
        <v>3.3871739739698667</v>
      </c>
      <c r="J1277" s="3">
        <v>5.6452899566164443E-2</v>
      </c>
    </row>
    <row r="1278" spans="1:11" x14ac:dyDescent="0.35">
      <c r="A1278">
        <v>1277</v>
      </c>
      <c r="B1278" t="s">
        <v>11</v>
      </c>
      <c r="C1278" t="s">
        <v>11</v>
      </c>
      <c r="D1278" t="s">
        <v>140</v>
      </c>
      <c r="E1278" s="2">
        <v>44169.348900462966</v>
      </c>
      <c r="F1278" s="2">
        <v>44169.349930555552</v>
      </c>
      <c r="G1278" s="3">
        <v>1.0300925860065036E-3</v>
      </c>
      <c r="H1278" s="3">
        <v>89.542123262039595</v>
      </c>
      <c r="I1278" s="3">
        <v>1.4923687210339933</v>
      </c>
      <c r="J1278" s="3">
        <v>2.4872812017233223E-2</v>
      </c>
    </row>
    <row r="1279" spans="1:11" x14ac:dyDescent="0.35">
      <c r="A1279">
        <v>1278</v>
      </c>
      <c r="B1279" t="s">
        <v>2</v>
      </c>
      <c r="C1279" t="s">
        <v>96</v>
      </c>
      <c r="D1279" t="s">
        <v>140</v>
      </c>
      <c r="E1279" s="2">
        <v>44169.350138888891</v>
      </c>
      <c r="F1279" s="2">
        <v>44169.36414351852</v>
      </c>
      <c r="G1279" s="3">
        <v>1.4004629629198462E-2</v>
      </c>
      <c r="H1279" s="3">
        <v>1217.3704476007008</v>
      </c>
      <c r="I1279" s="3">
        <v>20.289507460011681</v>
      </c>
      <c r="J1279" s="3">
        <v>0.33815845766686137</v>
      </c>
    </row>
    <row r="1280" spans="1:11" x14ac:dyDescent="0.35">
      <c r="A1280">
        <v>1279</v>
      </c>
      <c r="B1280" t="s">
        <v>2</v>
      </c>
      <c r="C1280" t="s">
        <v>96</v>
      </c>
      <c r="D1280" t="s">
        <v>140</v>
      </c>
      <c r="E1280" s="2">
        <v>44169.364259259259</v>
      </c>
      <c r="F1280" s="2">
        <v>44169.366412037038</v>
      </c>
      <c r="G1280" s="3">
        <v>2.1527777789742686E-3</v>
      </c>
      <c r="H1280" s="3">
        <v>187.13297800541278</v>
      </c>
      <c r="I1280" s="3">
        <v>3.1188829667568796</v>
      </c>
      <c r="J1280" s="3">
        <v>5.1981382779281327E-2</v>
      </c>
    </row>
    <row r="1281" spans="1:11" x14ac:dyDescent="0.35">
      <c r="A1281">
        <v>1280</v>
      </c>
      <c r="B1281" t="s">
        <v>2</v>
      </c>
      <c r="C1281" t="s">
        <v>96</v>
      </c>
      <c r="D1281" t="s">
        <v>140</v>
      </c>
      <c r="E1281" s="2">
        <v>44169.366597222222</v>
      </c>
      <c r="F1281" s="2">
        <v>44169.37462962963</v>
      </c>
      <c r="G1281" s="3">
        <v>8.0324074078816921E-3</v>
      </c>
      <c r="H1281" s="3">
        <v>698.22734769486192</v>
      </c>
      <c r="I1281" s="3">
        <v>11.637122461581033</v>
      </c>
      <c r="J1281" s="3">
        <v>0.19395204102635055</v>
      </c>
    </row>
    <row r="1282" spans="1:11" x14ac:dyDescent="0.35">
      <c r="A1282">
        <v>1281</v>
      </c>
      <c r="B1282" t="s">
        <v>2</v>
      </c>
      <c r="C1282" t="s">
        <v>96</v>
      </c>
      <c r="D1282" t="s">
        <v>140</v>
      </c>
      <c r="E1282" s="2">
        <v>44169.374803240738</v>
      </c>
      <c r="F1282" s="2">
        <v>44169.388136574074</v>
      </c>
      <c r="G1282" s="3">
        <v>1.3333333336049691E-2</v>
      </c>
      <c r="H1282" s="3">
        <v>1159.0171536899938</v>
      </c>
      <c r="I1282" s="3">
        <v>19.316952561499896</v>
      </c>
      <c r="J1282" s="3">
        <v>0.3219492093583316</v>
      </c>
    </row>
    <row r="1283" spans="1:11" x14ac:dyDescent="0.35">
      <c r="A1283">
        <v>1282</v>
      </c>
      <c r="B1283" t="s">
        <v>2</v>
      </c>
      <c r="C1283" t="s">
        <v>72</v>
      </c>
      <c r="D1283" t="s">
        <v>140</v>
      </c>
      <c r="E1283" s="2">
        <v>44169.388275462959</v>
      </c>
      <c r="F1283" s="2">
        <v>44169.418136574073</v>
      </c>
      <c r="G1283" s="3">
        <v>2.9861111113859806E-2</v>
      </c>
      <c r="H1283" s="3">
        <v>2595.7155001616661</v>
      </c>
      <c r="I1283" s="3">
        <v>43.261925002694433</v>
      </c>
      <c r="J1283" s="3">
        <v>0.72103208337824054</v>
      </c>
      <c r="K1283" t="s">
        <v>73</v>
      </c>
    </row>
    <row r="1284" spans="1:11" x14ac:dyDescent="0.35">
      <c r="A1284">
        <v>1283</v>
      </c>
      <c r="B1284" t="s">
        <v>2</v>
      </c>
      <c r="C1284" t="s">
        <v>96</v>
      </c>
      <c r="D1284" t="s">
        <v>140</v>
      </c>
      <c r="E1284" s="2">
        <v>44169.418263888889</v>
      </c>
      <c r="F1284" s="2">
        <v>44169.422025462962</v>
      </c>
      <c r="G1284" s="3">
        <v>3.7615740729961544E-3</v>
      </c>
      <c r="H1284" s="3">
        <v>326.97966559424151</v>
      </c>
      <c r="I1284" s="3">
        <v>5.4496610932373581</v>
      </c>
      <c r="J1284" s="3">
        <v>9.0827684887289303E-2</v>
      </c>
    </row>
    <row r="1285" spans="1:11" x14ac:dyDescent="0.35">
      <c r="A1285">
        <v>1284</v>
      </c>
      <c r="B1285" t="s">
        <v>11</v>
      </c>
      <c r="C1285" t="s">
        <v>11</v>
      </c>
      <c r="D1285" t="s">
        <v>140</v>
      </c>
      <c r="E1285" s="2">
        <v>44169.422268518516</v>
      </c>
      <c r="F1285" s="2">
        <v>44169.430023148147</v>
      </c>
      <c r="G1285" s="3">
        <v>7.7546296306536533E-3</v>
      </c>
      <c r="H1285" s="3">
        <v>674.08115704569309</v>
      </c>
      <c r="I1285" s="3">
        <v>11.234685950761552</v>
      </c>
      <c r="J1285" s="3">
        <v>0.18724476584602587</v>
      </c>
    </row>
    <row r="1286" spans="1:11" x14ac:dyDescent="0.35">
      <c r="A1286">
        <v>1285</v>
      </c>
      <c r="B1286" t="s">
        <v>2</v>
      </c>
      <c r="C1286" t="s">
        <v>96</v>
      </c>
      <c r="D1286" t="s">
        <v>140</v>
      </c>
      <c r="E1286" s="2">
        <v>44169.430150462962</v>
      </c>
      <c r="F1286" s="2">
        <v>44169.449571759258</v>
      </c>
      <c r="G1286" s="3">
        <v>1.9421296296059154E-2</v>
      </c>
      <c r="H1286" s="3">
        <v>1688.2211662082018</v>
      </c>
      <c r="I1286" s="3">
        <v>28.137019436803364</v>
      </c>
      <c r="J1286" s="3">
        <v>0.4689503239467227</v>
      </c>
    </row>
    <row r="1287" spans="1:11" x14ac:dyDescent="0.35">
      <c r="A1287">
        <v>1286</v>
      </c>
      <c r="B1287" t="s">
        <v>16</v>
      </c>
      <c r="C1287" t="s">
        <v>16</v>
      </c>
      <c r="D1287" t="s">
        <v>140</v>
      </c>
      <c r="E1287" s="2">
        <v>44169.449641203704</v>
      </c>
      <c r="F1287" s="2">
        <v>44169.453611111108</v>
      </c>
      <c r="G1287" s="3">
        <v>3.9699074040981941E-3</v>
      </c>
      <c r="H1287" s="3">
        <v>345.08930842300015</v>
      </c>
      <c r="I1287" s="3">
        <v>5.7514884737166687</v>
      </c>
      <c r="J1287" s="3">
        <v>9.5858141228611152E-2</v>
      </c>
    </row>
    <row r="1288" spans="1:11" x14ac:dyDescent="0.35">
      <c r="A1288">
        <v>1287</v>
      </c>
      <c r="B1288" t="s">
        <v>2</v>
      </c>
      <c r="C1288" t="s">
        <v>96</v>
      </c>
      <c r="D1288" t="s">
        <v>140</v>
      </c>
      <c r="E1288" s="2">
        <v>44169.453750000001</v>
      </c>
      <c r="F1288" s="2">
        <v>44169.455520833333</v>
      </c>
      <c r="G1288" s="3">
        <v>1.7708333325572312E-3</v>
      </c>
      <c r="H1288" s="3">
        <v>153.93196562562858</v>
      </c>
      <c r="I1288" s="3">
        <v>2.5655327604271432</v>
      </c>
      <c r="J1288" s="3">
        <v>4.2758879340452388E-2</v>
      </c>
    </row>
    <row r="1289" spans="1:11" x14ac:dyDescent="0.35">
      <c r="A1289">
        <v>1288</v>
      </c>
      <c r="B1289" t="s">
        <v>2</v>
      </c>
      <c r="C1289" t="s">
        <v>96</v>
      </c>
      <c r="D1289" t="s">
        <v>140</v>
      </c>
      <c r="E1289" s="2">
        <v>44169.455787037034</v>
      </c>
      <c r="F1289" s="2">
        <v>44169.460972222223</v>
      </c>
      <c r="G1289" s="3">
        <v>5.1851851894753054E-3</v>
      </c>
      <c r="H1289" s="3">
        <v>450.72889338276298</v>
      </c>
      <c r="I1289" s="3">
        <v>7.5121482230460499</v>
      </c>
      <c r="J1289" s="3">
        <v>0.12520247038410084</v>
      </c>
    </row>
    <row r="1290" spans="1:11" x14ac:dyDescent="0.35">
      <c r="A1290">
        <v>1289</v>
      </c>
      <c r="B1290" t="s">
        <v>2</v>
      </c>
      <c r="C1290" t="s">
        <v>96</v>
      </c>
      <c r="D1290" t="s">
        <v>140</v>
      </c>
      <c r="E1290" s="2">
        <v>44169.461111111108</v>
      </c>
      <c r="F1290" s="2">
        <v>44169.468078703707</v>
      </c>
      <c r="G1290" s="3">
        <v>6.967592598812189E-3</v>
      </c>
      <c r="H1290" s="3">
        <v>605.66695052261719</v>
      </c>
      <c r="I1290" s="3">
        <v>10.094449175376953</v>
      </c>
      <c r="J1290" s="3">
        <v>0.16824081958961587</v>
      </c>
    </row>
    <row r="1291" spans="1:11" x14ac:dyDescent="0.35">
      <c r="A1291">
        <v>1290</v>
      </c>
      <c r="B1291" t="s">
        <v>11</v>
      </c>
      <c r="C1291" t="s">
        <v>11</v>
      </c>
      <c r="D1291" t="s">
        <v>140</v>
      </c>
      <c r="E1291" s="2">
        <v>44169.468171296299</v>
      </c>
      <c r="F1291" s="2">
        <v>44169.470312500001</v>
      </c>
      <c r="G1291" s="3">
        <v>2.1412037021946162E-3</v>
      </c>
      <c r="H1291" s="3">
        <v>186.12688649118707</v>
      </c>
      <c r="I1291" s="3">
        <v>3.1021147748531179</v>
      </c>
      <c r="J1291" s="3">
        <v>5.1701912914218634E-2</v>
      </c>
    </row>
    <row r="1292" spans="1:11" x14ac:dyDescent="0.35">
      <c r="A1292">
        <v>1291</v>
      </c>
      <c r="B1292" t="s">
        <v>2</v>
      </c>
      <c r="C1292" t="s">
        <v>96</v>
      </c>
      <c r="D1292" t="s">
        <v>140</v>
      </c>
      <c r="E1292" s="2">
        <v>44169.470682870371</v>
      </c>
      <c r="F1292" s="2">
        <v>44169.474999999999</v>
      </c>
      <c r="G1292" s="3">
        <v>4.3171296274522319E-3</v>
      </c>
      <c r="H1292" s="3">
        <v>375.27204689257923</v>
      </c>
      <c r="I1292" s="3">
        <v>6.2545341148763205</v>
      </c>
      <c r="J1292" s="3">
        <v>0.10424223524793867</v>
      </c>
    </row>
    <row r="1293" spans="1:11" x14ac:dyDescent="0.35">
      <c r="A1293">
        <v>1292</v>
      </c>
      <c r="B1293" t="s">
        <v>2</v>
      </c>
      <c r="C1293" t="s">
        <v>96</v>
      </c>
      <c r="D1293" t="s">
        <v>140</v>
      </c>
      <c r="E1293" s="2">
        <v>44169.475162037037</v>
      </c>
      <c r="F1293" s="2">
        <v>44169.491076388891</v>
      </c>
      <c r="G1293" s="3">
        <v>1.5914351854007691E-2</v>
      </c>
      <c r="H1293" s="3">
        <v>1383.3755088671496</v>
      </c>
      <c r="I1293" s="3">
        <v>23.056258481119162</v>
      </c>
      <c r="J1293" s="3">
        <v>0.38427097468531934</v>
      </c>
    </row>
    <row r="1294" spans="1:11" x14ac:dyDescent="0.35">
      <c r="A1294">
        <v>1293</v>
      </c>
      <c r="B1294" t="s">
        <v>16</v>
      </c>
      <c r="C1294" t="s">
        <v>16</v>
      </c>
      <c r="D1294" t="s">
        <v>140</v>
      </c>
      <c r="E1294" s="2">
        <v>44169.49119212963</v>
      </c>
      <c r="F1294" s="2">
        <v>44169.510636574072</v>
      </c>
      <c r="G1294" s="3">
        <v>1.9444444442342501E-2</v>
      </c>
      <c r="H1294" s="3">
        <v>1690.2333486041812</v>
      </c>
      <c r="I1294" s="3">
        <v>28.170555810069686</v>
      </c>
      <c r="J1294" s="3">
        <v>0.46950926350116146</v>
      </c>
    </row>
    <row r="1295" spans="1:11" x14ac:dyDescent="0.35">
      <c r="A1295">
        <v>1294</v>
      </c>
      <c r="B1295" t="s">
        <v>11</v>
      </c>
      <c r="C1295" t="s">
        <v>11</v>
      </c>
      <c r="D1295" t="s">
        <v>140</v>
      </c>
      <c r="E1295" s="2">
        <v>44169.510717592595</v>
      </c>
      <c r="F1295" s="2">
        <v>44169.515902777777</v>
      </c>
      <c r="G1295" s="3">
        <v>5.1851851821993478E-3</v>
      </c>
      <c r="H1295" s="3">
        <v>450.72889275029098</v>
      </c>
      <c r="I1295" s="3">
        <v>7.51214821250485</v>
      </c>
      <c r="J1295" s="3">
        <v>0.12520247020841416</v>
      </c>
    </row>
    <row r="1296" spans="1:11" x14ac:dyDescent="0.35">
      <c r="A1296">
        <v>1295</v>
      </c>
      <c r="B1296" t="s">
        <v>2</v>
      </c>
      <c r="C1296" t="s">
        <v>96</v>
      </c>
      <c r="D1296" t="s">
        <v>140</v>
      </c>
      <c r="E1296" s="2">
        <v>44169.516122685185</v>
      </c>
      <c r="F1296" s="2">
        <v>44169.632013888891</v>
      </c>
      <c r="G1296" s="3">
        <v>0.11589120370626915</v>
      </c>
      <c r="H1296" s="3">
        <v>10073.991977248708</v>
      </c>
      <c r="I1296" s="3">
        <v>167.89986628747846</v>
      </c>
      <c r="J1296" s="3">
        <v>2.7983311047913078</v>
      </c>
    </row>
    <row r="1297" spans="1:11" x14ac:dyDescent="0.35">
      <c r="A1297">
        <v>1296</v>
      </c>
      <c r="B1297" t="s">
        <v>2</v>
      </c>
      <c r="C1297" t="s">
        <v>96</v>
      </c>
      <c r="D1297" t="s">
        <v>140</v>
      </c>
      <c r="E1297" s="2">
        <v>44169.632175925923</v>
      </c>
      <c r="F1297" s="2">
        <v>44169.632534722223</v>
      </c>
      <c r="G1297" s="3">
        <v>3.5879630013369024E-4</v>
      </c>
      <c r="H1297" s="3">
        <v>31.188829983804784</v>
      </c>
      <c r="I1297" s="3">
        <v>0.51981383306341311</v>
      </c>
      <c r="J1297" s="3">
        <v>8.6635638843902182E-3</v>
      </c>
    </row>
    <row r="1298" spans="1:11" x14ac:dyDescent="0.35">
      <c r="A1298">
        <v>1297</v>
      </c>
      <c r="B1298" t="s">
        <v>16</v>
      </c>
      <c r="C1298" t="s">
        <v>16</v>
      </c>
      <c r="D1298" t="s">
        <v>140</v>
      </c>
      <c r="E1298" s="2">
        <v>44169.632615740738</v>
      </c>
      <c r="F1298" s="2">
        <v>44169.635416666664</v>
      </c>
      <c r="G1298" s="3">
        <v>2.8009259258396924E-3</v>
      </c>
      <c r="H1298" s="3">
        <v>243.47408952014015</v>
      </c>
      <c r="I1298" s="3">
        <v>4.057901492002336</v>
      </c>
      <c r="J1298" s="3">
        <v>6.7631691533372271E-2</v>
      </c>
    </row>
    <row r="1299" spans="1:11" x14ac:dyDescent="0.35">
      <c r="A1299">
        <v>1298</v>
      </c>
      <c r="B1299" t="s">
        <v>11</v>
      </c>
      <c r="C1299" t="s">
        <v>11</v>
      </c>
      <c r="D1299" t="s">
        <v>140</v>
      </c>
      <c r="E1299" s="2">
        <v>44169.650706018518</v>
      </c>
      <c r="F1299" s="2">
        <v>44169.651006944441</v>
      </c>
      <c r="G1299" s="3">
        <v>3.0092592351138592E-4</v>
      </c>
      <c r="H1299" s="3">
        <v>26.158373045148288</v>
      </c>
      <c r="I1299" s="3">
        <v>0.43597288408580481</v>
      </c>
      <c r="J1299" s="3">
        <v>7.2662147347634133E-3</v>
      </c>
    </row>
    <row r="1300" spans="1:11" x14ac:dyDescent="0.35">
      <c r="A1300">
        <v>1299</v>
      </c>
      <c r="B1300" t="s">
        <v>2</v>
      </c>
      <c r="C1300" t="s">
        <v>96</v>
      </c>
      <c r="D1300" t="s">
        <v>140</v>
      </c>
      <c r="E1300" s="2">
        <v>44169.652013888888</v>
      </c>
      <c r="F1300" s="2">
        <v>44169.685671296298</v>
      </c>
      <c r="G1300" s="3">
        <v>3.365740740991896E-2</v>
      </c>
      <c r="H1300" s="3">
        <v>2925.7134396661127</v>
      </c>
      <c r="I1300" s="3">
        <v>48.76189066110188</v>
      </c>
      <c r="J1300" s="3">
        <v>0.81269817768503139</v>
      </c>
    </row>
    <row r="1301" spans="1:11" x14ac:dyDescent="0.35">
      <c r="A1301">
        <v>1300</v>
      </c>
      <c r="B1301" t="s">
        <v>11</v>
      </c>
      <c r="C1301" t="s">
        <v>11</v>
      </c>
      <c r="D1301" t="s">
        <v>140</v>
      </c>
      <c r="E1301" s="2">
        <v>44169.685763888891</v>
      </c>
      <c r="F1301" s="2">
        <v>44169.700648148151</v>
      </c>
      <c r="G1301" s="3">
        <v>1.488425926072523E-2</v>
      </c>
      <c r="H1301" s="3">
        <v>1293.8333849726382</v>
      </c>
      <c r="I1301" s="3">
        <v>21.563889749543971</v>
      </c>
      <c r="J1301" s="3">
        <v>0.35939816249239953</v>
      </c>
    </row>
    <row r="1302" spans="1:11" x14ac:dyDescent="0.35">
      <c r="A1302">
        <v>1301</v>
      </c>
      <c r="B1302" t="s">
        <v>2</v>
      </c>
      <c r="C1302" t="s">
        <v>96</v>
      </c>
      <c r="D1302" t="s">
        <v>140</v>
      </c>
      <c r="E1302" s="2">
        <v>44169.700902777775</v>
      </c>
      <c r="F1302" s="2">
        <v>44169.72519675926</v>
      </c>
      <c r="G1302" s="3">
        <v>2.4293981485243421E-2</v>
      </c>
      <c r="H1302" s="3">
        <v>2111.7855950315907</v>
      </c>
      <c r="I1302" s="3">
        <v>35.196426583859846</v>
      </c>
      <c r="J1302" s="3">
        <v>0.58660710973099739</v>
      </c>
    </row>
    <row r="1303" spans="1:11" x14ac:dyDescent="0.35">
      <c r="A1303">
        <v>1302</v>
      </c>
      <c r="B1303" t="s">
        <v>2</v>
      </c>
      <c r="C1303" t="s">
        <v>96</v>
      </c>
      <c r="D1303" t="s">
        <v>140</v>
      </c>
      <c r="E1303" s="2">
        <v>44169.725451388891</v>
      </c>
      <c r="F1303" s="2">
        <v>44169.75409722222</v>
      </c>
      <c r="G1303" s="3">
        <v>2.8645833328482695E-2</v>
      </c>
      <c r="H1303" s="3">
        <v>2490.0759152019032</v>
      </c>
      <c r="I1303" s="3">
        <v>41.501265253365055</v>
      </c>
      <c r="J1303" s="3">
        <v>0.69168775422275097</v>
      </c>
    </row>
    <row r="1304" spans="1:11" x14ac:dyDescent="0.35">
      <c r="A1304">
        <v>1303</v>
      </c>
      <c r="B1304" t="s">
        <v>2</v>
      </c>
      <c r="C1304" t="s">
        <v>132</v>
      </c>
      <c r="D1304" t="s">
        <v>140</v>
      </c>
      <c r="E1304" s="2">
        <v>44169.754282407404</v>
      </c>
      <c r="F1304" s="2">
        <v>44169.756053240744</v>
      </c>
      <c r="G1304" s="3">
        <v>1.7708333398331888E-3</v>
      </c>
      <c r="H1304" s="3">
        <v>153.93196625810054</v>
      </c>
      <c r="I1304" s="3">
        <v>2.5655327709683422</v>
      </c>
      <c r="J1304" s="3">
        <v>4.2758879516139034E-2</v>
      </c>
      <c r="K1304" t="s">
        <v>42</v>
      </c>
    </row>
    <row r="1305" spans="1:11" x14ac:dyDescent="0.35">
      <c r="A1305">
        <v>1304</v>
      </c>
      <c r="B1305" t="s">
        <v>11</v>
      </c>
      <c r="C1305" t="s">
        <v>11</v>
      </c>
      <c r="D1305" t="s">
        <v>140</v>
      </c>
      <c r="E1305" s="2">
        <v>44169.775636574072</v>
      </c>
      <c r="F1305" s="2">
        <v>44169.788819444446</v>
      </c>
      <c r="G1305" s="3">
        <v>1.3182870374293998E-2</v>
      </c>
      <c r="H1305" s="3">
        <v>1145.9379671674199</v>
      </c>
      <c r="I1305" s="3">
        <v>19.098966119456996</v>
      </c>
      <c r="J1305" s="3">
        <v>0.31831610199094995</v>
      </c>
    </row>
    <row r="1306" spans="1:11" x14ac:dyDescent="0.35">
      <c r="A1306">
        <v>1305</v>
      </c>
      <c r="B1306" t="s">
        <v>11</v>
      </c>
      <c r="C1306" t="s">
        <v>11</v>
      </c>
      <c r="D1306" t="s">
        <v>140</v>
      </c>
      <c r="E1306" s="2">
        <v>44169.815659722219</v>
      </c>
      <c r="F1306" s="2">
        <v>44169.915763888886</v>
      </c>
      <c r="G1306" s="3">
        <v>0.10010416666773381</v>
      </c>
      <c r="H1306" s="3">
        <v>8701.6834725081535</v>
      </c>
      <c r="I1306" s="3">
        <v>145.02805787513589</v>
      </c>
      <c r="J1306" s="3">
        <v>2.4171342979189316</v>
      </c>
    </row>
    <row r="1307" spans="1:11" x14ac:dyDescent="0.35">
      <c r="A1307">
        <v>1306</v>
      </c>
      <c r="B1307" t="s">
        <v>11</v>
      </c>
      <c r="C1307" t="s">
        <v>11</v>
      </c>
      <c r="D1307" t="s">
        <v>140</v>
      </c>
      <c r="E1307" s="2">
        <v>44172.341990740744</v>
      </c>
      <c r="F1307" s="2">
        <v>44172.346655092595</v>
      </c>
      <c r="G1307" s="3">
        <v>4.6643518508062698E-3</v>
      </c>
      <c r="H1307" s="3">
        <v>405.45478536215836</v>
      </c>
      <c r="I1307" s="3">
        <v>6.7575797560359723</v>
      </c>
      <c r="J1307" s="3">
        <v>0.11262632926726621</v>
      </c>
    </row>
    <row r="1308" spans="1:11" x14ac:dyDescent="0.35">
      <c r="A1308">
        <v>1307</v>
      </c>
      <c r="B1308" t="s">
        <v>11</v>
      </c>
      <c r="C1308" t="s">
        <v>11</v>
      </c>
      <c r="D1308" t="s">
        <v>140</v>
      </c>
      <c r="E1308" s="2">
        <v>44172.346770833334</v>
      </c>
      <c r="F1308" s="2">
        <v>44172.347569444442</v>
      </c>
      <c r="G1308" s="3">
        <v>7.9861110862111673E-4</v>
      </c>
      <c r="H1308" s="3">
        <v>69.420298037301521</v>
      </c>
      <c r="I1308" s="3">
        <v>1.1570049672883587</v>
      </c>
      <c r="J1308" s="3">
        <v>1.9283416121472646E-2</v>
      </c>
    </row>
    <row r="1309" spans="1:11" x14ac:dyDescent="0.35">
      <c r="A1309">
        <v>1308</v>
      </c>
      <c r="B1309" t="s">
        <v>11</v>
      </c>
      <c r="C1309" t="s">
        <v>11</v>
      </c>
      <c r="D1309" t="s">
        <v>140</v>
      </c>
      <c r="E1309" s="2">
        <v>44172.347685185188</v>
      </c>
      <c r="F1309" s="2">
        <v>44172.349652777775</v>
      </c>
      <c r="G1309" s="3">
        <v>1.9675925868796185E-3</v>
      </c>
      <c r="H1309" s="3">
        <v>171.03551694016153</v>
      </c>
      <c r="I1309" s="3">
        <v>2.8505919490026921</v>
      </c>
      <c r="J1309" s="3">
        <v>4.7509865816711537E-2</v>
      </c>
    </row>
    <row r="1310" spans="1:11" x14ac:dyDescent="0.35">
      <c r="A1310">
        <v>1309</v>
      </c>
      <c r="B1310" t="s">
        <v>11</v>
      </c>
      <c r="C1310" t="s">
        <v>11</v>
      </c>
      <c r="D1310" t="s">
        <v>140</v>
      </c>
      <c r="E1310" s="2">
        <v>44172.34983796296</v>
      </c>
      <c r="F1310" s="2">
        <v>44172.351284722223</v>
      </c>
      <c r="G1310" s="3">
        <v>1.4467592627624981E-3</v>
      </c>
      <c r="H1310" s="3">
        <v>125.76141018450087</v>
      </c>
      <c r="I1310" s="3">
        <v>2.0960235030750147</v>
      </c>
      <c r="J1310" s="3">
        <v>3.4933725051250246E-2</v>
      </c>
    </row>
    <row r="1311" spans="1:11" x14ac:dyDescent="0.35">
      <c r="A1311">
        <v>1310</v>
      </c>
      <c r="B1311" t="s">
        <v>2</v>
      </c>
      <c r="C1311" t="s">
        <v>96</v>
      </c>
      <c r="D1311" t="s">
        <v>140</v>
      </c>
      <c r="E1311" s="2">
        <v>44172.351412037038</v>
      </c>
      <c r="F1311" s="2">
        <v>44172.394791666666</v>
      </c>
      <c r="G1311" s="3">
        <v>4.3379629627452232E-2</v>
      </c>
      <c r="H1311" s="3">
        <v>3770.8301136519672</v>
      </c>
      <c r="I1311" s="3">
        <v>62.847168560866116</v>
      </c>
      <c r="J1311" s="3">
        <v>1.0474528093477686</v>
      </c>
    </row>
    <row r="1312" spans="1:11" x14ac:dyDescent="0.35">
      <c r="A1312">
        <v>1311</v>
      </c>
      <c r="B1312" t="s">
        <v>2</v>
      </c>
      <c r="C1312" t="s">
        <v>96</v>
      </c>
      <c r="D1312" t="s">
        <v>140</v>
      </c>
      <c r="E1312" s="2">
        <v>44172.394930555558</v>
      </c>
      <c r="F1312" s="2">
        <v>44172.424155092594</v>
      </c>
      <c r="G1312" s="3">
        <v>2.9224537036498077E-2</v>
      </c>
      <c r="H1312" s="3">
        <v>2540.3804795286924</v>
      </c>
      <c r="I1312" s="3">
        <v>42.339674658811539</v>
      </c>
      <c r="J1312" s="3">
        <v>0.70566124431352562</v>
      </c>
    </row>
    <row r="1313" spans="1:11" x14ac:dyDescent="0.35">
      <c r="A1313">
        <v>1312</v>
      </c>
      <c r="B1313" t="s">
        <v>16</v>
      </c>
      <c r="C1313" t="s">
        <v>16</v>
      </c>
      <c r="D1313" t="s">
        <v>140</v>
      </c>
      <c r="E1313" s="2">
        <v>44172.424259259256</v>
      </c>
      <c r="F1313" s="2">
        <v>44172.432824074072</v>
      </c>
      <c r="G1313" s="3">
        <v>8.5648148160544224E-3</v>
      </c>
      <c r="H1313" s="3">
        <v>744.50754659722031</v>
      </c>
      <c r="I1313" s="3">
        <v>12.408459109953672</v>
      </c>
      <c r="J1313" s="3">
        <v>0.2068076518325612</v>
      </c>
    </row>
    <row r="1314" spans="1:11" x14ac:dyDescent="0.35">
      <c r="A1314">
        <v>1313</v>
      </c>
      <c r="B1314" t="s">
        <v>2</v>
      </c>
      <c r="C1314" t="s">
        <v>132</v>
      </c>
      <c r="D1314" t="s">
        <v>140</v>
      </c>
      <c r="E1314" s="2">
        <v>44172.433020833334</v>
      </c>
      <c r="F1314" s="2">
        <v>44172.463553240741</v>
      </c>
      <c r="G1314" s="3">
        <v>3.0532407407008577E-2</v>
      </c>
      <c r="H1314" s="3">
        <v>2654.0687940723728</v>
      </c>
      <c r="I1314" s="3">
        <v>44.234479901206214</v>
      </c>
      <c r="J1314" s="3">
        <v>0.7372413316867702</v>
      </c>
      <c r="K1314" t="s">
        <v>42</v>
      </c>
    </row>
    <row r="1315" spans="1:11" x14ac:dyDescent="0.35">
      <c r="A1315">
        <v>1314</v>
      </c>
      <c r="B1315" t="s">
        <v>11</v>
      </c>
      <c r="C1315" t="s">
        <v>11</v>
      </c>
      <c r="D1315" t="s">
        <v>140</v>
      </c>
      <c r="E1315" s="2">
        <v>44172.463645833333</v>
      </c>
      <c r="F1315" s="2">
        <v>44172.473414351851</v>
      </c>
      <c r="G1315" s="3">
        <v>9.7685185173759237E-3</v>
      </c>
      <c r="H1315" s="3">
        <v>849.14103941028543</v>
      </c>
      <c r="I1315" s="3">
        <v>14.15235065683809</v>
      </c>
      <c r="J1315" s="3">
        <v>0.23587251094730149</v>
      </c>
    </row>
    <row r="1316" spans="1:11" x14ac:dyDescent="0.35">
      <c r="A1316">
        <v>1315</v>
      </c>
      <c r="B1316" t="s">
        <v>2</v>
      </c>
      <c r="C1316" t="s">
        <v>132</v>
      </c>
      <c r="D1316" t="s">
        <v>140</v>
      </c>
      <c r="E1316" s="2">
        <v>44172.473576388889</v>
      </c>
      <c r="F1316" s="2">
        <v>44172.501979166664</v>
      </c>
      <c r="G1316" s="3">
        <v>2.8402777774317656E-2</v>
      </c>
      <c r="H1316" s="3">
        <v>2468.9479984629393</v>
      </c>
      <c r="I1316" s="3">
        <v>41.149133307715651</v>
      </c>
      <c r="J1316" s="3">
        <v>0.68581888846192751</v>
      </c>
      <c r="K1316" t="s">
        <v>42</v>
      </c>
    </row>
    <row r="1317" spans="1:11" x14ac:dyDescent="0.35">
      <c r="A1317">
        <v>1316</v>
      </c>
      <c r="B1317" t="s">
        <v>2</v>
      </c>
      <c r="C1317" t="s">
        <v>96</v>
      </c>
      <c r="D1317" t="s">
        <v>140</v>
      </c>
      <c r="E1317" s="2">
        <v>44172.50209490741</v>
      </c>
      <c r="F1317" s="2">
        <v>44172.502824074072</v>
      </c>
      <c r="G1317" s="3">
        <v>7.2916666249511763E-4</v>
      </c>
      <c r="H1317" s="3">
        <v>63.383750216891308</v>
      </c>
      <c r="I1317" s="3">
        <v>1.0563958369481885</v>
      </c>
      <c r="J1317" s="3">
        <v>1.760659728246981E-2</v>
      </c>
    </row>
    <row r="1318" spans="1:11" x14ac:dyDescent="0.35">
      <c r="A1318">
        <v>1317</v>
      </c>
      <c r="B1318" t="s">
        <v>2</v>
      </c>
      <c r="C1318" t="s">
        <v>96</v>
      </c>
      <c r="D1318" t="s">
        <v>140</v>
      </c>
      <c r="E1318" s="2">
        <v>44172.503217592595</v>
      </c>
      <c r="F1318" s="2">
        <v>44172.509131944447</v>
      </c>
      <c r="G1318" s="3">
        <v>5.914351851970423E-3</v>
      </c>
      <c r="H1318" s="3">
        <v>514.11264359965423</v>
      </c>
      <c r="I1318" s="3">
        <v>8.5685440599942364</v>
      </c>
      <c r="J1318" s="3">
        <v>0.14280906766657062</v>
      </c>
    </row>
    <row r="1319" spans="1:11" x14ac:dyDescent="0.35">
      <c r="A1319">
        <v>1318</v>
      </c>
      <c r="B1319" t="s">
        <v>2</v>
      </c>
      <c r="C1319" t="s">
        <v>96</v>
      </c>
      <c r="D1319" t="s">
        <v>140</v>
      </c>
      <c r="E1319" s="2">
        <v>44172.509293981479</v>
      </c>
      <c r="F1319" s="2">
        <v>44172.512812499997</v>
      </c>
      <c r="G1319" s="3">
        <v>3.5185185188311152E-3</v>
      </c>
      <c r="H1319" s="3">
        <v>305.85174885527772</v>
      </c>
      <c r="I1319" s="3">
        <v>5.0975291475879621</v>
      </c>
      <c r="J1319" s="3">
        <v>8.4958819126466037E-2</v>
      </c>
    </row>
    <row r="1320" spans="1:11" x14ac:dyDescent="0.35">
      <c r="A1320">
        <v>1319</v>
      </c>
      <c r="B1320" t="s">
        <v>2</v>
      </c>
      <c r="C1320" t="s">
        <v>96</v>
      </c>
      <c r="D1320" t="s">
        <v>140</v>
      </c>
      <c r="E1320" s="2">
        <v>44172.512986111113</v>
      </c>
      <c r="F1320" s="2">
        <v>44172.515752314815</v>
      </c>
      <c r="G1320" s="3">
        <v>2.7662037027766928E-3</v>
      </c>
      <c r="H1320" s="3">
        <v>240.45581560993503</v>
      </c>
      <c r="I1320" s="3">
        <v>4.0075969268322504</v>
      </c>
      <c r="J1320" s="3">
        <v>6.6793282113870839E-2</v>
      </c>
    </row>
    <row r="1321" spans="1:11" x14ac:dyDescent="0.35">
      <c r="A1321">
        <v>1320</v>
      </c>
      <c r="B1321" t="s">
        <v>16</v>
      </c>
      <c r="C1321" t="s">
        <v>16</v>
      </c>
      <c r="D1321" t="s">
        <v>140</v>
      </c>
      <c r="E1321" s="2">
        <v>44172.515868055554</v>
      </c>
      <c r="F1321" s="2">
        <v>44172.555011574077</v>
      </c>
      <c r="G1321" s="3">
        <v>3.9143518522905651E-2</v>
      </c>
      <c r="H1321" s="3">
        <v>3402.6007060940237</v>
      </c>
      <c r="I1321" s="3">
        <v>56.710011768233727</v>
      </c>
      <c r="J1321" s="3">
        <v>0.9451668628038955</v>
      </c>
    </row>
    <row r="1322" spans="1:11" x14ac:dyDescent="0.35">
      <c r="A1322">
        <v>1321</v>
      </c>
      <c r="B1322" t="s">
        <v>2</v>
      </c>
      <c r="C1322" t="s">
        <v>96</v>
      </c>
      <c r="D1322" t="s">
        <v>140</v>
      </c>
      <c r="E1322" s="2">
        <v>44172.555451388886</v>
      </c>
      <c r="F1322" s="2">
        <v>44172.625231481485</v>
      </c>
      <c r="G1322" s="3">
        <v>6.9780092599103227E-2</v>
      </c>
      <c r="H1322" s="3">
        <v>6065.7243218970116</v>
      </c>
      <c r="I1322" s="3">
        <v>101.0954053649502</v>
      </c>
      <c r="J1322" s="3">
        <v>1.6849234227491698</v>
      </c>
    </row>
    <row r="1323" spans="1:11" x14ac:dyDescent="0.35">
      <c r="A1323">
        <v>1322</v>
      </c>
      <c r="B1323" t="s">
        <v>16</v>
      </c>
      <c r="C1323" t="s">
        <v>16</v>
      </c>
      <c r="D1323" t="s">
        <v>140</v>
      </c>
      <c r="E1323" s="2">
        <v>44172.625358796293</v>
      </c>
      <c r="F1323" s="2">
        <v>44172.632928240739</v>
      </c>
      <c r="G1323" s="3">
        <v>7.5694444458349608E-3</v>
      </c>
      <c r="H1323" s="3">
        <v>657.98369661291383</v>
      </c>
      <c r="I1323" s="3">
        <v>10.966394943548563</v>
      </c>
      <c r="J1323" s="3">
        <v>0.18277324905914272</v>
      </c>
    </row>
    <row r="1324" spans="1:11" x14ac:dyDescent="0.35">
      <c r="A1324">
        <v>1323</v>
      </c>
      <c r="B1324" t="s">
        <v>2</v>
      </c>
      <c r="C1324" t="s">
        <v>96</v>
      </c>
      <c r="D1324" t="s">
        <v>140</v>
      </c>
      <c r="E1324" s="2">
        <v>44172.633113425924</v>
      </c>
      <c r="F1324" s="2">
        <v>44172.638136574074</v>
      </c>
      <c r="G1324" s="3">
        <v>5.02314815093996E-3</v>
      </c>
      <c r="H1324" s="3">
        <v>436.6436153459631</v>
      </c>
      <c r="I1324" s="3">
        <v>7.2773935890993853</v>
      </c>
      <c r="J1324" s="3">
        <v>0.12128989315165642</v>
      </c>
    </row>
    <row r="1325" spans="1:11" x14ac:dyDescent="0.35">
      <c r="A1325">
        <v>1324</v>
      </c>
      <c r="B1325" t="s">
        <v>2</v>
      </c>
      <c r="C1325" t="s">
        <v>132</v>
      </c>
      <c r="D1325" t="s">
        <v>140</v>
      </c>
      <c r="E1325" s="2">
        <v>44172.638310185182</v>
      </c>
      <c r="F1325" s="2">
        <v>44172.714270833334</v>
      </c>
      <c r="G1325" s="3">
        <v>7.5960648151522037E-2</v>
      </c>
      <c r="H1325" s="3">
        <v>6602.9770646316092</v>
      </c>
      <c r="I1325" s="3">
        <v>110.04961774386015</v>
      </c>
      <c r="J1325" s="3">
        <v>1.8341602957310026</v>
      </c>
      <c r="K1325" t="s">
        <v>42</v>
      </c>
    </row>
    <row r="1326" spans="1:11" x14ac:dyDescent="0.35">
      <c r="A1326">
        <v>1325</v>
      </c>
      <c r="B1326" t="s">
        <v>11</v>
      </c>
      <c r="C1326" t="s">
        <v>11</v>
      </c>
      <c r="D1326" t="s">
        <v>140</v>
      </c>
      <c r="E1326" s="2">
        <v>44172.714363425926</v>
      </c>
      <c r="F1326" s="2">
        <v>44172.718229166669</v>
      </c>
      <c r="G1326" s="3">
        <v>3.8657407421851531E-3</v>
      </c>
      <c r="H1326" s="3">
        <v>336.0344873248568</v>
      </c>
      <c r="I1326" s="3">
        <v>5.6005747887476129</v>
      </c>
      <c r="J1326" s="3">
        <v>9.3342913145793543E-2</v>
      </c>
    </row>
    <row r="1327" spans="1:11" x14ac:dyDescent="0.35">
      <c r="A1327">
        <v>1326</v>
      </c>
      <c r="B1327" t="s">
        <v>2</v>
      </c>
      <c r="C1327" t="s">
        <v>96</v>
      </c>
      <c r="D1327" t="s">
        <v>140</v>
      </c>
      <c r="E1327" s="2">
        <v>44172.718553240738</v>
      </c>
      <c r="F1327" s="2">
        <v>44172.723310185182</v>
      </c>
      <c r="G1327" s="3">
        <v>4.756944443215616E-3</v>
      </c>
      <c r="H1327" s="3">
        <v>413.50351557854799</v>
      </c>
      <c r="I1327" s="3">
        <v>6.8917252596424667</v>
      </c>
      <c r="J1327" s="3">
        <v>0.11486208766070778</v>
      </c>
    </row>
    <row r="1328" spans="1:11" x14ac:dyDescent="0.35">
      <c r="A1328">
        <v>1327</v>
      </c>
      <c r="B1328" t="s">
        <v>2</v>
      </c>
      <c r="C1328" t="s">
        <v>96</v>
      </c>
      <c r="D1328" t="s">
        <v>140</v>
      </c>
      <c r="E1328" s="2">
        <v>44172.723576388889</v>
      </c>
      <c r="F1328" s="2">
        <v>44172.746261574073</v>
      </c>
      <c r="G1328" s="3">
        <v>2.2685185183945578E-2</v>
      </c>
      <c r="H1328" s="3">
        <v>1971.9389068102901</v>
      </c>
      <c r="I1328" s="3">
        <v>32.865648446838165</v>
      </c>
      <c r="J1328" s="3">
        <v>0.54776080744730271</v>
      </c>
    </row>
    <row r="1329" spans="1:11" x14ac:dyDescent="0.35">
      <c r="A1329">
        <v>1328</v>
      </c>
      <c r="B1329" t="s">
        <v>11</v>
      </c>
      <c r="C1329" t="s">
        <v>11</v>
      </c>
      <c r="D1329" t="s">
        <v>140</v>
      </c>
      <c r="E1329" s="2">
        <v>44172.831597222219</v>
      </c>
      <c r="F1329" s="2">
        <v>44172.886469907404</v>
      </c>
      <c r="G1329" s="3">
        <v>5.4872685184818693E-2</v>
      </c>
      <c r="H1329" s="3">
        <v>4769.8787538959223</v>
      </c>
      <c r="I1329" s="3">
        <v>79.497979231598705</v>
      </c>
      <c r="J1329" s="3">
        <v>1.3249663205266451</v>
      </c>
    </row>
    <row r="1330" spans="1:11" x14ac:dyDescent="0.35">
      <c r="A1330">
        <v>1329</v>
      </c>
      <c r="B1330" t="s">
        <v>11</v>
      </c>
      <c r="C1330" t="s">
        <v>11</v>
      </c>
      <c r="D1330" t="s">
        <v>140</v>
      </c>
      <c r="E1330" s="2">
        <v>44173.328009259261</v>
      </c>
      <c r="F1330" s="2">
        <v>44173.332812499997</v>
      </c>
      <c r="G1330" s="3">
        <v>4.8032407357823104E-3</v>
      </c>
      <c r="H1330" s="3">
        <v>417.52788037050681</v>
      </c>
      <c r="I1330" s="3">
        <v>6.9587980061751136</v>
      </c>
      <c r="J1330" s="3">
        <v>0.11597996676958523</v>
      </c>
    </row>
    <row r="1331" spans="1:11" x14ac:dyDescent="0.35">
      <c r="A1331">
        <v>1330</v>
      </c>
      <c r="B1331" t="s">
        <v>2</v>
      </c>
      <c r="C1331" t="s">
        <v>132</v>
      </c>
      <c r="D1331" t="s">
        <v>140</v>
      </c>
      <c r="E1331" s="2">
        <v>44173.332974537036</v>
      </c>
      <c r="F1331" s="2">
        <v>44173.336863425924</v>
      </c>
      <c r="G1331" s="3">
        <v>3.8888888884685002E-3</v>
      </c>
      <c r="H1331" s="3">
        <v>338.04666972083623</v>
      </c>
      <c r="I1331" s="3">
        <v>5.6341111620139372</v>
      </c>
      <c r="J1331" s="3">
        <v>9.3901852700232283E-2</v>
      </c>
      <c r="K1331" t="s">
        <v>41</v>
      </c>
    </row>
    <row r="1332" spans="1:11" x14ac:dyDescent="0.35">
      <c r="A1332">
        <v>1331</v>
      </c>
      <c r="B1332" t="s">
        <v>11</v>
      </c>
      <c r="C1332" t="s">
        <v>11</v>
      </c>
      <c r="D1332" t="s">
        <v>140</v>
      </c>
      <c r="E1332" s="2">
        <v>44173.33697916667</v>
      </c>
      <c r="F1332" s="2">
        <v>44173.338229166664</v>
      </c>
      <c r="G1332" s="3">
        <v>1.2499999938881956E-3</v>
      </c>
      <c r="H1332" s="3">
        <v>108.65785760502395</v>
      </c>
      <c r="I1332" s="3">
        <v>1.8109642934170658</v>
      </c>
      <c r="J1332" s="3">
        <v>3.0182738223617764E-2</v>
      </c>
    </row>
    <row r="1333" spans="1:11" x14ac:dyDescent="0.35">
      <c r="A1333">
        <v>1332</v>
      </c>
      <c r="B1333" t="s">
        <v>2</v>
      </c>
      <c r="C1333" t="s">
        <v>96</v>
      </c>
      <c r="D1333" t="s">
        <v>140</v>
      </c>
      <c r="E1333" s="2">
        <v>44173.338402777779</v>
      </c>
      <c r="F1333" s="2">
        <v>44173.364988425928</v>
      </c>
      <c r="G1333" s="3">
        <v>2.658564814919373E-2</v>
      </c>
      <c r="H1333" s="3">
        <v>2310.9916680453521</v>
      </c>
      <c r="I1333" s="3">
        <v>38.516527800755867</v>
      </c>
      <c r="J1333" s="3">
        <v>0.64194213001259781</v>
      </c>
    </row>
    <row r="1334" spans="1:11" x14ac:dyDescent="0.35">
      <c r="A1334">
        <v>1333</v>
      </c>
      <c r="B1334" t="s">
        <v>2</v>
      </c>
      <c r="C1334" t="s">
        <v>96</v>
      </c>
      <c r="D1334" t="s">
        <v>140</v>
      </c>
      <c r="E1334" s="2">
        <v>44173.36513888889</v>
      </c>
      <c r="F1334" s="2">
        <v>44173.367013888892</v>
      </c>
      <c r="G1334" s="3">
        <v>1.8750000017462298E-3</v>
      </c>
      <c r="H1334" s="3">
        <v>162.98678735624389</v>
      </c>
      <c r="I1334" s="3">
        <v>2.7164464559373984</v>
      </c>
      <c r="J1334" s="3">
        <v>4.5274107598956642E-2</v>
      </c>
    </row>
    <row r="1335" spans="1:11" x14ac:dyDescent="0.35">
      <c r="A1335">
        <v>1334</v>
      </c>
      <c r="B1335" t="s">
        <v>2</v>
      </c>
      <c r="C1335" t="s">
        <v>96</v>
      </c>
      <c r="D1335" t="s">
        <v>140</v>
      </c>
      <c r="E1335" s="2">
        <v>44173.367164351854</v>
      </c>
      <c r="F1335" s="2">
        <v>44173.401944444442</v>
      </c>
      <c r="G1335" s="3">
        <v>3.478009258833481E-2</v>
      </c>
      <c r="H1335" s="3">
        <v>3023.3042931445416</v>
      </c>
      <c r="I1335" s="3">
        <v>50.388404885742361</v>
      </c>
      <c r="J1335" s="3">
        <v>0.83980674809570599</v>
      </c>
    </row>
    <row r="1336" spans="1:11" x14ac:dyDescent="0.35">
      <c r="A1336">
        <v>1335</v>
      </c>
      <c r="B1336" t="s">
        <v>16</v>
      </c>
      <c r="C1336" t="s">
        <v>16</v>
      </c>
      <c r="D1336" t="s">
        <v>140</v>
      </c>
      <c r="E1336" s="2">
        <v>44173.402071759258</v>
      </c>
      <c r="F1336" s="2">
        <v>44173.406053240738</v>
      </c>
      <c r="G1336" s="3">
        <v>3.9814814808778465E-3</v>
      </c>
      <c r="H1336" s="3">
        <v>346.09539993722586</v>
      </c>
      <c r="I1336" s="3">
        <v>5.7682566656204308</v>
      </c>
      <c r="J1336" s="3">
        <v>9.6137611093673844E-2</v>
      </c>
    </row>
    <row r="1337" spans="1:11" x14ac:dyDescent="0.35">
      <c r="A1337">
        <v>1336</v>
      </c>
      <c r="B1337" t="s">
        <v>2</v>
      </c>
      <c r="C1337" t="s">
        <v>96</v>
      </c>
      <c r="D1337" t="s">
        <v>140</v>
      </c>
      <c r="E1337" s="2">
        <v>44173.4062962963</v>
      </c>
      <c r="F1337" s="2">
        <v>44173.446793981479</v>
      </c>
      <c r="G1337" s="3">
        <v>4.0497685178706888E-2</v>
      </c>
      <c r="H1337" s="3">
        <v>3520.3133847971912</v>
      </c>
      <c r="I1337" s="3">
        <v>58.671889746619854</v>
      </c>
      <c r="J1337" s="3">
        <v>0.9778648291103309</v>
      </c>
    </row>
    <row r="1338" spans="1:11" x14ac:dyDescent="0.35">
      <c r="A1338">
        <v>1337</v>
      </c>
      <c r="B1338" t="s">
        <v>16</v>
      </c>
      <c r="C1338" t="s">
        <v>16</v>
      </c>
      <c r="D1338" t="s">
        <v>140</v>
      </c>
      <c r="E1338" s="2">
        <v>44173.446909722225</v>
      </c>
      <c r="F1338" s="2">
        <v>44173.450474537036</v>
      </c>
      <c r="G1338" s="3">
        <v>3.5648148113978095E-3</v>
      </c>
      <c r="H1338" s="3">
        <v>309.87611364723654</v>
      </c>
      <c r="I1338" s="3">
        <v>5.1646018941206089</v>
      </c>
      <c r="J1338" s="3">
        <v>8.6076698235343488E-2</v>
      </c>
    </row>
    <row r="1339" spans="1:11" x14ac:dyDescent="0.35">
      <c r="A1339">
        <v>1338</v>
      </c>
      <c r="B1339" t="s">
        <v>2</v>
      </c>
      <c r="C1339" t="s">
        <v>96</v>
      </c>
      <c r="D1339" t="s">
        <v>140</v>
      </c>
      <c r="E1339" s="2">
        <v>44173.450601851851</v>
      </c>
      <c r="F1339" s="2">
        <v>44173.459930555553</v>
      </c>
      <c r="G1339" s="3">
        <v>9.3287037016125396E-3</v>
      </c>
      <c r="H1339" s="3">
        <v>810.90957072431672</v>
      </c>
      <c r="I1339" s="3">
        <v>13.515159512071945</v>
      </c>
      <c r="J1339" s="3">
        <v>0.22525265853453241</v>
      </c>
    </row>
    <row r="1340" spans="1:11" x14ac:dyDescent="0.35">
      <c r="A1340">
        <v>1339</v>
      </c>
      <c r="B1340" t="s">
        <v>2</v>
      </c>
      <c r="C1340" t="s">
        <v>132</v>
      </c>
      <c r="D1340" t="s">
        <v>140</v>
      </c>
      <c r="E1340" s="2">
        <v>44173.460081018522</v>
      </c>
      <c r="F1340" s="2">
        <v>44173.460868055554</v>
      </c>
      <c r="G1340" s="3">
        <v>7.8703703184146434E-4</v>
      </c>
      <c r="H1340" s="3">
        <v>68.414206523075819</v>
      </c>
      <c r="I1340" s="3">
        <v>1.140236775384597</v>
      </c>
      <c r="J1340" s="3">
        <v>1.900394625640995E-2</v>
      </c>
      <c r="K1340" t="s">
        <v>64</v>
      </c>
    </row>
    <row r="1341" spans="1:11" x14ac:dyDescent="0.35">
      <c r="A1341">
        <v>1340</v>
      </c>
      <c r="B1341" t="s">
        <v>2</v>
      </c>
      <c r="C1341" t="s">
        <v>96</v>
      </c>
      <c r="D1341" t="s">
        <v>140</v>
      </c>
      <c r="E1341" s="2">
        <v>44173.461041666669</v>
      </c>
      <c r="F1341" s="2">
        <v>44173.465856481482</v>
      </c>
      <c r="G1341" s="3">
        <v>4.8148148125619628E-3</v>
      </c>
      <c r="H1341" s="3">
        <v>418.53397188473247</v>
      </c>
      <c r="I1341" s="3">
        <v>6.9755661980788748</v>
      </c>
      <c r="J1341" s="3">
        <v>0.11625943663464791</v>
      </c>
    </row>
    <row r="1342" spans="1:11" x14ac:dyDescent="0.35">
      <c r="A1342">
        <v>1341</v>
      </c>
      <c r="B1342" t="s">
        <v>2</v>
      </c>
      <c r="C1342" t="s">
        <v>96</v>
      </c>
      <c r="D1342" t="s">
        <v>140</v>
      </c>
      <c r="E1342" s="2">
        <v>44173.466064814813</v>
      </c>
      <c r="F1342" s="2">
        <v>44173.503310185188</v>
      </c>
      <c r="G1342" s="3">
        <v>3.7245370374876074E-2</v>
      </c>
      <c r="H1342" s="3">
        <v>3237.6017363418005</v>
      </c>
      <c r="I1342" s="3">
        <v>53.960028939030011</v>
      </c>
      <c r="J1342" s="3">
        <v>0.89933381565050019</v>
      </c>
    </row>
    <row r="1343" spans="1:11" x14ac:dyDescent="0.35">
      <c r="A1343">
        <v>1342</v>
      </c>
      <c r="B1343" t="s">
        <v>16</v>
      </c>
      <c r="C1343" t="s">
        <v>16</v>
      </c>
      <c r="D1343" t="s">
        <v>140</v>
      </c>
      <c r="E1343" s="2">
        <v>44173.50341435185</v>
      </c>
      <c r="F1343" s="2">
        <v>44173.50545138889</v>
      </c>
      <c r="G1343" s="3">
        <v>2.0370370402815752E-3</v>
      </c>
      <c r="H1343" s="3">
        <v>177.07206539304372</v>
      </c>
      <c r="I1343" s="3">
        <v>2.9512010898840617</v>
      </c>
      <c r="J1343" s="3">
        <v>4.9186684831401026E-2</v>
      </c>
    </row>
    <row r="1344" spans="1:11" x14ac:dyDescent="0.35">
      <c r="A1344">
        <v>1343</v>
      </c>
      <c r="B1344" t="s">
        <v>2</v>
      </c>
      <c r="C1344" t="s">
        <v>96</v>
      </c>
      <c r="D1344" t="s">
        <v>140</v>
      </c>
      <c r="E1344" s="2">
        <v>44173.505532407406</v>
      </c>
      <c r="F1344" s="2">
        <v>44173.507754629631</v>
      </c>
      <c r="G1344" s="3">
        <v>2.2222222251002677E-3</v>
      </c>
      <c r="H1344" s="3">
        <v>193.16952582582297</v>
      </c>
      <c r="I1344" s="3">
        <v>3.2194920970970498</v>
      </c>
      <c r="J1344" s="3">
        <v>5.3658201618284163E-2</v>
      </c>
    </row>
    <row r="1345" spans="1:11" x14ac:dyDescent="0.35">
      <c r="A1345">
        <v>1344</v>
      </c>
      <c r="B1345" t="s">
        <v>2</v>
      </c>
      <c r="C1345" t="s">
        <v>96</v>
      </c>
      <c r="D1345" t="s">
        <v>140</v>
      </c>
      <c r="E1345" s="2">
        <v>44173.507905092592</v>
      </c>
      <c r="F1345" s="2">
        <v>44173.523159722223</v>
      </c>
      <c r="G1345" s="3">
        <v>1.5254629630362615E-2</v>
      </c>
      <c r="H1345" s="3">
        <v>1326.0283058381967</v>
      </c>
      <c r="I1345" s="3">
        <v>22.100471763969946</v>
      </c>
      <c r="J1345" s="3">
        <v>0.36834119606616578</v>
      </c>
    </row>
    <row r="1346" spans="1:11" x14ac:dyDescent="0.35">
      <c r="A1346">
        <v>1345</v>
      </c>
      <c r="B1346" t="s">
        <v>16</v>
      </c>
      <c r="C1346" t="s">
        <v>16</v>
      </c>
      <c r="D1346" t="s">
        <v>140</v>
      </c>
      <c r="E1346" s="2">
        <v>44173.523287037038</v>
      </c>
      <c r="F1346" s="2">
        <v>44173.54378472222</v>
      </c>
      <c r="G1346" s="3">
        <v>2.0497685181908309E-2</v>
      </c>
      <c r="H1346" s="3">
        <v>1781.7876548946722</v>
      </c>
      <c r="I1346" s="3">
        <v>29.696460914911203</v>
      </c>
      <c r="J1346" s="3">
        <v>0.49494101524852002</v>
      </c>
    </row>
    <row r="1347" spans="1:11" x14ac:dyDescent="0.35">
      <c r="A1347">
        <v>1346</v>
      </c>
      <c r="B1347" t="s">
        <v>2</v>
      </c>
      <c r="C1347" t="s">
        <v>96</v>
      </c>
      <c r="D1347" t="s">
        <v>140</v>
      </c>
      <c r="E1347" s="2">
        <v>44173.543993055559</v>
      </c>
      <c r="F1347" s="2">
        <v>44173.581111111111</v>
      </c>
      <c r="G1347" s="3">
        <v>3.7118055552127771E-2</v>
      </c>
      <c r="H1347" s="3">
        <v>3226.5347315827339</v>
      </c>
      <c r="I1347" s="3">
        <v>53.775578859712233</v>
      </c>
      <c r="J1347" s="3">
        <v>0.89625964766187061</v>
      </c>
    </row>
    <row r="1348" spans="1:11" x14ac:dyDescent="0.35">
      <c r="A1348">
        <v>1347</v>
      </c>
      <c r="B1348" t="s">
        <v>11</v>
      </c>
      <c r="C1348" t="s">
        <v>11</v>
      </c>
      <c r="D1348" t="s">
        <v>140</v>
      </c>
      <c r="E1348" s="2">
        <v>44173.581192129626</v>
      </c>
      <c r="F1348" s="2">
        <v>44173.594525462962</v>
      </c>
      <c r="G1348" s="3">
        <v>1.3333333336049691E-2</v>
      </c>
      <c r="H1348" s="3">
        <v>1159.0171536899938</v>
      </c>
      <c r="I1348" s="3">
        <v>19.316952561499896</v>
      </c>
      <c r="J1348" s="3">
        <v>0.3219492093583316</v>
      </c>
    </row>
    <row r="1349" spans="1:11" x14ac:dyDescent="0.35">
      <c r="A1349">
        <v>1348</v>
      </c>
      <c r="B1349" t="s">
        <v>2</v>
      </c>
      <c r="C1349" t="s">
        <v>96</v>
      </c>
      <c r="D1349" t="s">
        <v>140</v>
      </c>
      <c r="E1349" s="2">
        <v>44173.594652777778</v>
      </c>
      <c r="F1349" s="2">
        <v>44173.620763888888</v>
      </c>
      <c r="G1349" s="3">
        <v>2.6111111110367347E-2</v>
      </c>
      <c r="H1349" s="3">
        <v>2269.7419254491783</v>
      </c>
      <c r="I1349" s="3">
        <v>37.829032090819638</v>
      </c>
      <c r="J1349" s="3">
        <v>0.63048386818032731</v>
      </c>
    </row>
    <row r="1350" spans="1:11" x14ac:dyDescent="0.35">
      <c r="A1350">
        <v>1349</v>
      </c>
      <c r="B1350" t="s">
        <v>2</v>
      </c>
      <c r="C1350" t="s">
        <v>96</v>
      </c>
      <c r="D1350" t="s">
        <v>140</v>
      </c>
      <c r="E1350" s="2">
        <v>44173.620891203704</v>
      </c>
      <c r="F1350" s="2">
        <v>44173.648449074077</v>
      </c>
      <c r="G1350" s="3">
        <v>2.7557870373129845E-2</v>
      </c>
      <c r="H1350" s="3">
        <v>2395.5033356336789</v>
      </c>
      <c r="I1350" s="3">
        <v>39.925055593894648</v>
      </c>
      <c r="J1350" s="3">
        <v>0.66541759323157745</v>
      </c>
    </row>
    <row r="1351" spans="1:11" x14ac:dyDescent="0.35">
      <c r="A1351">
        <v>1350</v>
      </c>
      <c r="B1351" t="s">
        <v>2</v>
      </c>
      <c r="C1351" t="s">
        <v>132</v>
      </c>
      <c r="D1351" t="s">
        <v>140</v>
      </c>
      <c r="E1351" s="2">
        <v>44173.648622685185</v>
      </c>
      <c r="F1351" s="2">
        <v>44173.6641087963</v>
      </c>
      <c r="G1351" s="3">
        <v>1.5486111115023959E-2</v>
      </c>
      <c r="H1351" s="3">
        <v>1346.1501316954068</v>
      </c>
      <c r="I1351" s="3">
        <v>22.435835528256781</v>
      </c>
      <c r="J1351" s="3">
        <v>0.37393059213761304</v>
      </c>
      <c r="K1351" t="s">
        <v>42</v>
      </c>
    </row>
    <row r="1352" spans="1:11" x14ac:dyDescent="0.35">
      <c r="A1352">
        <v>1351</v>
      </c>
      <c r="B1352" t="s">
        <v>11</v>
      </c>
      <c r="C1352" t="s">
        <v>11</v>
      </c>
      <c r="D1352" t="s">
        <v>140</v>
      </c>
      <c r="E1352" s="2">
        <v>44173.664212962962</v>
      </c>
      <c r="F1352" s="2">
        <v>44173.72619212963</v>
      </c>
      <c r="G1352" s="3">
        <v>6.1979166668606922E-2</v>
      </c>
      <c r="H1352" s="3">
        <v>5387.6187994268876</v>
      </c>
      <c r="I1352" s="3">
        <v>89.793646657114792</v>
      </c>
      <c r="J1352" s="3">
        <v>1.4965607776185799</v>
      </c>
    </row>
    <row r="1353" spans="1:11" x14ac:dyDescent="0.35">
      <c r="A1353">
        <v>1352</v>
      </c>
      <c r="B1353" t="s">
        <v>2</v>
      </c>
      <c r="C1353" t="s">
        <v>72</v>
      </c>
      <c r="D1353" t="s">
        <v>140</v>
      </c>
      <c r="E1353" s="2">
        <v>44174.333657407406</v>
      </c>
      <c r="F1353" s="2">
        <v>44174.344050925924</v>
      </c>
      <c r="G1353" s="3">
        <v>1.0393518517958E-2</v>
      </c>
      <c r="H1353" s="3">
        <v>903.46996852903339</v>
      </c>
      <c r="I1353" s="3">
        <v>15.057832808817222</v>
      </c>
      <c r="J1353" s="3">
        <v>0.2509638801469537</v>
      </c>
      <c r="K1353" t="s">
        <v>73</v>
      </c>
    </row>
    <row r="1354" spans="1:11" x14ac:dyDescent="0.35">
      <c r="A1354">
        <v>1353</v>
      </c>
      <c r="B1354" t="s">
        <v>11</v>
      </c>
      <c r="C1354" t="s">
        <v>11</v>
      </c>
      <c r="D1354" t="s">
        <v>140</v>
      </c>
      <c r="E1354" s="2">
        <v>44174.344143518516</v>
      </c>
      <c r="F1354" s="2">
        <v>44174.35297453704</v>
      </c>
      <c r="G1354" s="3">
        <v>8.8310185237787664E-3</v>
      </c>
      <c r="H1354" s="3">
        <v>767.64764636463542</v>
      </c>
      <c r="I1354" s="3">
        <v>12.794127439410591</v>
      </c>
      <c r="J1354" s="3">
        <v>0.21323545732350985</v>
      </c>
    </row>
    <row r="1355" spans="1:11" x14ac:dyDescent="0.35">
      <c r="A1355">
        <v>1354</v>
      </c>
      <c r="B1355" t="s">
        <v>11</v>
      </c>
      <c r="C1355" t="s">
        <v>11</v>
      </c>
      <c r="D1355" t="s">
        <v>140</v>
      </c>
      <c r="E1355" s="2">
        <v>44174.353125000001</v>
      </c>
      <c r="F1355" s="2">
        <v>44174.354907407411</v>
      </c>
      <c r="G1355" s="3">
        <v>1.7824074093368836E-3</v>
      </c>
      <c r="H1355" s="3">
        <v>154.93805713985427</v>
      </c>
      <c r="I1355" s="3">
        <v>2.5823009523309044</v>
      </c>
      <c r="J1355" s="3">
        <v>4.3038349205515074E-2</v>
      </c>
    </row>
    <row r="1356" spans="1:11" x14ac:dyDescent="0.35">
      <c r="A1356">
        <v>1355</v>
      </c>
      <c r="B1356" t="s">
        <v>2</v>
      </c>
      <c r="C1356" t="s">
        <v>96</v>
      </c>
      <c r="D1356" t="s">
        <v>140</v>
      </c>
      <c r="E1356" s="2">
        <v>44174.355069444442</v>
      </c>
      <c r="F1356" s="2">
        <v>44174.357835648145</v>
      </c>
      <c r="G1356" s="3">
        <v>2.7662037027766928E-3</v>
      </c>
      <c r="H1356" s="3">
        <v>240.45581560993503</v>
      </c>
      <c r="I1356" s="3">
        <v>4.0075969268322504</v>
      </c>
      <c r="J1356" s="3">
        <v>6.6793282113870839E-2</v>
      </c>
    </row>
    <row r="1357" spans="1:11" x14ac:dyDescent="0.35">
      <c r="A1357">
        <v>1356</v>
      </c>
      <c r="B1357" t="s">
        <v>2</v>
      </c>
      <c r="C1357" t="s">
        <v>96</v>
      </c>
      <c r="D1357" t="s">
        <v>140</v>
      </c>
      <c r="E1357" s="2">
        <v>44174.358124999999</v>
      </c>
      <c r="F1357" s="2">
        <v>44174.375127314815</v>
      </c>
      <c r="G1357" s="3">
        <v>1.7002314816636499E-2</v>
      </c>
      <c r="H1357" s="3">
        <v>1477.9480890678458</v>
      </c>
      <c r="I1357" s="3">
        <v>24.632468151130762</v>
      </c>
      <c r="J1357" s="3">
        <v>0.41054113585217938</v>
      </c>
    </row>
    <row r="1358" spans="1:11" x14ac:dyDescent="0.35">
      <c r="A1358">
        <v>1357</v>
      </c>
      <c r="B1358" t="s">
        <v>2</v>
      </c>
      <c r="C1358" t="s">
        <v>96</v>
      </c>
      <c r="D1358" t="s">
        <v>140</v>
      </c>
      <c r="E1358" s="2">
        <v>44174.375243055554</v>
      </c>
      <c r="F1358" s="2">
        <v>44174.391250000001</v>
      </c>
      <c r="G1358" s="3">
        <v>1.6006944446417037E-2</v>
      </c>
      <c r="H1358" s="3">
        <v>1391.4242390835393</v>
      </c>
      <c r="I1358" s="3">
        <v>23.190403984725656</v>
      </c>
      <c r="J1358" s="3">
        <v>0.38650673307876093</v>
      </c>
    </row>
    <row r="1359" spans="1:11" x14ac:dyDescent="0.35">
      <c r="A1359">
        <v>1358</v>
      </c>
      <c r="B1359" t="s">
        <v>2</v>
      </c>
      <c r="C1359" t="s">
        <v>96</v>
      </c>
      <c r="D1359" t="s">
        <v>140</v>
      </c>
      <c r="E1359" s="2">
        <v>44174.391458333332</v>
      </c>
      <c r="F1359" s="2">
        <v>44174.412094907406</v>
      </c>
      <c r="G1359" s="3">
        <v>2.0636574074160308E-2</v>
      </c>
      <c r="H1359" s="3">
        <v>1793.8607505354926</v>
      </c>
      <c r="I1359" s="3">
        <v>29.897679175591541</v>
      </c>
      <c r="J1359" s="3">
        <v>0.49829465292652569</v>
      </c>
    </row>
    <row r="1360" spans="1:11" x14ac:dyDescent="0.35">
      <c r="A1360">
        <v>1359</v>
      </c>
      <c r="B1360" t="s">
        <v>2</v>
      </c>
      <c r="C1360" t="s">
        <v>96</v>
      </c>
      <c r="D1360" t="s">
        <v>140</v>
      </c>
      <c r="E1360" s="2">
        <v>44174.412256944444</v>
      </c>
      <c r="F1360" s="2">
        <v>44174.414884259262</v>
      </c>
      <c r="G1360" s="3">
        <v>2.6273148178006522E-3</v>
      </c>
      <c r="H1360" s="3">
        <v>228.38272060158658</v>
      </c>
      <c r="I1360" s="3">
        <v>3.8063786766931096</v>
      </c>
      <c r="J1360" s="3">
        <v>6.3439644611551826E-2</v>
      </c>
    </row>
    <row r="1361" spans="1:11" x14ac:dyDescent="0.35">
      <c r="A1361">
        <v>1360</v>
      </c>
      <c r="B1361" t="s">
        <v>16</v>
      </c>
      <c r="C1361" t="s">
        <v>16</v>
      </c>
      <c r="D1361" t="s">
        <v>140</v>
      </c>
      <c r="E1361" s="2">
        <v>44174.414976851855</v>
      </c>
      <c r="F1361" s="2">
        <v>44174.417326388888</v>
      </c>
      <c r="G1361" s="3">
        <v>2.3495370332966559E-3</v>
      </c>
      <c r="H1361" s="3">
        <v>204.23652931994573</v>
      </c>
      <c r="I1361" s="3">
        <v>3.4039421553324289</v>
      </c>
      <c r="J1361" s="3">
        <v>5.6732369255540482E-2</v>
      </c>
    </row>
    <row r="1362" spans="1:11" x14ac:dyDescent="0.35">
      <c r="A1362">
        <v>1361</v>
      </c>
      <c r="B1362" t="s">
        <v>2</v>
      </c>
      <c r="C1362" t="s">
        <v>96</v>
      </c>
      <c r="D1362" t="s">
        <v>140</v>
      </c>
      <c r="E1362" s="2">
        <v>44174.417685185188</v>
      </c>
      <c r="F1362" s="2">
        <v>44174.424988425926</v>
      </c>
      <c r="G1362" s="3">
        <v>7.3032407381106168E-3</v>
      </c>
      <c r="H1362" s="3">
        <v>634.84359684549861</v>
      </c>
      <c r="I1362" s="3">
        <v>10.580726614091644</v>
      </c>
      <c r="J1362" s="3">
        <v>0.17634544356819407</v>
      </c>
    </row>
    <row r="1363" spans="1:11" x14ac:dyDescent="0.35">
      <c r="A1363">
        <v>1362</v>
      </c>
      <c r="B1363" t="s">
        <v>2</v>
      </c>
      <c r="C1363" t="s">
        <v>96</v>
      </c>
      <c r="D1363" t="s">
        <v>140</v>
      </c>
      <c r="E1363" s="2">
        <v>44174.425324074073</v>
      </c>
      <c r="F1363" s="2">
        <v>44174.435844907406</v>
      </c>
      <c r="G1363" s="3">
        <v>1.0520833333430346E-2</v>
      </c>
      <c r="H1363" s="3">
        <v>914.53697265562812</v>
      </c>
      <c r="I1363" s="3">
        <v>15.242282877593802</v>
      </c>
      <c r="J1363" s="3">
        <v>0.25403804795989671</v>
      </c>
    </row>
    <row r="1364" spans="1:11" x14ac:dyDescent="0.35">
      <c r="A1364">
        <v>1363</v>
      </c>
      <c r="B1364" t="s">
        <v>2</v>
      </c>
      <c r="C1364" t="s">
        <v>72</v>
      </c>
      <c r="D1364" t="s">
        <v>140</v>
      </c>
      <c r="E1364" s="2">
        <v>44174.435995370368</v>
      </c>
      <c r="F1364" s="2">
        <v>44174.450104166666</v>
      </c>
      <c r="G1364" s="3">
        <v>1.410879629838746E-2</v>
      </c>
      <c r="H1364" s="3">
        <v>1226.425269331316</v>
      </c>
      <c r="I1364" s="3">
        <v>20.440421155521936</v>
      </c>
      <c r="J1364" s="3">
        <v>0.34067368592536557</v>
      </c>
      <c r="K1364" t="s">
        <v>73</v>
      </c>
    </row>
    <row r="1365" spans="1:11" x14ac:dyDescent="0.35">
      <c r="A1365">
        <v>1364</v>
      </c>
      <c r="B1365" t="s">
        <v>2</v>
      </c>
      <c r="C1365" t="s">
        <v>96</v>
      </c>
      <c r="D1365" t="s">
        <v>140</v>
      </c>
      <c r="E1365" s="2">
        <v>44174.450381944444</v>
      </c>
      <c r="F1365" s="2">
        <v>44174.481979166667</v>
      </c>
      <c r="G1365" s="3">
        <v>3.1597222223354038E-2</v>
      </c>
      <c r="H1365" s="3">
        <v>2746.6291918770894</v>
      </c>
      <c r="I1365" s="3">
        <v>45.777153197951492</v>
      </c>
      <c r="J1365" s="3">
        <v>0.76295255329919154</v>
      </c>
    </row>
    <row r="1366" spans="1:11" x14ac:dyDescent="0.35">
      <c r="A1366">
        <v>1365</v>
      </c>
      <c r="B1366" t="s">
        <v>16</v>
      </c>
      <c r="C1366" t="s">
        <v>16</v>
      </c>
      <c r="D1366" t="s">
        <v>140</v>
      </c>
      <c r="E1366" s="2">
        <v>44174.482048611113</v>
      </c>
      <c r="F1366" s="2">
        <v>44174.493703703702</v>
      </c>
      <c r="G1366" s="3">
        <v>1.1655092588625848E-2</v>
      </c>
      <c r="H1366" s="3">
        <v>1013.133917648283</v>
      </c>
      <c r="I1366" s="3">
        <v>16.885565294138051</v>
      </c>
      <c r="J1366" s="3">
        <v>0.2814260882356342</v>
      </c>
    </row>
    <row r="1367" spans="1:11" x14ac:dyDescent="0.35">
      <c r="A1367">
        <v>1366</v>
      </c>
      <c r="B1367" t="s">
        <v>16</v>
      </c>
      <c r="C1367" t="s">
        <v>16</v>
      </c>
      <c r="D1367" t="s">
        <v>140</v>
      </c>
      <c r="E1367" s="2">
        <v>44174.493842592594</v>
      </c>
      <c r="F1367" s="2">
        <v>44174.512974537036</v>
      </c>
      <c r="G1367" s="3">
        <v>1.9131944442051463E-2</v>
      </c>
      <c r="H1367" s="3">
        <v>1663.0688840448072</v>
      </c>
      <c r="I1367" s="3">
        <v>27.717814734080118</v>
      </c>
      <c r="J1367" s="3">
        <v>0.46196357890133533</v>
      </c>
    </row>
    <row r="1368" spans="1:11" x14ac:dyDescent="0.35">
      <c r="A1368">
        <v>1367</v>
      </c>
      <c r="B1368" t="s">
        <v>11</v>
      </c>
      <c r="C1368" t="s">
        <v>11</v>
      </c>
      <c r="D1368" t="s">
        <v>140</v>
      </c>
      <c r="E1368" s="2">
        <v>44174.513136574074</v>
      </c>
      <c r="F1368" s="2">
        <v>44174.525763888887</v>
      </c>
      <c r="G1368" s="3">
        <v>1.2627314812561963E-2</v>
      </c>
      <c r="H1368" s="3">
        <v>1097.64558523661</v>
      </c>
      <c r="I1368" s="3">
        <v>18.294093087276835</v>
      </c>
      <c r="J1368" s="3">
        <v>0.30490155145461389</v>
      </c>
    </row>
    <row r="1369" spans="1:11" x14ac:dyDescent="0.35">
      <c r="A1369">
        <v>1368</v>
      </c>
      <c r="B1369" t="s">
        <v>2</v>
      </c>
      <c r="C1369" t="s">
        <v>96</v>
      </c>
      <c r="D1369" t="s">
        <v>140</v>
      </c>
      <c r="E1369" s="2">
        <v>44174.525868055556</v>
      </c>
      <c r="F1369" s="2">
        <v>44174.527233796296</v>
      </c>
      <c r="G1369" s="3">
        <v>1.3657407398568466E-3</v>
      </c>
      <c r="H1369" s="3">
        <v>118.71877084986497</v>
      </c>
      <c r="I1369" s="3">
        <v>1.9786461808310827</v>
      </c>
      <c r="J1369" s="3">
        <v>3.297743634718471E-2</v>
      </c>
    </row>
    <row r="1370" spans="1:11" x14ac:dyDescent="0.35">
      <c r="A1370">
        <v>1369</v>
      </c>
      <c r="B1370" t="s">
        <v>2</v>
      </c>
      <c r="C1370" t="s">
        <v>132</v>
      </c>
      <c r="D1370" t="s">
        <v>140</v>
      </c>
      <c r="E1370" s="2">
        <v>44174.527337962965</v>
      </c>
      <c r="F1370" s="2">
        <v>44174.531423611108</v>
      </c>
      <c r="G1370" s="3">
        <v>4.0856481427908875E-3</v>
      </c>
      <c r="H1370" s="3">
        <v>355.15022103536921</v>
      </c>
      <c r="I1370" s="3">
        <v>5.9191703505894866</v>
      </c>
      <c r="J1370" s="3">
        <v>9.8652839176491439E-2</v>
      </c>
      <c r="K1370" t="s">
        <v>40</v>
      </c>
    </row>
    <row r="1371" spans="1:11" x14ac:dyDescent="0.35">
      <c r="A1371">
        <v>1370</v>
      </c>
      <c r="B1371" t="s">
        <v>2</v>
      </c>
      <c r="C1371" t="s">
        <v>96</v>
      </c>
      <c r="D1371" t="s">
        <v>140</v>
      </c>
      <c r="E1371" s="2">
        <v>44174.531770833331</v>
      </c>
      <c r="F1371" s="2">
        <v>44174.543090277781</v>
      </c>
      <c r="G1371" s="3">
        <v>1.131944444932742E-2</v>
      </c>
      <c r="H1371" s="3">
        <v>983.95727132540162</v>
      </c>
      <c r="I1371" s="3">
        <v>16.39928785542336</v>
      </c>
      <c r="J1371" s="3">
        <v>0.273321464257056</v>
      </c>
    </row>
    <row r="1372" spans="1:11" x14ac:dyDescent="0.35">
      <c r="A1372">
        <v>1371</v>
      </c>
      <c r="B1372" t="s">
        <v>16</v>
      </c>
      <c r="C1372" t="s">
        <v>16</v>
      </c>
      <c r="D1372" t="s">
        <v>140</v>
      </c>
      <c r="E1372" s="2">
        <v>44174.543206018519</v>
      </c>
      <c r="F1372" s="2">
        <v>44174.558807870373</v>
      </c>
      <c r="G1372" s="3">
        <v>1.5601851853716653E-2</v>
      </c>
      <c r="H1372" s="3">
        <v>1356.2110443077756</v>
      </c>
      <c r="I1372" s="3">
        <v>22.603517405129594</v>
      </c>
      <c r="J1372" s="3">
        <v>0.37672529008549321</v>
      </c>
    </row>
    <row r="1373" spans="1:11" x14ac:dyDescent="0.35">
      <c r="A1373">
        <v>1372</v>
      </c>
      <c r="B1373" t="s">
        <v>11</v>
      </c>
      <c r="C1373" t="s">
        <v>11</v>
      </c>
      <c r="D1373" t="s">
        <v>140</v>
      </c>
      <c r="E1373" s="2">
        <v>44174.558946759258</v>
      </c>
      <c r="F1373" s="2">
        <v>44174.561574074076</v>
      </c>
      <c r="G1373" s="3">
        <v>2.6273148178006522E-3</v>
      </c>
      <c r="H1373" s="3">
        <v>228.38272060158658</v>
      </c>
      <c r="I1373" s="3">
        <v>3.8063786766931096</v>
      </c>
      <c r="J1373" s="3">
        <v>6.3439644611551826E-2</v>
      </c>
    </row>
    <row r="1374" spans="1:11" x14ac:dyDescent="0.35">
      <c r="A1374">
        <v>1373</v>
      </c>
      <c r="B1374" t="s">
        <v>2</v>
      </c>
      <c r="C1374" t="s">
        <v>96</v>
      </c>
      <c r="D1374" t="s">
        <v>140</v>
      </c>
      <c r="E1374" s="2">
        <v>44174.561747685184</v>
      </c>
      <c r="F1374" s="2">
        <v>44174.574745370373</v>
      </c>
      <c r="G1374" s="3">
        <v>1.2997685189475305E-2</v>
      </c>
      <c r="H1374" s="3">
        <v>1129.8405067346405</v>
      </c>
      <c r="I1374" s="3">
        <v>18.830675112244009</v>
      </c>
      <c r="J1374" s="3">
        <v>0.31384458520406683</v>
      </c>
    </row>
    <row r="1375" spans="1:11" x14ac:dyDescent="0.35">
      <c r="A1375">
        <v>1374</v>
      </c>
      <c r="B1375" t="s">
        <v>2</v>
      </c>
      <c r="C1375" t="s">
        <v>96</v>
      </c>
      <c r="D1375" t="s">
        <v>140</v>
      </c>
      <c r="E1375" s="2">
        <v>44174.574976851851</v>
      </c>
      <c r="F1375" s="2">
        <v>44174.607835648145</v>
      </c>
      <c r="G1375" s="3">
        <v>3.2858796294021886E-2</v>
      </c>
      <c r="H1375" s="3">
        <v>2856.2931409963389</v>
      </c>
      <c r="I1375" s="3">
        <v>47.604885683272315</v>
      </c>
      <c r="J1375" s="3">
        <v>0.79341476138787193</v>
      </c>
    </row>
    <row r="1376" spans="1:11" x14ac:dyDescent="0.35">
      <c r="A1376">
        <v>1375</v>
      </c>
      <c r="B1376" t="s">
        <v>2</v>
      </c>
      <c r="C1376" t="s">
        <v>72</v>
      </c>
      <c r="D1376" t="s">
        <v>140</v>
      </c>
      <c r="E1376" s="2">
        <v>44174.608090277776</v>
      </c>
      <c r="F1376" s="2">
        <v>44174.609479166669</v>
      </c>
      <c r="G1376" s="3">
        <v>1.3888888934161514E-3</v>
      </c>
      <c r="H1376" s="3">
        <v>120.73095387831636</v>
      </c>
      <c r="I1376" s="3">
        <v>2.0121825646386058</v>
      </c>
      <c r="J1376" s="3">
        <v>3.3536376077310096E-2</v>
      </c>
      <c r="K1376" t="s">
        <v>73</v>
      </c>
    </row>
    <row r="1377" spans="1:11" x14ac:dyDescent="0.35">
      <c r="A1377">
        <v>1376</v>
      </c>
      <c r="B1377" t="s">
        <v>2</v>
      </c>
      <c r="C1377" t="s">
        <v>96</v>
      </c>
      <c r="D1377" t="s">
        <v>140</v>
      </c>
      <c r="E1377" s="2">
        <v>44174.6096412037</v>
      </c>
      <c r="F1377" s="2">
        <v>44174.619849537034</v>
      </c>
      <c r="G1377" s="3">
        <v>1.0208333333139308E-2</v>
      </c>
      <c r="H1377" s="3">
        <v>887.37250809625414</v>
      </c>
      <c r="I1377" s="3">
        <v>14.789541801604235</v>
      </c>
      <c r="J1377" s="3">
        <v>0.24649236336007058</v>
      </c>
    </row>
    <row r="1378" spans="1:11" x14ac:dyDescent="0.35">
      <c r="A1378">
        <v>1377</v>
      </c>
      <c r="B1378" t="s">
        <v>2</v>
      </c>
      <c r="C1378" t="s">
        <v>132</v>
      </c>
      <c r="D1378" t="s">
        <v>140</v>
      </c>
      <c r="E1378" s="2">
        <v>44174.619976851849</v>
      </c>
      <c r="F1378" s="2">
        <v>44174.626793981479</v>
      </c>
      <c r="G1378" s="3">
        <v>6.8171296297805384E-3</v>
      </c>
      <c r="H1378" s="3">
        <v>592.58776336757114</v>
      </c>
      <c r="I1378" s="3">
        <v>9.8764627227928532</v>
      </c>
      <c r="J1378" s="3">
        <v>0.16460771204654756</v>
      </c>
      <c r="K1378" t="s">
        <v>42</v>
      </c>
    </row>
    <row r="1379" spans="1:11" x14ac:dyDescent="0.35">
      <c r="A1379">
        <v>1378</v>
      </c>
      <c r="B1379" t="s">
        <v>2</v>
      </c>
      <c r="C1379" t="s">
        <v>132</v>
      </c>
      <c r="D1379" t="s">
        <v>140</v>
      </c>
      <c r="E1379" s="2">
        <v>44174.626967592594</v>
      </c>
      <c r="F1379" s="2">
        <v>44174.654930555553</v>
      </c>
      <c r="G1379" s="3">
        <v>2.7962962958554272E-2</v>
      </c>
      <c r="H1379" s="3">
        <v>2430.7165297769707</v>
      </c>
      <c r="I1379" s="3">
        <v>40.511942162949509</v>
      </c>
      <c r="J1379" s="3">
        <v>0.67519903604915854</v>
      </c>
      <c r="K1379" t="s">
        <v>40</v>
      </c>
    </row>
    <row r="1380" spans="1:11" x14ac:dyDescent="0.35">
      <c r="A1380">
        <v>1379</v>
      </c>
      <c r="B1380" t="s">
        <v>2</v>
      </c>
      <c r="C1380" t="s">
        <v>96</v>
      </c>
      <c r="D1380" t="s">
        <v>140</v>
      </c>
      <c r="E1380" s="2">
        <v>44174.655092592591</v>
      </c>
      <c r="F1380" s="2">
        <v>44174.662361111114</v>
      </c>
      <c r="G1380" s="3">
        <v>7.2685185223235749E-3</v>
      </c>
      <c r="H1380" s="3">
        <v>631.82532356776551</v>
      </c>
      <c r="I1380" s="3">
        <v>10.530422059462758</v>
      </c>
      <c r="J1380" s="3">
        <v>0.17550703432437931</v>
      </c>
    </row>
    <row r="1381" spans="1:11" x14ac:dyDescent="0.35">
      <c r="A1381">
        <v>1380</v>
      </c>
      <c r="B1381" t="s">
        <v>2</v>
      </c>
      <c r="C1381" t="s">
        <v>132</v>
      </c>
      <c r="D1381" t="s">
        <v>140</v>
      </c>
      <c r="E1381" s="2">
        <v>44174.662581018521</v>
      </c>
      <c r="F1381" s="2">
        <v>44174.665949074071</v>
      </c>
      <c r="G1381" s="3">
        <v>3.3680555497994646E-3</v>
      </c>
      <c r="H1381" s="3">
        <v>292.77256170023162</v>
      </c>
      <c r="I1381" s="3">
        <v>4.8795426950038605</v>
      </c>
      <c r="J1381" s="3">
        <v>8.1325711583397672E-2</v>
      </c>
      <c r="K1381" t="s">
        <v>40</v>
      </c>
    </row>
    <row r="1382" spans="1:11" x14ac:dyDescent="0.35">
      <c r="A1382">
        <v>1381</v>
      </c>
      <c r="B1382" t="s">
        <v>2</v>
      </c>
      <c r="C1382" t="s">
        <v>96</v>
      </c>
      <c r="D1382" t="s">
        <v>140</v>
      </c>
      <c r="E1382" s="2">
        <v>44174.66611111111</v>
      </c>
      <c r="F1382" s="2">
        <v>44174.670300925929</v>
      </c>
      <c r="G1382" s="3">
        <v>4.1898148192558438E-3</v>
      </c>
      <c r="H1382" s="3">
        <v>364.2050433984565</v>
      </c>
      <c r="I1382" s="3">
        <v>6.0700840566409413</v>
      </c>
      <c r="J1382" s="3">
        <v>0.10116806761068235</v>
      </c>
    </row>
    <row r="1383" spans="1:11" x14ac:dyDescent="0.35">
      <c r="A1383">
        <v>1382</v>
      </c>
      <c r="B1383" t="s">
        <v>2</v>
      </c>
      <c r="C1383" t="s">
        <v>132</v>
      </c>
      <c r="D1383" t="s">
        <v>140</v>
      </c>
      <c r="E1383" s="2">
        <v>44174.670497685183</v>
      </c>
      <c r="F1383" s="2">
        <v>44174.686412037037</v>
      </c>
      <c r="G1383" s="3">
        <v>1.5914351854007691E-2</v>
      </c>
      <c r="H1383" s="3">
        <v>1383.3755088671496</v>
      </c>
      <c r="I1383" s="3">
        <v>23.056258481119162</v>
      </c>
      <c r="J1383" s="3">
        <v>0.38427097468531934</v>
      </c>
      <c r="K1383" t="s">
        <v>40</v>
      </c>
    </row>
    <row r="1384" spans="1:11" x14ac:dyDescent="0.35">
      <c r="A1384">
        <v>1383</v>
      </c>
      <c r="B1384" t="s">
        <v>11</v>
      </c>
      <c r="C1384" t="s">
        <v>11</v>
      </c>
      <c r="D1384" t="s">
        <v>140</v>
      </c>
      <c r="E1384" s="2">
        <v>44174.745844907404</v>
      </c>
      <c r="F1384" s="2">
        <v>44174.808553240742</v>
      </c>
      <c r="G1384" s="3">
        <v>6.2708333338377997E-2</v>
      </c>
      <c r="H1384" s="3">
        <v>5451.002550276251</v>
      </c>
      <c r="I1384" s="3">
        <v>90.85004250460419</v>
      </c>
      <c r="J1384" s="3">
        <v>1.5141673750767366</v>
      </c>
    </row>
    <row r="1385" spans="1:11" x14ac:dyDescent="0.35">
      <c r="A1385">
        <v>1384</v>
      </c>
      <c r="B1385" t="s">
        <v>2</v>
      </c>
      <c r="C1385" t="s">
        <v>72</v>
      </c>
      <c r="D1385" t="s">
        <v>140</v>
      </c>
      <c r="E1385" s="2">
        <v>44175.330543981479</v>
      </c>
      <c r="F1385" s="2">
        <v>44175.343958333331</v>
      </c>
      <c r="G1385" s="3">
        <v>1.3414351851679385E-2</v>
      </c>
      <c r="H1385" s="3">
        <v>1166.0597923921578</v>
      </c>
      <c r="I1385" s="3">
        <v>19.434329873202628</v>
      </c>
      <c r="J1385" s="3">
        <v>0.32390549788671047</v>
      </c>
      <c r="K1385" t="s">
        <v>73</v>
      </c>
    </row>
    <row r="1386" spans="1:11" x14ac:dyDescent="0.35">
      <c r="A1386">
        <v>1385</v>
      </c>
      <c r="B1386" t="s">
        <v>2</v>
      </c>
      <c r="C1386" t="s">
        <v>96</v>
      </c>
      <c r="D1386" t="s">
        <v>140</v>
      </c>
      <c r="E1386" s="2">
        <v>44175.344050925924</v>
      </c>
      <c r="F1386" s="2">
        <v>44175.354131944441</v>
      </c>
      <c r="G1386" s="3">
        <v>1.0081018517666962E-2</v>
      </c>
      <c r="H1386" s="3">
        <v>876.30550396965941</v>
      </c>
      <c r="I1386" s="3">
        <v>14.605091732827656</v>
      </c>
      <c r="J1386" s="3">
        <v>0.2434181955471276</v>
      </c>
    </row>
    <row r="1387" spans="1:11" x14ac:dyDescent="0.35">
      <c r="A1387">
        <v>1386</v>
      </c>
      <c r="B1387" t="s">
        <v>2</v>
      </c>
      <c r="C1387" t="s">
        <v>96</v>
      </c>
      <c r="D1387" t="s">
        <v>140</v>
      </c>
      <c r="E1387" s="2">
        <v>44175.355011574073</v>
      </c>
      <c r="F1387" s="2">
        <v>44175.35633101852</v>
      </c>
      <c r="G1387" s="3">
        <v>1.3194444472901523E-3</v>
      </c>
      <c r="H1387" s="3">
        <v>114.69440605790614</v>
      </c>
      <c r="I1387" s="3">
        <v>1.9115734342984356</v>
      </c>
      <c r="J1387" s="3">
        <v>3.1859557238307259E-2</v>
      </c>
    </row>
    <row r="1388" spans="1:11" x14ac:dyDescent="0.35">
      <c r="A1388">
        <v>1387</v>
      </c>
      <c r="B1388" t="s">
        <v>2</v>
      </c>
      <c r="C1388" t="s">
        <v>96</v>
      </c>
      <c r="D1388" t="s">
        <v>140</v>
      </c>
      <c r="E1388" s="2">
        <v>44175.356516203705</v>
      </c>
      <c r="F1388" s="2">
        <v>44175.363217592596</v>
      </c>
      <c r="G1388" s="3">
        <v>6.701388891087845E-3</v>
      </c>
      <c r="H1388" s="3">
        <v>582.52685075520208</v>
      </c>
      <c r="I1388" s="3">
        <v>9.7087808459200353</v>
      </c>
      <c r="J1388" s="3">
        <v>0.16181301409866725</v>
      </c>
    </row>
    <row r="1389" spans="1:11" x14ac:dyDescent="0.35">
      <c r="A1389">
        <v>1388</v>
      </c>
      <c r="B1389" t="s">
        <v>2</v>
      </c>
      <c r="C1389" t="s">
        <v>96</v>
      </c>
      <c r="D1389" t="s">
        <v>140</v>
      </c>
      <c r="E1389" s="2">
        <v>44175.363437499997</v>
      </c>
      <c r="F1389" s="2">
        <v>44175.366631944446</v>
      </c>
      <c r="G1389" s="3">
        <v>3.1944444490363821E-3</v>
      </c>
      <c r="H1389" s="3">
        <v>277.68119341415002</v>
      </c>
      <c r="I1389" s="3">
        <v>4.6280198902358336</v>
      </c>
      <c r="J1389" s="3">
        <v>7.7133664837263888E-2</v>
      </c>
    </row>
    <row r="1390" spans="1:11" x14ac:dyDescent="0.35">
      <c r="A1390">
        <v>1389</v>
      </c>
      <c r="B1390" t="s">
        <v>2</v>
      </c>
      <c r="C1390" t="s">
        <v>96</v>
      </c>
      <c r="D1390" t="s">
        <v>140</v>
      </c>
      <c r="E1390" s="2">
        <v>44175.366782407407</v>
      </c>
      <c r="F1390" s="2">
        <v>44175.374143518522</v>
      </c>
      <c r="G1390" s="3">
        <v>7.3611111147329211E-3</v>
      </c>
      <c r="H1390" s="3">
        <v>639.87405378415519</v>
      </c>
      <c r="I1390" s="3">
        <v>10.664567563069253</v>
      </c>
      <c r="J1390" s="3">
        <v>0.1777427927178209</v>
      </c>
    </row>
    <row r="1391" spans="1:11" x14ac:dyDescent="0.35">
      <c r="A1391">
        <v>1390</v>
      </c>
      <c r="B1391" t="s">
        <v>2</v>
      </c>
      <c r="C1391" t="s">
        <v>72</v>
      </c>
      <c r="D1391" t="s">
        <v>140</v>
      </c>
      <c r="E1391" s="2">
        <v>44175.37427083333</v>
      </c>
      <c r="F1391" s="2">
        <v>44175.412974537037</v>
      </c>
      <c r="G1391" s="3">
        <v>3.8703703707142267E-2</v>
      </c>
      <c r="H1391" s="3">
        <v>3364.3692374080551</v>
      </c>
      <c r="I1391" s="3">
        <v>56.072820623467585</v>
      </c>
      <c r="J1391" s="3">
        <v>0.93454701039112642</v>
      </c>
      <c r="K1391" t="s">
        <v>73</v>
      </c>
    </row>
    <row r="1392" spans="1:11" x14ac:dyDescent="0.35">
      <c r="A1392">
        <v>1391</v>
      </c>
      <c r="B1392" t="s">
        <v>2</v>
      </c>
      <c r="C1392" t="s">
        <v>96</v>
      </c>
      <c r="D1392" t="s">
        <v>140</v>
      </c>
      <c r="E1392" s="2">
        <v>44175.413275462961</v>
      </c>
      <c r="F1392" s="2">
        <v>44175.415173611109</v>
      </c>
      <c r="G1392" s="3">
        <v>1.898148148029577E-3</v>
      </c>
      <c r="H1392" s="3">
        <v>164.9989697522233</v>
      </c>
      <c r="I1392" s="3">
        <v>2.7499828292037218</v>
      </c>
      <c r="J1392" s="3">
        <v>4.5833047153395361E-2</v>
      </c>
    </row>
    <row r="1393" spans="1:10" x14ac:dyDescent="0.35">
      <c r="A1393">
        <v>1392</v>
      </c>
      <c r="B1393" t="s">
        <v>11</v>
      </c>
      <c r="C1393" t="s">
        <v>11</v>
      </c>
      <c r="D1393" t="s">
        <v>140</v>
      </c>
      <c r="E1393" s="2">
        <v>44175.415300925924</v>
      </c>
      <c r="F1393" s="2">
        <v>44175.419895833336</v>
      </c>
      <c r="G1393" s="3">
        <v>4.5949074119562283E-3</v>
      </c>
      <c r="H1393" s="3">
        <v>399.41823817422011</v>
      </c>
      <c r="I1393" s="3">
        <v>6.656970636237002</v>
      </c>
      <c r="J1393" s="3">
        <v>0.11094951060395003</v>
      </c>
    </row>
    <row r="1394" spans="1:10" x14ac:dyDescent="0.35">
      <c r="A1394">
        <v>1393</v>
      </c>
      <c r="B1394" t="s">
        <v>2</v>
      </c>
      <c r="C1394" t="s">
        <v>96</v>
      </c>
      <c r="D1394" t="s">
        <v>140</v>
      </c>
      <c r="E1394" s="2">
        <v>44175.420416666668</v>
      </c>
      <c r="F1394" s="2">
        <v>44175.429340277777</v>
      </c>
      <c r="G1394" s="3">
        <v>8.923611108912155E-3</v>
      </c>
      <c r="H1394" s="3">
        <v>775.69637594855305</v>
      </c>
      <c r="I1394" s="3">
        <v>12.928272932475885</v>
      </c>
      <c r="J1394" s="3">
        <v>0.21547121554126475</v>
      </c>
    </row>
    <row r="1395" spans="1:10" x14ac:dyDescent="0.35">
      <c r="A1395">
        <v>1394</v>
      </c>
      <c r="B1395" t="s">
        <v>2</v>
      </c>
      <c r="C1395" t="s">
        <v>96</v>
      </c>
      <c r="D1395" t="s">
        <v>140</v>
      </c>
      <c r="E1395" s="2">
        <v>44175.429803240739</v>
      </c>
      <c r="F1395" s="2">
        <v>44175.441412037035</v>
      </c>
      <c r="G1395" s="3">
        <v>1.1608796296059154E-2</v>
      </c>
      <c r="H1395" s="3">
        <v>1009.1095528563242</v>
      </c>
      <c r="I1395" s="3">
        <v>16.818492547605402</v>
      </c>
      <c r="J1395" s="3">
        <v>0.28030820912675669</v>
      </c>
    </row>
    <row r="1396" spans="1:10" x14ac:dyDescent="0.35">
      <c r="A1396">
        <v>1395</v>
      </c>
      <c r="B1396" t="s">
        <v>2</v>
      </c>
      <c r="C1396" t="s">
        <v>96</v>
      </c>
      <c r="D1396" t="s">
        <v>140</v>
      </c>
      <c r="E1396" s="2">
        <v>44175.441527777781</v>
      </c>
      <c r="F1396" s="2">
        <v>44175.477187500001</v>
      </c>
      <c r="G1396" s="3">
        <v>3.5659722219861578E-2</v>
      </c>
      <c r="H1396" s="3">
        <v>3099.7672305164792</v>
      </c>
      <c r="I1396" s="3">
        <v>51.662787175274651</v>
      </c>
      <c r="J1396" s="3">
        <v>0.86104645292124415</v>
      </c>
    </row>
    <row r="1397" spans="1:10" x14ac:dyDescent="0.35">
      <c r="A1397">
        <v>1396</v>
      </c>
      <c r="B1397" t="s">
        <v>2</v>
      </c>
      <c r="C1397" t="s">
        <v>96</v>
      </c>
      <c r="D1397" t="s">
        <v>140</v>
      </c>
      <c r="E1397" s="2">
        <v>44175.477465277778</v>
      </c>
      <c r="F1397" s="2">
        <v>44175.479317129626</v>
      </c>
      <c r="G1397" s="3">
        <v>1.8518518481869251E-3</v>
      </c>
      <c r="H1397" s="3">
        <v>160.97460432779249</v>
      </c>
      <c r="I1397" s="3">
        <v>2.6829100721298746</v>
      </c>
      <c r="J1397" s="3">
        <v>4.4715167868831243E-2</v>
      </c>
    </row>
    <row r="1398" spans="1:10" x14ac:dyDescent="0.35">
      <c r="A1398">
        <v>1397</v>
      </c>
      <c r="B1398" t="s">
        <v>16</v>
      </c>
      <c r="C1398" t="s">
        <v>16</v>
      </c>
      <c r="D1398" t="s">
        <v>140</v>
      </c>
      <c r="E1398" s="2">
        <v>44175.479409722226</v>
      </c>
      <c r="F1398" s="2">
        <v>44175.491018518522</v>
      </c>
      <c r="G1398" s="3">
        <v>1.1608796296059154E-2</v>
      </c>
      <c r="H1398" s="3">
        <v>1009.1095528563242</v>
      </c>
      <c r="I1398" s="3">
        <v>16.818492547605402</v>
      </c>
      <c r="J1398" s="3">
        <v>0.28030820912675669</v>
      </c>
    </row>
    <row r="1399" spans="1:10" x14ac:dyDescent="0.35">
      <c r="A1399">
        <v>1398</v>
      </c>
      <c r="B1399" t="s">
        <v>16</v>
      </c>
      <c r="C1399" t="s">
        <v>16</v>
      </c>
      <c r="D1399" t="s">
        <v>140</v>
      </c>
      <c r="E1399" s="2">
        <v>44175.491111111114</v>
      </c>
      <c r="F1399" s="2">
        <v>44175.516539351855</v>
      </c>
      <c r="G1399" s="3">
        <v>2.5428240740438923E-2</v>
      </c>
      <c r="H1399" s="3">
        <v>2210.3825400242458</v>
      </c>
      <c r="I1399" s="3">
        <v>36.839709000404099</v>
      </c>
      <c r="J1399" s="3">
        <v>0.61399515000673499</v>
      </c>
    </row>
    <row r="1400" spans="1:10" x14ac:dyDescent="0.35">
      <c r="A1400">
        <v>1399</v>
      </c>
      <c r="B1400" t="s">
        <v>11</v>
      </c>
      <c r="C1400" t="s">
        <v>11</v>
      </c>
      <c r="D1400" t="s">
        <v>140</v>
      </c>
      <c r="E1400" s="2">
        <v>44175.517175925925</v>
      </c>
      <c r="F1400" s="2">
        <v>44175.523634259262</v>
      </c>
      <c r="G1400" s="3">
        <v>6.4583333369228058E-3</v>
      </c>
      <c r="H1400" s="3">
        <v>561.39893401623829</v>
      </c>
      <c r="I1400" s="3">
        <v>9.3566489002706383</v>
      </c>
      <c r="J1400" s="3">
        <v>0.15594414833784398</v>
      </c>
    </row>
    <row r="1401" spans="1:10" x14ac:dyDescent="0.35">
      <c r="A1401">
        <v>1400</v>
      </c>
      <c r="B1401" t="s">
        <v>2</v>
      </c>
      <c r="C1401" t="s">
        <v>96</v>
      </c>
      <c r="D1401" t="s">
        <v>140</v>
      </c>
      <c r="E1401" s="2">
        <v>44175.523796296293</v>
      </c>
      <c r="F1401" s="2">
        <v>44175.540960648148</v>
      </c>
      <c r="G1401" s="3">
        <v>1.7164351855171844E-2</v>
      </c>
      <c r="H1401" s="3">
        <v>1492.0333671046455</v>
      </c>
      <c r="I1401" s="3">
        <v>24.867222785077427</v>
      </c>
      <c r="J1401" s="3">
        <v>0.41445371308462381</v>
      </c>
    </row>
    <row r="1402" spans="1:10" x14ac:dyDescent="0.35">
      <c r="A1402">
        <v>1401</v>
      </c>
      <c r="B1402" t="s">
        <v>2</v>
      </c>
      <c r="C1402" t="s">
        <v>96</v>
      </c>
      <c r="D1402" t="s">
        <v>140</v>
      </c>
      <c r="E1402" s="2">
        <v>44175.541087962964</v>
      </c>
      <c r="F1402" s="2">
        <v>44175.569224537037</v>
      </c>
      <c r="G1402" s="3">
        <v>2.8136574073869269E-2</v>
      </c>
      <c r="H1402" s="3">
        <v>2445.807899327996</v>
      </c>
      <c r="I1402" s="3">
        <v>40.763464988799932</v>
      </c>
      <c r="J1402" s="3">
        <v>0.67939108314666552</v>
      </c>
    </row>
    <row r="1403" spans="1:10" x14ac:dyDescent="0.35">
      <c r="A1403">
        <v>1402</v>
      </c>
      <c r="B1403" t="s">
        <v>11</v>
      </c>
      <c r="C1403" t="s">
        <v>11</v>
      </c>
      <c r="D1403" t="s">
        <v>140</v>
      </c>
      <c r="E1403" s="2">
        <v>44175.569502314815</v>
      </c>
      <c r="F1403" s="2">
        <v>44175.58221064815</v>
      </c>
      <c r="G1403" s="3">
        <v>1.2708333335467614E-2</v>
      </c>
      <c r="H1403" s="3">
        <v>1104.6882245712459</v>
      </c>
      <c r="I1403" s="3">
        <v>18.411470409520764</v>
      </c>
      <c r="J1403" s="3">
        <v>0.3068578401586794</v>
      </c>
    </row>
    <row r="1404" spans="1:10" x14ac:dyDescent="0.35">
      <c r="A1404">
        <v>1403</v>
      </c>
      <c r="B1404" t="s">
        <v>2</v>
      </c>
      <c r="C1404" t="s">
        <v>96</v>
      </c>
      <c r="D1404" t="s">
        <v>140</v>
      </c>
      <c r="E1404" s="2">
        <v>44175.582465277781</v>
      </c>
      <c r="F1404" s="2">
        <v>44175.624791666669</v>
      </c>
      <c r="G1404" s="3">
        <v>4.2326388887886424E-2</v>
      </c>
      <c r="H1404" s="3">
        <v>3679.2758073614759</v>
      </c>
      <c r="I1404" s="3">
        <v>61.321263456024596</v>
      </c>
      <c r="J1404" s="3">
        <v>1.0220210576004098</v>
      </c>
    </row>
    <row r="1405" spans="1:10" x14ac:dyDescent="0.35">
      <c r="A1405">
        <v>1404</v>
      </c>
      <c r="B1405" t="s">
        <v>2</v>
      </c>
      <c r="C1405" t="s">
        <v>96</v>
      </c>
      <c r="D1405" t="s">
        <v>140</v>
      </c>
      <c r="E1405" s="2">
        <v>44175.624930555554</v>
      </c>
      <c r="F1405" s="2">
        <v>44175.62972222222</v>
      </c>
      <c r="G1405" s="3">
        <v>4.7916666662786156E-3</v>
      </c>
      <c r="H1405" s="3">
        <v>416.52178948875309</v>
      </c>
      <c r="I1405" s="3">
        <v>6.9420298248125514</v>
      </c>
      <c r="J1405" s="3">
        <v>0.11570049708020919</v>
      </c>
    </row>
    <row r="1406" spans="1:10" x14ac:dyDescent="0.35">
      <c r="A1406">
        <v>1405</v>
      </c>
      <c r="B1406" t="s">
        <v>2</v>
      </c>
      <c r="C1406" t="s">
        <v>96</v>
      </c>
      <c r="D1406" t="s">
        <v>140</v>
      </c>
      <c r="E1406" s="2">
        <v>44175.63009259259</v>
      </c>
      <c r="F1406" s="2">
        <v>44175.632870370369</v>
      </c>
      <c r="G1406" s="3">
        <v>2.7777777795563452E-3</v>
      </c>
      <c r="H1406" s="3">
        <v>241.46190712416072</v>
      </c>
      <c r="I1406" s="3">
        <v>4.0243651187360117</v>
      </c>
      <c r="J1406" s="3">
        <v>6.7072751978933531E-2</v>
      </c>
    </row>
    <row r="1407" spans="1:10" x14ac:dyDescent="0.35">
      <c r="A1407">
        <v>1406</v>
      </c>
      <c r="B1407" t="s">
        <v>2</v>
      </c>
      <c r="C1407" t="s">
        <v>96</v>
      </c>
      <c r="D1407" t="s">
        <v>140</v>
      </c>
      <c r="E1407" s="2">
        <v>44175.633206018516</v>
      </c>
      <c r="F1407" s="2">
        <v>44175.670370370368</v>
      </c>
      <c r="G1407" s="3">
        <v>3.7164351851970423E-2</v>
      </c>
      <c r="H1407" s="3">
        <v>3230.5590970071644</v>
      </c>
      <c r="I1407" s="3">
        <v>53.842651616786071</v>
      </c>
      <c r="J1407" s="3">
        <v>0.89737752694643447</v>
      </c>
    </row>
    <row r="1408" spans="1:10" x14ac:dyDescent="0.35">
      <c r="A1408">
        <v>1407</v>
      </c>
      <c r="B1408" t="s">
        <v>2</v>
      </c>
      <c r="C1408" t="s">
        <v>96</v>
      </c>
      <c r="D1408" t="s">
        <v>140</v>
      </c>
      <c r="E1408" s="2">
        <v>44175.670590277776</v>
      </c>
      <c r="F1408" s="2">
        <v>44175.698229166665</v>
      </c>
      <c r="G1408" s="3">
        <v>2.7638888888759539E-2</v>
      </c>
      <c r="H1408" s="3">
        <v>2402.5459743358429</v>
      </c>
      <c r="I1408" s="3">
        <v>40.04243290559738</v>
      </c>
      <c r="J1408" s="3">
        <v>0.66737388175995638</v>
      </c>
    </row>
    <row r="1409" spans="1:11" x14ac:dyDescent="0.35">
      <c r="A1409">
        <v>1408</v>
      </c>
      <c r="B1409" t="s">
        <v>2</v>
      </c>
      <c r="C1409" t="s">
        <v>96</v>
      </c>
      <c r="D1409" t="s">
        <v>140</v>
      </c>
      <c r="E1409" s="2">
        <v>44175.698333333334</v>
      </c>
      <c r="F1409" s="2">
        <v>44175.710787037038</v>
      </c>
      <c r="G1409" s="3">
        <v>1.2453703704522923E-2</v>
      </c>
      <c r="H1409" s="3">
        <v>1082.5542163180564</v>
      </c>
      <c r="I1409" s="3">
        <v>18.042570271967609</v>
      </c>
      <c r="J1409" s="3">
        <v>0.30070950453279349</v>
      </c>
    </row>
    <row r="1410" spans="1:11" x14ac:dyDescent="0.35">
      <c r="A1410">
        <v>1409</v>
      </c>
      <c r="B1410" t="s">
        <v>16</v>
      </c>
      <c r="C1410" t="s">
        <v>16</v>
      </c>
      <c r="D1410" t="s">
        <v>140</v>
      </c>
      <c r="E1410" s="2">
        <v>44175.711006944446</v>
      </c>
      <c r="F1410" s="2">
        <v>44175.720590277779</v>
      </c>
      <c r="G1410" s="3">
        <v>9.5833333325572312E-3</v>
      </c>
      <c r="H1410" s="3">
        <v>833.04357897750617</v>
      </c>
      <c r="I1410" s="3">
        <v>13.884059649625103</v>
      </c>
      <c r="J1410" s="3">
        <v>0.23140099416041837</v>
      </c>
    </row>
    <row r="1411" spans="1:11" x14ac:dyDescent="0.35">
      <c r="A1411">
        <v>1410</v>
      </c>
      <c r="B1411" t="s">
        <v>2</v>
      </c>
      <c r="C1411" t="s">
        <v>96</v>
      </c>
      <c r="D1411" t="s">
        <v>140</v>
      </c>
      <c r="E1411" s="2">
        <v>44175.720879629633</v>
      </c>
      <c r="F1411" s="2">
        <v>44175.750775462962</v>
      </c>
      <c r="G1411" s="3">
        <v>2.9895833329646848E-2</v>
      </c>
      <c r="H1411" s="3">
        <v>2598.7337734393991</v>
      </c>
      <c r="I1411" s="3">
        <v>43.31222955732332</v>
      </c>
      <c r="J1411" s="3">
        <v>0.72187049262205538</v>
      </c>
    </row>
    <row r="1412" spans="1:11" x14ac:dyDescent="0.35">
      <c r="A1412">
        <v>1411</v>
      </c>
      <c r="B1412" t="s">
        <v>2</v>
      </c>
      <c r="C1412" t="s">
        <v>96</v>
      </c>
      <c r="D1412" t="s">
        <v>140</v>
      </c>
      <c r="E1412" s="2">
        <v>44175.751076388886</v>
      </c>
      <c r="F1412" s="2">
        <v>44175.766284722224</v>
      </c>
      <c r="G1412" s="3">
        <v>1.5208333337795921E-2</v>
      </c>
      <c r="H1412" s="3">
        <v>1322.0039410462377</v>
      </c>
      <c r="I1412" s="3">
        <v>22.033399017437297</v>
      </c>
      <c r="J1412" s="3">
        <v>0.36722331695728827</v>
      </c>
    </row>
    <row r="1413" spans="1:11" x14ac:dyDescent="0.35">
      <c r="A1413">
        <v>1412</v>
      </c>
      <c r="B1413" t="s">
        <v>2</v>
      </c>
      <c r="C1413" t="s">
        <v>96</v>
      </c>
      <c r="D1413" t="s">
        <v>140</v>
      </c>
      <c r="E1413" s="2">
        <v>44175.792916666665</v>
      </c>
      <c r="F1413" s="2">
        <v>44175.802511574075</v>
      </c>
      <c r="G1413" s="3">
        <v>9.5949074093368836E-3</v>
      </c>
      <c r="H1413" s="3">
        <v>834.04967049173183</v>
      </c>
      <c r="I1413" s="3">
        <v>13.900827841528864</v>
      </c>
      <c r="J1413" s="3">
        <v>0.23168046402548106</v>
      </c>
    </row>
    <row r="1414" spans="1:11" x14ac:dyDescent="0.35">
      <c r="A1414">
        <v>1413</v>
      </c>
      <c r="B1414" t="s">
        <v>11</v>
      </c>
      <c r="C1414" t="s">
        <v>11</v>
      </c>
      <c r="D1414" t="s">
        <v>140</v>
      </c>
      <c r="E1414" s="2">
        <v>44176.278749999998</v>
      </c>
      <c r="F1414" s="2">
        <v>44176.291574074072</v>
      </c>
      <c r="G1414" s="3">
        <v>1.2824074074160308E-2</v>
      </c>
      <c r="H1414" s="3">
        <v>1114.7491371836149</v>
      </c>
      <c r="I1414" s="3">
        <v>18.579152286393583</v>
      </c>
      <c r="J1414" s="3">
        <v>0.30965253810655974</v>
      </c>
    </row>
    <row r="1415" spans="1:11" x14ac:dyDescent="0.35">
      <c r="A1415">
        <v>1414</v>
      </c>
      <c r="B1415" t="s">
        <v>2</v>
      </c>
      <c r="C1415" t="s">
        <v>72</v>
      </c>
      <c r="D1415" t="s">
        <v>140</v>
      </c>
      <c r="E1415" s="2">
        <v>44176.291678240741</v>
      </c>
      <c r="F1415" s="2">
        <v>44176.310706018521</v>
      </c>
      <c r="G1415" s="3">
        <v>1.9027777780138422E-2</v>
      </c>
      <c r="H1415" s="3">
        <v>1654.0140629466639</v>
      </c>
      <c r="I1415" s="3">
        <v>27.566901049111063</v>
      </c>
      <c r="J1415" s="3">
        <v>0.4594483508185177</v>
      </c>
      <c r="K1415" t="s">
        <v>73</v>
      </c>
    </row>
    <row r="1416" spans="1:11" x14ac:dyDescent="0.35">
      <c r="A1416">
        <v>1415</v>
      </c>
      <c r="B1416" t="s">
        <v>16</v>
      </c>
      <c r="C1416" t="s">
        <v>16</v>
      </c>
      <c r="D1416" t="s">
        <v>140</v>
      </c>
      <c r="E1416" s="2">
        <v>44176.31082175926</v>
      </c>
      <c r="F1416" s="2">
        <v>44176.327557870369</v>
      </c>
      <c r="G1416" s="3">
        <v>1.6736111108912155E-2</v>
      </c>
      <c r="H1416" s="3">
        <v>1454.8079893004306</v>
      </c>
      <c r="I1416" s="3">
        <v>24.246799821673843</v>
      </c>
      <c r="J1416" s="3">
        <v>0.4041133303612307</v>
      </c>
    </row>
    <row r="1417" spans="1:11" x14ac:dyDescent="0.35">
      <c r="A1417">
        <v>1416</v>
      </c>
      <c r="B1417" t="s">
        <v>11</v>
      </c>
      <c r="C1417" t="s">
        <v>11</v>
      </c>
      <c r="D1417" t="s">
        <v>140</v>
      </c>
      <c r="E1417" s="2">
        <v>44176.327708333331</v>
      </c>
      <c r="F1417" s="2">
        <v>44176.334305555552</v>
      </c>
      <c r="G1417" s="3">
        <v>6.5972222218988463E-3</v>
      </c>
      <c r="H1417" s="3">
        <v>573.47202902458673</v>
      </c>
      <c r="I1417" s="3">
        <v>9.5578671504097787</v>
      </c>
      <c r="J1417" s="3">
        <v>0.15929778584016299</v>
      </c>
    </row>
    <row r="1418" spans="1:11" x14ac:dyDescent="0.35">
      <c r="A1418">
        <v>1417</v>
      </c>
      <c r="B1418" t="s">
        <v>2</v>
      </c>
      <c r="C1418" t="s">
        <v>96</v>
      </c>
      <c r="D1418" t="s">
        <v>140</v>
      </c>
      <c r="E1418" s="2">
        <v>44176.33452546296</v>
      </c>
      <c r="F1418" s="2">
        <v>44176.353819444441</v>
      </c>
      <c r="G1418" s="3">
        <v>1.9293981480586808E-2</v>
      </c>
      <c r="H1418" s="3">
        <v>1677.154162081607</v>
      </c>
      <c r="I1418" s="3">
        <v>27.952569368026783</v>
      </c>
      <c r="J1418" s="3">
        <v>0.4658761561337797</v>
      </c>
    </row>
    <row r="1419" spans="1:11" x14ac:dyDescent="0.35">
      <c r="A1419">
        <v>1418</v>
      </c>
      <c r="B1419" t="s">
        <v>2</v>
      </c>
      <c r="C1419" t="s">
        <v>72</v>
      </c>
      <c r="D1419" t="s">
        <v>140</v>
      </c>
      <c r="E1419" s="2">
        <v>44176.353981481479</v>
      </c>
      <c r="F1419" s="2">
        <v>44176.375150462962</v>
      </c>
      <c r="G1419" s="3">
        <v>2.1168981482333038E-2</v>
      </c>
      <c r="H1419" s="3">
        <v>1840.1409494378508</v>
      </c>
      <c r="I1419" s="3">
        <v>30.66901582396418</v>
      </c>
      <c r="J1419" s="3">
        <v>0.51115026373273631</v>
      </c>
      <c r="K1419" t="s">
        <v>73</v>
      </c>
    </row>
    <row r="1420" spans="1:11" x14ac:dyDescent="0.35">
      <c r="A1420">
        <v>1419</v>
      </c>
      <c r="B1420" t="s">
        <v>2</v>
      </c>
      <c r="C1420" t="s">
        <v>96</v>
      </c>
      <c r="D1420" t="s">
        <v>140</v>
      </c>
      <c r="E1420" s="2">
        <v>44176.3752662037</v>
      </c>
      <c r="F1420" s="2">
        <v>44176.393506944441</v>
      </c>
      <c r="G1420" s="3">
        <v>1.8240740741021E-2</v>
      </c>
      <c r="H1420" s="3">
        <v>1585.5998557911159</v>
      </c>
      <c r="I1420" s="3">
        <v>26.426664263185266</v>
      </c>
      <c r="J1420" s="3">
        <v>0.44044440438642113</v>
      </c>
    </row>
    <row r="1421" spans="1:11" x14ac:dyDescent="0.35">
      <c r="A1421">
        <v>1420</v>
      </c>
      <c r="B1421" t="s">
        <v>11</v>
      </c>
      <c r="C1421" t="s">
        <v>11</v>
      </c>
      <c r="D1421" t="s">
        <v>140</v>
      </c>
      <c r="E1421" s="2">
        <v>44176.393576388888</v>
      </c>
      <c r="F1421" s="2">
        <v>44176.395439814813</v>
      </c>
      <c r="G1421" s="3">
        <v>1.8634259249665774E-3</v>
      </c>
      <c r="H1421" s="3">
        <v>161.98069584201821</v>
      </c>
      <c r="I1421" s="3">
        <v>2.6996782640336368</v>
      </c>
      <c r="J1421" s="3">
        <v>4.4994637733893943E-2</v>
      </c>
    </row>
    <row r="1422" spans="1:11" x14ac:dyDescent="0.35">
      <c r="A1422">
        <v>1421</v>
      </c>
      <c r="B1422" t="s">
        <v>2</v>
      </c>
      <c r="C1422" t="s">
        <v>96</v>
      </c>
      <c r="D1422" t="s">
        <v>140</v>
      </c>
      <c r="E1422" s="2">
        <v>44176.395578703705</v>
      </c>
      <c r="F1422" s="2">
        <v>44176.396435185183</v>
      </c>
      <c r="G1422" s="3">
        <v>8.5648147796746343E-4</v>
      </c>
      <c r="H1422" s="3">
        <v>74.450754343486039</v>
      </c>
      <c r="I1422" s="3">
        <v>1.2408459057247674</v>
      </c>
      <c r="J1422" s="3">
        <v>2.0680765095412789E-2</v>
      </c>
    </row>
    <row r="1423" spans="1:11" x14ac:dyDescent="0.35">
      <c r="A1423">
        <v>1422</v>
      </c>
      <c r="B1423" t="s">
        <v>2</v>
      </c>
      <c r="C1423" t="s">
        <v>96</v>
      </c>
      <c r="D1423" t="s">
        <v>140</v>
      </c>
      <c r="E1423" s="2">
        <v>44176.396631944444</v>
      </c>
      <c r="F1423" s="2">
        <v>44176.416006944448</v>
      </c>
      <c r="G1423" s="3">
        <v>1.937500000349246E-2</v>
      </c>
      <c r="H1423" s="3">
        <v>1684.196801416243</v>
      </c>
      <c r="I1423" s="3">
        <v>28.069946690270719</v>
      </c>
      <c r="J1423" s="3">
        <v>0.46783244483784531</v>
      </c>
    </row>
    <row r="1424" spans="1:11" x14ac:dyDescent="0.35">
      <c r="A1424">
        <v>1423</v>
      </c>
      <c r="B1424" t="s">
        <v>2</v>
      </c>
      <c r="C1424" t="s">
        <v>72</v>
      </c>
      <c r="D1424" t="s">
        <v>140</v>
      </c>
      <c r="E1424" s="2">
        <v>44176.416134259256</v>
      </c>
      <c r="F1424" s="2">
        <v>44176.459224537037</v>
      </c>
      <c r="G1424" s="3">
        <v>4.3090277780720498E-2</v>
      </c>
      <c r="H1424" s="3">
        <v>3745.6778321210445</v>
      </c>
      <c r="I1424" s="3">
        <v>62.427963868684074</v>
      </c>
      <c r="J1424" s="3">
        <v>1.0404660644780679</v>
      </c>
      <c r="K1424" t="s">
        <v>73</v>
      </c>
    </row>
    <row r="1425" spans="1:11" x14ac:dyDescent="0.35">
      <c r="A1425">
        <v>1424</v>
      </c>
      <c r="B1425" t="s">
        <v>2</v>
      </c>
      <c r="C1425" t="s">
        <v>96</v>
      </c>
      <c r="D1425" t="s">
        <v>140</v>
      </c>
      <c r="E1425" s="2">
        <v>44176.459398148145</v>
      </c>
      <c r="F1425" s="2">
        <v>44176.465856481482</v>
      </c>
      <c r="G1425" s="3">
        <v>6.4583333369228058E-3</v>
      </c>
      <c r="H1425" s="3">
        <v>561.39893401623829</v>
      </c>
      <c r="I1425" s="3">
        <v>9.3566489002706383</v>
      </c>
      <c r="J1425" s="3">
        <v>0.15594414833784398</v>
      </c>
    </row>
    <row r="1426" spans="1:11" x14ac:dyDescent="0.35">
      <c r="A1426">
        <v>1425</v>
      </c>
      <c r="B1426" t="s">
        <v>16</v>
      </c>
      <c r="C1426" t="s">
        <v>16</v>
      </c>
      <c r="D1426" t="s">
        <v>140</v>
      </c>
      <c r="E1426" s="2">
        <v>44176.466053240743</v>
      </c>
      <c r="F1426" s="2">
        <v>44176.47965277778</v>
      </c>
      <c r="G1426" s="3">
        <v>1.3599537036498077E-2</v>
      </c>
      <c r="H1426" s="3">
        <v>1182.1572528249371</v>
      </c>
      <c r="I1426" s="3">
        <v>19.702620880415619</v>
      </c>
      <c r="J1426" s="3">
        <v>0.32837701467359365</v>
      </c>
    </row>
    <row r="1427" spans="1:11" x14ac:dyDescent="0.35">
      <c r="A1427">
        <v>1426</v>
      </c>
      <c r="B1427" t="s">
        <v>11</v>
      </c>
      <c r="C1427" t="s">
        <v>11</v>
      </c>
      <c r="D1427" t="s">
        <v>140</v>
      </c>
      <c r="E1427" s="2">
        <v>44176.479768518519</v>
      </c>
      <c r="F1427" s="2">
        <v>44176.48170138889</v>
      </c>
      <c r="G1427" s="3">
        <v>1.9328703710925765E-3</v>
      </c>
      <c r="H1427" s="3">
        <v>168.0172436624284</v>
      </c>
      <c r="I1427" s="3">
        <v>2.8002873943738065</v>
      </c>
      <c r="J1427" s="3">
        <v>4.6671456572896772E-2</v>
      </c>
    </row>
    <row r="1428" spans="1:11" x14ac:dyDescent="0.35">
      <c r="A1428">
        <v>1427</v>
      </c>
      <c r="B1428" t="s">
        <v>2</v>
      </c>
      <c r="C1428" t="s">
        <v>96</v>
      </c>
      <c r="D1428" t="s">
        <v>140</v>
      </c>
      <c r="E1428" s="2">
        <v>44176.481921296298</v>
      </c>
      <c r="F1428" s="2">
        <v>44176.487569444442</v>
      </c>
      <c r="G1428" s="3">
        <v>5.648148144246079E-3</v>
      </c>
      <c r="H1428" s="3">
        <v>490.97254383223913</v>
      </c>
      <c r="I1428" s="3">
        <v>8.1828757305373188</v>
      </c>
      <c r="J1428" s="3">
        <v>0.13638126217562199</v>
      </c>
    </row>
    <row r="1429" spans="1:11" x14ac:dyDescent="0.35">
      <c r="A1429">
        <v>1428</v>
      </c>
      <c r="B1429" t="s">
        <v>2</v>
      </c>
      <c r="C1429" t="s">
        <v>96</v>
      </c>
      <c r="D1429" t="s">
        <v>140</v>
      </c>
      <c r="E1429" s="2">
        <v>44176.487800925926</v>
      </c>
      <c r="F1429" s="2">
        <v>44176.491805555554</v>
      </c>
      <c r="G1429" s="3">
        <v>4.0046296271611936E-3</v>
      </c>
      <c r="H1429" s="3">
        <v>348.10758233320524</v>
      </c>
      <c r="I1429" s="3">
        <v>5.8017930388867542</v>
      </c>
      <c r="J1429" s="3">
        <v>9.669655064811257E-2</v>
      </c>
    </row>
    <row r="1430" spans="1:11" x14ac:dyDescent="0.35">
      <c r="A1430">
        <v>1429</v>
      </c>
      <c r="B1430" t="s">
        <v>16</v>
      </c>
      <c r="C1430" t="s">
        <v>16</v>
      </c>
      <c r="D1430" t="s">
        <v>140</v>
      </c>
      <c r="E1430" s="2">
        <v>44176.491909722223</v>
      </c>
      <c r="F1430" s="2">
        <v>44176.495196759257</v>
      </c>
      <c r="G1430" s="3">
        <v>3.2870370341697708E-3</v>
      </c>
      <c r="H1430" s="3">
        <v>285.72992299806771</v>
      </c>
      <c r="I1430" s="3">
        <v>4.7621653833011282</v>
      </c>
      <c r="J1430" s="3">
        <v>7.9369423055018803E-2</v>
      </c>
    </row>
    <row r="1431" spans="1:11" x14ac:dyDescent="0.35">
      <c r="A1431">
        <v>1430</v>
      </c>
      <c r="B1431" t="s">
        <v>16</v>
      </c>
      <c r="C1431" t="s">
        <v>16</v>
      </c>
      <c r="D1431" t="s">
        <v>140</v>
      </c>
      <c r="E1431" s="2">
        <v>44176.495300925926</v>
      </c>
      <c r="F1431" s="2">
        <v>44176.532164351855</v>
      </c>
      <c r="G1431" s="3">
        <v>3.6863425928459037E-2</v>
      </c>
      <c r="H1431" s="3">
        <v>3204.4007239620164</v>
      </c>
      <c r="I1431" s="3">
        <v>53.406678732700271</v>
      </c>
      <c r="J1431" s="3">
        <v>0.89011131221167117</v>
      </c>
    </row>
    <row r="1432" spans="1:11" x14ac:dyDescent="0.35">
      <c r="A1432">
        <v>1431</v>
      </c>
      <c r="B1432" t="s">
        <v>11</v>
      </c>
      <c r="C1432" t="s">
        <v>11</v>
      </c>
      <c r="D1432" t="s">
        <v>140</v>
      </c>
      <c r="E1432" s="2">
        <v>44176.532337962963</v>
      </c>
      <c r="F1432" s="2">
        <v>44176.53702546296</v>
      </c>
      <c r="G1432" s="3">
        <v>4.687499997089617E-3</v>
      </c>
      <c r="H1432" s="3">
        <v>407.46696775813774</v>
      </c>
      <c r="I1432" s="3">
        <v>6.7911161293022957</v>
      </c>
      <c r="J1432" s="3">
        <v>0.11318526882170493</v>
      </c>
    </row>
    <row r="1433" spans="1:11" x14ac:dyDescent="0.35">
      <c r="A1433">
        <v>1432</v>
      </c>
      <c r="B1433" t="s">
        <v>11</v>
      </c>
      <c r="C1433" t="s">
        <v>11</v>
      </c>
      <c r="D1433" t="s">
        <v>140</v>
      </c>
      <c r="E1433" s="2">
        <v>44176.537222222221</v>
      </c>
      <c r="F1433" s="2">
        <v>44176.549803240741</v>
      </c>
      <c r="G1433" s="3">
        <v>1.2581018519995268E-2</v>
      </c>
      <c r="H1433" s="3">
        <v>1093.6212204446513</v>
      </c>
      <c r="I1433" s="3">
        <v>18.227020340744186</v>
      </c>
      <c r="J1433" s="3">
        <v>0.30378367234573644</v>
      </c>
    </row>
    <row r="1434" spans="1:11" x14ac:dyDescent="0.35">
      <c r="A1434">
        <v>1433</v>
      </c>
      <c r="B1434" t="s">
        <v>2</v>
      </c>
      <c r="C1434" t="s">
        <v>132</v>
      </c>
      <c r="D1434" t="s">
        <v>140</v>
      </c>
      <c r="E1434" s="2">
        <v>44176.549953703703</v>
      </c>
      <c r="F1434" s="2">
        <v>44176.55809027778</v>
      </c>
      <c r="G1434" s="3">
        <v>8.1365740770706907E-3</v>
      </c>
      <c r="H1434" s="3">
        <v>707.28216942547726</v>
      </c>
      <c r="I1434" s="3">
        <v>11.788036157091287</v>
      </c>
      <c r="J1434" s="3">
        <v>0.19646726928485478</v>
      </c>
      <c r="K1434" t="s">
        <v>40</v>
      </c>
    </row>
    <row r="1435" spans="1:11" x14ac:dyDescent="0.35">
      <c r="A1435">
        <v>1434</v>
      </c>
      <c r="B1435" t="s">
        <v>2</v>
      </c>
      <c r="C1435" t="s">
        <v>132</v>
      </c>
      <c r="D1435" t="s">
        <v>140</v>
      </c>
      <c r="E1435" s="2">
        <v>44176.558275462965</v>
      </c>
      <c r="F1435" s="2">
        <v>44176.569965277777</v>
      </c>
      <c r="G1435" s="3">
        <v>1.1689814811688848E-2</v>
      </c>
      <c r="H1435" s="3">
        <v>1016.1521915584881</v>
      </c>
      <c r="I1435" s="3">
        <v>16.935869859308134</v>
      </c>
      <c r="J1435" s="3">
        <v>0.28226449765513556</v>
      </c>
      <c r="K1435" t="s">
        <v>42</v>
      </c>
    </row>
    <row r="1436" spans="1:11" x14ac:dyDescent="0.35">
      <c r="A1436">
        <v>1435</v>
      </c>
      <c r="B1436" t="s">
        <v>11</v>
      </c>
      <c r="C1436" t="s">
        <v>11</v>
      </c>
      <c r="D1436" t="s">
        <v>140</v>
      </c>
      <c r="E1436" s="2">
        <v>44176.570057870369</v>
      </c>
      <c r="F1436" s="2">
        <v>44176.571979166663</v>
      </c>
      <c r="G1436" s="3">
        <v>1.9212962943129241E-3</v>
      </c>
      <c r="H1436" s="3">
        <v>167.01115214820271</v>
      </c>
      <c r="I1436" s="3">
        <v>2.7835192024700453</v>
      </c>
      <c r="J1436" s="3">
        <v>4.6391986707834086E-2</v>
      </c>
    </row>
    <row r="1437" spans="1:11" x14ac:dyDescent="0.35">
      <c r="A1437">
        <v>1436</v>
      </c>
      <c r="B1437" t="s">
        <v>2</v>
      </c>
      <c r="C1437" t="s">
        <v>132</v>
      </c>
      <c r="D1437" t="s">
        <v>140</v>
      </c>
      <c r="E1437" s="2">
        <v>44176.572291666664</v>
      </c>
      <c r="F1437" s="2">
        <v>44176.580023148148</v>
      </c>
      <c r="G1437" s="3">
        <v>7.7314814843703061E-3</v>
      </c>
      <c r="H1437" s="3">
        <v>672.0689746497136</v>
      </c>
      <c r="I1437" s="3">
        <v>11.201149577495226</v>
      </c>
      <c r="J1437" s="3">
        <v>0.18668582629158709</v>
      </c>
      <c r="K1437" t="s">
        <v>41</v>
      </c>
    </row>
    <row r="1438" spans="1:11" x14ac:dyDescent="0.35">
      <c r="A1438">
        <v>1437</v>
      </c>
      <c r="B1438" t="s">
        <v>2</v>
      </c>
      <c r="C1438" t="s">
        <v>96</v>
      </c>
      <c r="D1438" t="s">
        <v>140</v>
      </c>
      <c r="E1438" s="2">
        <v>44176.580138888887</v>
      </c>
      <c r="F1438" s="2">
        <v>44176.584513888891</v>
      </c>
      <c r="G1438" s="3">
        <v>4.3750000040745363E-3</v>
      </c>
      <c r="H1438" s="3">
        <v>380.30250383123575</v>
      </c>
      <c r="I1438" s="3">
        <v>6.3383750638539293</v>
      </c>
      <c r="J1438" s="3">
        <v>0.10563958439756549</v>
      </c>
    </row>
    <row r="1439" spans="1:11" x14ac:dyDescent="0.35">
      <c r="A1439">
        <v>1438</v>
      </c>
      <c r="B1439" t="s">
        <v>2</v>
      </c>
      <c r="C1439" t="s">
        <v>132</v>
      </c>
      <c r="D1439" t="s">
        <v>140</v>
      </c>
      <c r="E1439" s="2">
        <v>44176.584687499999</v>
      </c>
      <c r="F1439" s="2">
        <v>44176.586550925924</v>
      </c>
      <c r="G1439" s="3">
        <v>1.8634259249665774E-3</v>
      </c>
      <c r="H1439" s="3">
        <v>161.98069584201821</v>
      </c>
      <c r="I1439" s="3">
        <v>2.6996782640336368</v>
      </c>
      <c r="J1439" s="3">
        <v>4.4994637733893943E-2</v>
      </c>
      <c r="K1439" t="s">
        <v>40</v>
      </c>
    </row>
    <row r="1440" spans="1:11" x14ac:dyDescent="0.35">
      <c r="A1440">
        <v>1439</v>
      </c>
      <c r="B1440" t="s">
        <v>16</v>
      </c>
      <c r="C1440" t="s">
        <v>16</v>
      </c>
      <c r="D1440" t="s">
        <v>140</v>
      </c>
      <c r="E1440" s="2">
        <v>44176.586643518516</v>
      </c>
      <c r="F1440" s="2">
        <v>44176.624988425923</v>
      </c>
      <c r="G1440" s="3">
        <v>3.8344907407008577E-2</v>
      </c>
      <c r="H1440" s="3">
        <v>3333.1804074242505</v>
      </c>
      <c r="I1440" s="3">
        <v>55.553006790404176</v>
      </c>
      <c r="J1440" s="3">
        <v>0.92588344650673626</v>
      </c>
    </row>
    <row r="1441" spans="1:11" x14ac:dyDescent="0.35">
      <c r="A1441">
        <v>1440</v>
      </c>
      <c r="B1441" t="s">
        <v>2</v>
      </c>
      <c r="C1441" t="s">
        <v>96</v>
      </c>
      <c r="D1441" t="s">
        <v>140</v>
      </c>
      <c r="E1441" s="2">
        <v>44176.625162037039</v>
      </c>
      <c r="F1441" s="2">
        <v>44176.628263888888</v>
      </c>
      <c r="G1441" s="3">
        <v>3.1018518493510783E-3</v>
      </c>
      <c r="H1441" s="3">
        <v>269.63246256528845</v>
      </c>
      <c r="I1441" s="3">
        <v>4.493874376088141</v>
      </c>
      <c r="J1441" s="3">
        <v>7.4897906268135681E-2</v>
      </c>
    </row>
    <row r="1442" spans="1:11" x14ac:dyDescent="0.35">
      <c r="A1442">
        <v>1441</v>
      </c>
      <c r="B1442" t="s">
        <v>2</v>
      </c>
      <c r="C1442" t="s">
        <v>132</v>
      </c>
      <c r="D1442" t="s">
        <v>140</v>
      </c>
      <c r="E1442" s="2">
        <v>44176.628495370373</v>
      </c>
      <c r="F1442" s="2">
        <v>44176.66673611111</v>
      </c>
      <c r="G1442" s="3">
        <v>3.8240740737819578E-2</v>
      </c>
      <c r="H1442" s="3">
        <v>3324.125585693635</v>
      </c>
      <c r="I1442" s="3">
        <v>55.402093094893914</v>
      </c>
      <c r="J1442" s="3">
        <v>0.9233682182482319</v>
      </c>
      <c r="K1442" t="s">
        <v>40</v>
      </c>
    </row>
    <row r="1443" spans="1:11" x14ac:dyDescent="0.35">
      <c r="A1443">
        <v>1442</v>
      </c>
      <c r="B1443" t="s">
        <v>16</v>
      </c>
      <c r="C1443" t="s">
        <v>16</v>
      </c>
      <c r="D1443" t="s">
        <v>140</v>
      </c>
      <c r="E1443" s="2">
        <v>44176.667164351849</v>
      </c>
      <c r="F1443" s="2">
        <v>44176.669560185182</v>
      </c>
      <c r="G1443" s="3">
        <v>2.3958333331393078E-3</v>
      </c>
      <c r="H1443" s="3">
        <v>208.26089474437654</v>
      </c>
      <c r="I1443" s="3">
        <v>3.4710149124062757</v>
      </c>
      <c r="J1443" s="3">
        <v>5.7850248540104593E-2</v>
      </c>
    </row>
    <row r="1444" spans="1:11" x14ac:dyDescent="0.35">
      <c r="A1444">
        <v>1443</v>
      </c>
      <c r="B1444" t="s">
        <v>2</v>
      </c>
      <c r="C1444" t="s">
        <v>96</v>
      </c>
      <c r="D1444" t="s">
        <v>140</v>
      </c>
      <c r="E1444" s="2">
        <v>44176.66978009259</v>
      </c>
      <c r="F1444" s="2">
        <v>44176.671550925923</v>
      </c>
      <c r="G1444" s="3">
        <v>1.7708333325572312E-3</v>
      </c>
      <c r="H1444" s="3">
        <v>153.93196562562858</v>
      </c>
      <c r="I1444" s="3">
        <v>2.5655327604271432</v>
      </c>
      <c r="J1444" s="3">
        <v>4.2758879340452388E-2</v>
      </c>
    </row>
    <row r="1445" spans="1:11" x14ac:dyDescent="0.35">
      <c r="A1445">
        <v>1444</v>
      </c>
      <c r="B1445" t="s">
        <v>2</v>
      </c>
      <c r="C1445" t="s">
        <v>132</v>
      </c>
      <c r="D1445" t="s">
        <v>140</v>
      </c>
      <c r="E1445" s="2">
        <v>44176.671736111108</v>
      </c>
      <c r="F1445" s="2">
        <v>44176.678599537037</v>
      </c>
      <c r="G1445" s="3">
        <v>6.8634259296231903E-3</v>
      </c>
      <c r="H1445" s="3">
        <v>596.61212879200195</v>
      </c>
      <c r="I1445" s="3">
        <v>9.9435354798666999</v>
      </c>
      <c r="J1445" s="3">
        <v>0.16572559133111167</v>
      </c>
      <c r="K1445" t="s">
        <v>42</v>
      </c>
    </row>
    <row r="1446" spans="1:11" x14ac:dyDescent="0.35">
      <c r="A1446">
        <v>1445</v>
      </c>
      <c r="B1446" t="s">
        <v>2</v>
      </c>
      <c r="C1446" t="s">
        <v>132</v>
      </c>
      <c r="D1446" t="s">
        <v>140</v>
      </c>
      <c r="E1446" s="2">
        <v>44176.67900462963</v>
      </c>
      <c r="F1446" s="2">
        <v>44176.704039351855</v>
      </c>
      <c r="G1446" s="3">
        <v>2.5034722224518191E-2</v>
      </c>
      <c r="H1446" s="3">
        <v>2176.1754367627077</v>
      </c>
      <c r="I1446" s="3">
        <v>36.269590612711795</v>
      </c>
      <c r="J1446" s="3">
        <v>0.60449317687852988</v>
      </c>
      <c r="K1446" t="s">
        <v>40</v>
      </c>
    </row>
    <row r="1447" spans="1:11" x14ac:dyDescent="0.35">
      <c r="A1447">
        <v>1446</v>
      </c>
      <c r="B1447" t="s">
        <v>2</v>
      </c>
      <c r="C1447" t="s">
        <v>96</v>
      </c>
      <c r="D1447" t="s">
        <v>140</v>
      </c>
      <c r="E1447" s="2">
        <v>44176.704293981478</v>
      </c>
      <c r="F1447" s="2">
        <v>44176.739328703705</v>
      </c>
      <c r="G1447" s="3">
        <v>3.5034722226555459E-2</v>
      </c>
      <c r="H1447" s="3">
        <v>3045.438302030203</v>
      </c>
      <c r="I1447" s="3">
        <v>50.757305033836715</v>
      </c>
      <c r="J1447" s="3">
        <v>0.84595508389727858</v>
      </c>
    </row>
    <row r="1448" spans="1:11" x14ac:dyDescent="0.35">
      <c r="A1448">
        <v>1447</v>
      </c>
      <c r="B1448" t="s">
        <v>2</v>
      </c>
      <c r="C1448" t="s">
        <v>96</v>
      </c>
      <c r="D1448" t="s">
        <v>140</v>
      </c>
      <c r="E1448" s="2">
        <v>44176.739490740743</v>
      </c>
      <c r="F1448" s="2">
        <v>44176.745972222219</v>
      </c>
      <c r="G1448" s="3">
        <v>6.4814814759301953E-3</v>
      </c>
      <c r="H1448" s="3">
        <v>563.41111577974573</v>
      </c>
      <c r="I1448" s="3">
        <v>9.3901852629957627</v>
      </c>
      <c r="J1448" s="3">
        <v>0.15650308771659605</v>
      </c>
    </row>
    <row r="1449" spans="1:11" x14ac:dyDescent="0.35">
      <c r="A1449">
        <v>1448</v>
      </c>
      <c r="B1449" t="s">
        <v>2</v>
      </c>
      <c r="C1449" t="s">
        <v>132</v>
      </c>
      <c r="D1449" t="s">
        <v>140</v>
      </c>
      <c r="E1449" s="2">
        <v>44176.746111111112</v>
      </c>
      <c r="F1449" s="2">
        <v>44176.746793981481</v>
      </c>
      <c r="G1449" s="3">
        <v>6.8287036992842332E-4</v>
      </c>
      <c r="H1449" s="3">
        <v>59.359385424932483</v>
      </c>
      <c r="I1449" s="3">
        <v>0.98932309041554134</v>
      </c>
      <c r="J1449" s="3">
        <v>1.6488718173592355E-2</v>
      </c>
      <c r="K1449" t="s">
        <v>64</v>
      </c>
    </row>
    <row r="1450" spans="1:11" x14ac:dyDescent="0.35">
      <c r="A1450">
        <v>1449</v>
      </c>
      <c r="B1450" t="s">
        <v>11</v>
      </c>
      <c r="C1450" t="s">
        <v>11</v>
      </c>
      <c r="D1450" t="s">
        <v>140</v>
      </c>
      <c r="E1450" s="2">
        <v>44176.746967592589</v>
      </c>
      <c r="F1450" s="2">
        <v>44176.752824074072</v>
      </c>
      <c r="G1450" s="3">
        <v>5.8564814826240763E-3</v>
      </c>
      <c r="H1450" s="3">
        <v>509.08218729346976</v>
      </c>
      <c r="I1450" s="3">
        <v>8.4847031215578301</v>
      </c>
      <c r="J1450" s="3">
        <v>0.1414117186926305</v>
      </c>
    </row>
    <row r="1451" spans="1:11" x14ac:dyDescent="0.35">
      <c r="A1451">
        <v>1450</v>
      </c>
      <c r="B1451" t="s">
        <v>11</v>
      </c>
      <c r="C1451" t="s">
        <v>11</v>
      </c>
      <c r="D1451" t="s">
        <v>140</v>
      </c>
      <c r="E1451" s="2">
        <v>44179.338807870372</v>
      </c>
      <c r="F1451" s="2">
        <v>44179.346377314818</v>
      </c>
      <c r="G1451" s="3">
        <v>7.5694444458349608E-3</v>
      </c>
      <c r="H1451" s="3">
        <v>657.98369661291383</v>
      </c>
      <c r="I1451" s="3">
        <v>10.966394943548563</v>
      </c>
      <c r="J1451" s="3">
        <v>0.18277324905914272</v>
      </c>
    </row>
    <row r="1452" spans="1:11" x14ac:dyDescent="0.35">
      <c r="A1452">
        <v>1451</v>
      </c>
      <c r="B1452" t="s">
        <v>2</v>
      </c>
      <c r="C1452" t="s">
        <v>96</v>
      </c>
      <c r="D1452" t="s">
        <v>140</v>
      </c>
      <c r="E1452" s="2">
        <v>44179.346562500003</v>
      </c>
      <c r="F1452" s="2">
        <v>44179.395428240743</v>
      </c>
      <c r="G1452" s="3">
        <v>4.8865740740438923E-2</v>
      </c>
      <c r="H1452" s="3">
        <v>4247.7173800798782</v>
      </c>
      <c r="I1452" s="3">
        <v>70.795289667997977</v>
      </c>
      <c r="J1452" s="3">
        <v>1.179921494466633</v>
      </c>
    </row>
    <row r="1453" spans="1:11" x14ac:dyDescent="0.35">
      <c r="A1453">
        <v>1452</v>
      </c>
      <c r="B1453" t="s">
        <v>2</v>
      </c>
      <c r="C1453" t="s">
        <v>96</v>
      </c>
      <c r="D1453" t="s">
        <v>140</v>
      </c>
      <c r="E1453" s="2">
        <v>44179.395613425928</v>
      </c>
      <c r="F1453" s="2">
        <v>44179.440034722225</v>
      </c>
      <c r="G1453" s="3">
        <v>4.4421296297514345E-2</v>
      </c>
      <c r="H1453" s="3">
        <v>3861.3783290607043</v>
      </c>
      <c r="I1453" s="3">
        <v>64.356305484345071</v>
      </c>
      <c r="J1453" s="3">
        <v>1.0726050914057512</v>
      </c>
    </row>
    <row r="1454" spans="1:11" x14ac:dyDescent="0.35">
      <c r="A1454">
        <v>1453</v>
      </c>
      <c r="B1454" t="s">
        <v>16</v>
      </c>
      <c r="C1454" t="s">
        <v>16</v>
      </c>
      <c r="D1454" t="s">
        <v>140</v>
      </c>
      <c r="E1454" s="2">
        <v>44179.440162037034</v>
      </c>
      <c r="F1454" s="2">
        <v>44179.441261574073</v>
      </c>
      <c r="G1454" s="3">
        <v>1.0995370394084603E-3</v>
      </c>
      <c r="H1454" s="3">
        <v>95.578671714921782</v>
      </c>
      <c r="I1454" s="3">
        <v>1.5929778619153629</v>
      </c>
      <c r="J1454" s="3">
        <v>2.6549631031922715E-2</v>
      </c>
    </row>
    <row r="1455" spans="1:11" x14ac:dyDescent="0.35">
      <c r="A1455">
        <v>1454</v>
      </c>
      <c r="B1455" t="s">
        <v>2</v>
      </c>
      <c r="C1455" t="s">
        <v>96</v>
      </c>
      <c r="D1455" t="s">
        <v>140</v>
      </c>
      <c r="E1455" s="2">
        <v>44179.441388888888</v>
      </c>
      <c r="F1455" s="2">
        <v>44179.47550925926</v>
      </c>
      <c r="G1455" s="3">
        <v>3.4120370371965691E-2</v>
      </c>
      <c r="H1455" s="3">
        <v>2965.9570907480606</v>
      </c>
      <c r="I1455" s="3">
        <v>49.432618179134344</v>
      </c>
      <c r="J1455" s="3">
        <v>0.82387696965223911</v>
      </c>
    </row>
    <row r="1456" spans="1:11" x14ac:dyDescent="0.35">
      <c r="A1456">
        <v>1455</v>
      </c>
      <c r="B1456" t="s">
        <v>2</v>
      </c>
      <c r="C1456" t="s">
        <v>96</v>
      </c>
      <c r="D1456" t="s">
        <v>140</v>
      </c>
      <c r="E1456" s="2">
        <v>44179.475659722222</v>
      </c>
      <c r="F1456" s="2">
        <v>44179.495289351849</v>
      </c>
      <c r="G1456" s="3">
        <v>1.9629629627161194E-2</v>
      </c>
      <c r="H1456" s="3">
        <v>1706.3308090369603</v>
      </c>
      <c r="I1456" s="3">
        <v>28.438846817282673</v>
      </c>
      <c r="J1456" s="3">
        <v>0.47398078028804458</v>
      </c>
    </row>
    <row r="1457" spans="1:11" x14ac:dyDescent="0.35">
      <c r="A1457">
        <v>1456</v>
      </c>
      <c r="B1457" t="s">
        <v>2</v>
      </c>
      <c r="C1457" t="s">
        <v>96</v>
      </c>
      <c r="D1457" t="s">
        <v>140</v>
      </c>
      <c r="E1457" s="2">
        <v>44179.495509259257</v>
      </c>
      <c r="F1457" s="2">
        <v>44179.50854166667</v>
      </c>
      <c r="G1457" s="3">
        <v>1.3032407412538305E-2</v>
      </c>
      <c r="H1457" s="3">
        <v>1132.8587806448456</v>
      </c>
      <c r="I1457" s="3">
        <v>18.880979677414093</v>
      </c>
      <c r="J1457" s="3">
        <v>0.31468299462356819</v>
      </c>
    </row>
    <row r="1458" spans="1:11" x14ac:dyDescent="0.35">
      <c r="A1458">
        <v>1457</v>
      </c>
      <c r="B1458" t="s">
        <v>16</v>
      </c>
      <c r="C1458" t="s">
        <v>16</v>
      </c>
      <c r="D1458" t="s">
        <v>140</v>
      </c>
      <c r="E1458" s="2">
        <v>44179.508622685185</v>
      </c>
      <c r="F1458" s="2">
        <v>44179.535000000003</v>
      </c>
      <c r="G1458" s="3">
        <v>2.6377314818091691E-2</v>
      </c>
      <c r="H1458" s="3">
        <v>2292.8820252165933</v>
      </c>
      <c r="I1458" s="3">
        <v>38.214700420276557</v>
      </c>
      <c r="J1458" s="3">
        <v>0.63691167367127599</v>
      </c>
    </row>
    <row r="1459" spans="1:11" x14ac:dyDescent="0.35">
      <c r="A1459">
        <v>1458</v>
      </c>
      <c r="B1459" t="s">
        <v>11</v>
      </c>
      <c r="C1459" t="s">
        <v>11</v>
      </c>
      <c r="D1459" t="s">
        <v>140</v>
      </c>
      <c r="E1459" s="2">
        <v>44179.535138888888</v>
      </c>
      <c r="F1459" s="2">
        <v>44179.536192129628</v>
      </c>
      <c r="G1459" s="3">
        <v>1.0532407395658083E-3</v>
      </c>
      <c r="H1459" s="3">
        <v>91.554306290490985</v>
      </c>
      <c r="I1459" s="3">
        <v>1.5259051048415164</v>
      </c>
      <c r="J1459" s="3">
        <v>2.5431751747358608E-2</v>
      </c>
    </row>
    <row r="1460" spans="1:11" x14ac:dyDescent="0.35">
      <c r="A1460">
        <v>1459</v>
      </c>
      <c r="B1460" t="s">
        <v>2</v>
      </c>
      <c r="C1460" t="s">
        <v>96</v>
      </c>
      <c r="D1460" t="s">
        <v>140</v>
      </c>
      <c r="E1460" s="2">
        <v>44179.53634259259</v>
      </c>
      <c r="F1460" s="2">
        <v>44179.554594907408</v>
      </c>
      <c r="G1460" s="3">
        <v>1.8252314817800652E-2</v>
      </c>
      <c r="H1460" s="3">
        <v>1586.6059473053417</v>
      </c>
      <c r="I1460" s="3">
        <v>26.443432455089027</v>
      </c>
      <c r="J1460" s="3">
        <v>0.44072387425148379</v>
      </c>
    </row>
    <row r="1461" spans="1:11" x14ac:dyDescent="0.35">
      <c r="A1461">
        <v>1460</v>
      </c>
      <c r="B1461" t="s">
        <v>2</v>
      </c>
      <c r="C1461" t="s">
        <v>96</v>
      </c>
      <c r="D1461" t="s">
        <v>140</v>
      </c>
      <c r="E1461" s="2">
        <v>44179.554745370369</v>
      </c>
      <c r="F1461" s="2">
        <v>44179.565972222219</v>
      </c>
      <c r="G1461" s="3">
        <v>1.1226851849642117E-2</v>
      </c>
      <c r="H1461" s="3">
        <v>975.90854047654</v>
      </c>
      <c r="I1461" s="3">
        <v>16.265142341275666</v>
      </c>
      <c r="J1461" s="3">
        <v>0.27108570568792778</v>
      </c>
    </row>
    <row r="1462" spans="1:11" x14ac:dyDescent="0.35">
      <c r="A1462">
        <v>1461</v>
      </c>
      <c r="B1462" t="s">
        <v>16</v>
      </c>
      <c r="C1462" t="s">
        <v>16</v>
      </c>
      <c r="D1462" t="s">
        <v>140</v>
      </c>
      <c r="E1462" s="2">
        <v>44179.566122685188</v>
      </c>
      <c r="F1462" s="2">
        <v>44179.577928240738</v>
      </c>
      <c r="G1462" s="3">
        <v>1.1805555550381541E-2</v>
      </c>
      <c r="H1462" s="3">
        <v>1026.2131041708572</v>
      </c>
      <c r="I1462" s="3">
        <v>17.103551736180954</v>
      </c>
      <c r="J1462" s="3">
        <v>0.2850591956030159</v>
      </c>
    </row>
    <row r="1463" spans="1:11" x14ac:dyDescent="0.35">
      <c r="A1463">
        <v>1462</v>
      </c>
      <c r="B1463" t="s">
        <v>2</v>
      </c>
      <c r="C1463" t="s">
        <v>96</v>
      </c>
      <c r="D1463" t="s">
        <v>140</v>
      </c>
      <c r="E1463" s="2">
        <v>44179.5781712963</v>
      </c>
      <c r="F1463" s="2">
        <v>44179.599560185183</v>
      </c>
      <c r="G1463" s="3">
        <v>2.1388888882938772E-2</v>
      </c>
      <c r="H1463" s="3">
        <v>1859.2566831483632</v>
      </c>
      <c r="I1463" s="3">
        <v>30.987611385806055</v>
      </c>
      <c r="J1463" s="3">
        <v>0.51646018976343422</v>
      </c>
    </row>
    <row r="1464" spans="1:11" x14ac:dyDescent="0.35">
      <c r="A1464">
        <v>1463</v>
      </c>
      <c r="B1464" t="s">
        <v>2</v>
      </c>
      <c r="C1464" t="s">
        <v>96</v>
      </c>
      <c r="D1464" t="s">
        <v>140</v>
      </c>
      <c r="E1464" s="2">
        <v>44179.599710648145</v>
      </c>
      <c r="F1464" s="2">
        <v>44179.618437500001</v>
      </c>
      <c r="G1464" s="3">
        <v>1.8726851856627036E-2</v>
      </c>
      <c r="H1464" s="3">
        <v>1627.8556899015155</v>
      </c>
      <c r="I1464" s="3">
        <v>27.130928165025257</v>
      </c>
      <c r="J1464" s="3">
        <v>0.45218213608375429</v>
      </c>
    </row>
    <row r="1465" spans="1:11" x14ac:dyDescent="0.35">
      <c r="A1465">
        <v>1464</v>
      </c>
      <c r="B1465" t="s">
        <v>2</v>
      </c>
      <c r="C1465" t="s">
        <v>96</v>
      </c>
      <c r="D1465" t="s">
        <v>140</v>
      </c>
      <c r="E1465" s="2">
        <v>44179.618611111109</v>
      </c>
      <c r="F1465" s="2">
        <v>44179.623043981483</v>
      </c>
      <c r="G1465" s="3">
        <v>4.432870373420883E-3</v>
      </c>
      <c r="H1465" s="3">
        <v>385.33296013742029</v>
      </c>
      <c r="I1465" s="3">
        <v>6.4222160022903383</v>
      </c>
      <c r="J1465" s="3">
        <v>0.10703693337150563</v>
      </c>
    </row>
    <row r="1466" spans="1:11" x14ac:dyDescent="0.35">
      <c r="A1466">
        <v>1465</v>
      </c>
      <c r="B1466" t="s">
        <v>2</v>
      </c>
      <c r="C1466" t="s">
        <v>96</v>
      </c>
      <c r="D1466" t="s">
        <v>140</v>
      </c>
      <c r="E1466" s="2">
        <v>44179.623252314814</v>
      </c>
      <c r="F1466" s="2">
        <v>44179.634467592594</v>
      </c>
      <c r="G1466" s="3">
        <v>1.1215277780138422E-2</v>
      </c>
      <c r="H1466" s="3">
        <v>974.90244959478628</v>
      </c>
      <c r="I1466" s="3">
        <v>16.248374159913105</v>
      </c>
      <c r="J1466" s="3">
        <v>0.27080623599855175</v>
      </c>
    </row>
    <row r="1467" spans="1:11" x14ac:dyDescent="0.35">
      <c r="A1467">
        <v>1466</v>
      </c>
      <c r="B1467" t="s">
        <v>16</v>
      </c>
      <c r="C1467" t="s">
        <v>16</v>
      </c>
      <c r="D1467" t="s">
        <v>140</v>
      </c>
      <c r="E1467" s="2">
        <v>44179.634571759256</v>
      </c>
      <c r="F1467" s="2">
        <v>44179.643263888887</v>
      </c>
      <c r="G1467" s="3">
        <v>8.6921296315267682E-3</v>
      </c>
      <c r="H1467" s="3">
        <v>755.57455072381504</v>
      </c>
      <c r="I1467" s="3">
        <v>12.592909178730251</v>
      </c>
      <c r="J1467" s="3">
        <v>0.20988181964550418</v>
      </c>
    </row>
    <row r="1468" spans="1:11" x14ac:dyDescent="0.35">
      <c r="A1468">
        <v>1467</v>
      </c>
      <c r="B1468" t="s">
        <v>2</v>
      </c>
      <c r="C1468" t="s">
        <v>96</v>
      </c>
      <c r="D1468" t="s">
        <v>140</v>
      </c>
      <c r="E1468" s="2">
        <v>44179.643483796295</v>
      </c>
      <c r="F1468" s="2">
        <v>44179.677812499998</v>
      </c>
      <c r="G1468" s="3">
        <v>3.4328703703067731E-2</v>
      </c>
      <c r="H1468" s="3">
        <v>2984.0667335768194</v>
      </c>
      <c r="I1468" s="3">
        <v>49.734445559613654</v>
      </c>
      <c r="J1468" s="3">
        <v>0.82890742599356093</v>
      </c>
    </row>
    <row r="1469" spans="1:11" x14ac:dyDescent="0.35">
      <c r="A1469">
        <v>1468</v>
      </c>
      <c r="B1469" t="s">
        <v>11</v>
      </c>
      <c r="C1469" t="s">
        <v>11</v>
      </c>
      <c r="D1469" t="s">
        <v>140</v>
      </c>
      <c r="E1469" s="2">
        <v>44179.677951388891</v>
      </c>
      <c r="F1469" s="2">
        <v>44179.686932870369</v>
      </c>
      <c r="G1469" s="3">
        <v>8.9814814782585017E-3</v>
      </c>
      <c r="H1469" s="3">
        <v>780.72683225473759</v>
      </c>
      <c r="I1469" s="3">
        <v>13.012113870912293</v>
      </c>
      <c r="J1469" s="3">
        <v>0.21686856451520489</v>
      </c>
    </row>
    <row r="1470" spans="1:11" x14ac:dyDescent="0.35">
      <c r="A1470">
        <v>1469</v>
      </c>
      <c r="B1470" t="s">
        <v>16</v>
      </c>
      <c r="C1470" t="s">
        <v>16</v>
      </c>
      <c r="D1470" t="s">
        <v>140</v>
      </c>
      <c r="E1470" s="2">
        <v>44179.687037037038</v>
      </c>
      <c r="F1470" s="2">
        <v>44179.709675925929</v>
      </c>
      <c r="G1470" s="3">
        <v>2.2638888891378883E-2</v>
      </c>
      <c r="H1470" s="3">
        <v>1967.9145420183313</v>
      </c>
      <c r="I1470" s="3">
        <v>32.79857570030552</v>
      </c>
      <c r="J1470" s="3">
        <v>0.54664292833842532</v>
      </c>
    </row>
    <row r="1471" spans="1:11" x14ac:dyDescent="0.35">
      <c r="A1471">
        <v>1470</v>
      </c>
      <c r="B1471" t="s">
        <v>2</v>
      </c>
      <c r="C1471" t="s">
        <v>132</v>
      </c>
      <c r="D1471" t="s">
        <v>140</v>
      </c>
      <c r="E1471" s="2">
        <v>44179.808136574073</v>
      </c>
      <c r="F1471" s="2">
        <v>44179.872789351852</v>
      </c>
      <c r="G1471" s="3">
        <v>6.4652777778974269E-2</v>
      </c>
      <c r="H1471" s="3">
        <v>5620.025884820433</v>
      </c>
      <c r="I1471" s="3">
        <v>93.667098080340551</v>
      </c>
      <c r="J1471" s="3">
        <v>1.5611183013390091</v>
      </c>
      <c r="K1471" t="s">
        <v>40</v>
      </c>
    </row>
    <row r="1472" spans="1:11" x14ac:dyDescent="0.35">
      <c r="A1472">
        <v>1471</v>
      </c>
      <c r="B1472" t="s">
        <v>11</v>
      </c>
      <c r="C1472" t="s">
        <v>11</v>
      </c>
      <c r="D1472" t="s">
        <v>140</v>
      </c>
      <c r="E1472" s="2">
        <v>44180.335601851853</v>
      </c>
      <c r="F1472" s="2">
        <v>44180.341446759259</v>
      </c>
      <c r="G1472" s="3">
        <v>5.8449074058444239E-3</v>
      </c>
      <c r="H1472" s="3">
        <v>508.07609577924404</v>
      </c>
      <c r="I1472" s="3">
        <v>8.4679349296540671</v>
      </c>
      <c r="J1472" s="3">
        <v>0.14113224882756778</v>
      </c>
    </row>
    <row r="1473" spans="1:10" x14ac:dyDescent="0.35">
      <c r="A1473">
        <v>1472</v>
      </c>
      <c r="B1473" t="s">
        <v>2</v>
      </c>
      <c r="C1473" t="s">
        <v>96</v>
      </c>
      <c r="D1473" t="s">
        <v>140</v>
      </c>
      <c r="E1473" s="2">
        <v>44180.341666666667</v>
      </c>
      <c r="F1473" s="2">
        <v>44180.359537037039</v>
      </c>
      <c r="G1473" s="3">
        <v>1.7870370371383615E-2</v>
      </c>
      <c r="H1473" s="3">
        <v>1553.4049349255574</v>
      </c>
      <c r="I1473" s="3">
        <v>25.890082248759292</v>
      </c>
      <c r="J1473" s="3">
        <v>0.43150137081265488</v>
      </c>
    </row>
    <row r="1474" spans="1:10" x14ac:dyDescent="0.35">
      <c r="A1474">
        <v>1473</v>
      </c>
      <c r="B1474" t="s">
        <v>2</v>
      </c>
      <c r="C1474" t="s">
        <v>96</v>
      </c>
      <c r="D1474" t="s">
        <v>140</v>
      </c>
      <c r="E1474" s="2">
        <v>44180.359722222223</v>
      </c>
      <c r="F1474" s="2">
        <v>44180.414583333331</v>
      </c>
      <c r="G1474" s="3">
        <v>5.486111110803904E-2</v>
      </c>
      <c r="H1474" s="3">
        <v>4768.8726623816965</v>
      </c>
      <c r="I1474" s="3">
        <v>79.481211039694941</v>
      </c>
      <c r="J1474" s="3">
        <v>1.3246868506615823</v>
      </c>
    </row>
    <row r="1475" spans="1:10" x14ac:dyDescent="0.35">
      <c r="A1475">
        <v>1474</v>
      </c>
      <c r="B1475" t="s">
        <v>2</v>
      </c>
      <c r="C1475" t="s">
        <v>96</v>
      </c>
      <c r="D1475" t="s">
        <v>140</v>
      </c>
      <c r="E1475" s="2">
        <v>44180.414722222224</v>
      </c>
      <c r="F1475" s="2">
        <v>44180.429652777777</v>
      </c>
      <c r="G1475" s="3">
        <v>1.4930555553291924E-2</v>
      </c>
      <c r="H1475" s="3">
        <v>1297.857749764597</v>
      </c>
      <c r="I1475" s="3">
        <v>21.630962496076616</v>
      </c>
      <c r="J1475" s="3">
        <v>0.36051604160127693</v>
      </c>
    </row>
    <row r="1476" spans="1:10" x14ac:dyDescent="0.35">
      <c r="A1476">
        <v>1475</v>
      </c>
      <c r="B1476" t="s">
        <v>16</v>
      </c>
      <c r="C1476" t="s">
        <v>16</v>
      </c>
      <c r="D1476" t="s">
        <v>140</v>
      </c>
      <c r="E1476" s="2">
        <v>44180.429710648146</v>
      </c>
      <c r="F1476" s="2">
        <v>44180.430821759262</v>
      </c>
      <c r="G1476" s="3">
        <v>1.1111111161881126E-3</v>
      </c>
      <c r="H1476" s="3">
        <v>96.584763229147484</v>
      </c>
      <c r="I1476" s="3">
        <v>1.6097460538191248</v>
      </c>
      <c r="J1476" s="3">
        <v>2.6829100896985415E-2</v>
      </c>
    </row>
    <row r="1477" spans="1:10" x14ac:dyDescent="0.35">
      <c r="A1477">
        <v>1476</v>
      </c>
      <c r="B1477" t="s">
        <v>2</v>
      </c>
      <c r="C1477" t="s">
        <v>96</v>
      </c>
      <c r="D1477" t="s">
        <v>140</v>
      </c>
      <c r="E1477" s="2">
        <v>44180.430937500001</v>
      </c>
      <c r="F1477" s="2">
        <v>44180.472002314818</v>
      </c>
      <c r="G1477" s="3">
        <v>4.1064814817218576E-2</v>
      </c>
      <c r="H1477" s="3">
        <v>3569.6118582422264</v>
      </c>
      <c r="I1477" s="3">
        <v>59.493530970703773</v>
      </c>
      <c r="J1477" s="3">
        <v>0.99155884951172957</v>
      </c>
    </row>
    <row r="1478" spans="1:10" x14ac:dyDescent="0.35">
      <c r="A1478">
        <v>1477</v>
      </c>
      <c r="B1478" t="s">
        <v>16</v>
      </c>
      <c r="C1478" t="s">
        <v>16</v>
      </c>
      <c r="D1478" t="s">
        <v>140</v>
      </c>
      <c r="E1478" s="2">
        <v>44180.472071759257</v>
      </c>
      <c r="F1478" s="2">
        <v>44180.498310185183</v>
      </c>
      <c r="G1478" s="3">
        <v>2.6238425925839692E-2</v>
      </c>
      <c r="H1478" s="3">
        <v>2280.8089295757727</v>
      </c>
      <c r="I1478" s="3">
        <v>38.013482159596215</v>
      </c>
      <c r="J1478" s="3">
        <v>0.63355803599327021</v>
      </c>
    </row>
    <row r="1479" spans="1:10" x14ac:dyDescent="0.35">
      <c r="A1479">
        <v>1478</v>
      </c>
      <c r="B1479" t="s">
        <v>2</v>
      </c>
      <c r="C1479" t="s">
        <v>96</v>
      </c>
      <c r="D1479" t="s">
        <v>140</v>
      </c>
      <c r="E1479" s="2">
        <v>44180.498472222222</v>
      </c>
      <c r="F1479" s="2">
        <v>44180.53837962963</v>
      </c>
      <c r="G1479" s="3">
        <v>3.9907407408463769E-2</v>
      </c>
      <c r="H1479" s="3">
        <v>3469.0027302211201</v>
      </c>
      <c r="I1479" s="3">
        <v>57.816712170352005</v>
      </c>
      <c r="J1479" s="3">
        <v>0.96361186950586675</v>
      </c>
    </row>
    <row r="1480" spans="1:10" x14ac:dyDescent="0.35">
      <c r="A1480">
        <v>1479</v>
      </c>
      <c r="B1480" t="s">
        <v>2</v>
      </c>
      <c r="C1480" t="s">
        <v>96</v>
      </c>
      <c r="D1480" t="s">
        <v>140</v>
      </c>
      <c r="E1480" s="2">
        <v>44180.538530092592</v>
      </c>
      <c r="F1480" s="2">
        <v>44180.579918981479</v>
      </c>
      <c r="G1480" s="3">
        <v>4.1388888887013309E-2</v>
      </c>
      <c r="H1480" s="3">
        <v>3597.7824136833542</v>
      </c>
      <c r="I1480" s="3">
        <v>59.963040228055903</v>
      </c>
      <c r="J1480" s="3">
        <v>0.99938400380093173</v>
      </c>
    </row>
    <row r="1481" spans="1:10" x14ac:dyDescent="0.35">
      <c r="A1481">
        <v>1480</v>
      </c>
      <c r="B1481" t="s">
        <v>11</v>
      </c>
      <c r="C1481" t="s">
        <v>11</v>
      </c>
      <c r="D1481" t="s">
        <v>140</v>
      </c>
      <c r="E1481" s="2">
        <v>44180.580069444448</v>
      </c>
      <c r="F1481" s="2">
        <v>44180.592164351852</v>
      </c>
      <c r="G1481" s="3">
        <v>1.2094907404389232E-2</v>
      </c>
      <c r="H1481" s="3">
        <v>1051.3653863342518</v>
      </c>
      <c r="I1481" s="3">
        <v>17.522756438904196</v>
      </c>
      <c r="J1481" s="3">
        <v>0.29204594064840328</v>
      </c>
    </row>
    <row r="1482" spans="1:10" x14ac:dyDescent="0.35">
      <c r="A1482">
        <v>1481</v>
      </c>
      <c r="B1482" t="s">
        <v>2</v>
      </c>
      <c r="C1482" t="s">
        <v>96</v>
      </c>
      <c r="D1482" t="s">
        <v>140</v>
      </c>
      <c r="E1482" s="2">
        <v>44180.592303240737</v>
      </c>
      <c r="F1482" s="2">
        <v>44180.595706018517</v>
      </c>
      <c r="G1482" s="3">
        <v>3.4027777801384218E-3</v>
      </c>
      <c r="H1482" s="3">
        <v>295.79083624290871</v>
      </c>
      <c r="I1482" s="3">
        <v>4.9298472707151451</v>
      </c>
      <c r="J1482" s="3">
        <v>8.216412117858575E-2</v>
      </c>
    </row>
    <row r="1483" spans="1:10" x14ac:dyDescent="0.35">
      <c r="A1483">
        <v>1482</v>
      </c>
      <c r="B1483" t="s">
        <v>16</v>
      </c>
      <c r="C1483" t="s">
        <v>16</v>
      </c>
      <c r="D1483" t="s">
        <v>140</v>
      </c>
      <c r="E1483" s="2">
        <v>44180.595810185187</v>
      </c>
      <c r="F1483" s="2">
        <v>44180.597974537035</v>
      </c>
      <c r="G1483" s="3">
        <v>2.1643518484779634E-3</v>
      </c>
      <c r="H1483" s="3">
        <v>188.13906888716647</v>
      </c>
      <c r="I1483" s="3">
        <v>3.1356511481194413</v>
      </c>
      <c r="J1483" s="3">
        <v>5.2260852468657353E-2</v>
      </c>
    </row>
    <row r="1484" spans="1:10" x14ac:dyDescent="0.35">
      <c r="A1484">
        <v>1483</v>
      </c>
      <c r="B1484" t="s">
        <v>2</v>
      </c>
      <c r="C1484" t="s">
        <v>96</v>
      </c>
      <c r="D1484" t="s">
        <v>140</v>
      </c>
      <c r="E1484" s="2">
        <v>44180.59820601852</v>
      </c>
      <c r="F1484" s="2">
        <v>44180.625208333331</v>
      </c>
      <c r="G1484" s="3">
        <v>2.700231481139781E-2</v>
      </c>
      <c r="H1484" s="3">
        <v>2347.2109537028691</v>
      </c>
      <c r="I1484" s="3">
        <v>39.120182561714486</v>
      </c>
      <c r="J1484" s="3">
        <v>0.65200304269524145</v>
      </c>
    </row>
    <row r="1485" spans="1:10" x14ac:dyDescent="0.35">
      <c r="A1485">
        <v>1484</v>
      </c>
      <c r="B1485" t="s">
        <v>16</v>
      </c>
      <c r="C1485" t="s">
        <v>16</v>
      </c>
      <c r="D1485" t="s">
        <v>140</v>
      </c>
      <c r="E1485" s="2">
        <v>44180.625358796293</v>
      </c>
      <c r="F1485" s="2">
        <v>44180.631608796299</v>
      </c>
      <c r="G1485" s="3">
        <v>6.2500000058207661E-3</v>
      </c>
      <c r="H1485" s="3">
        <v>543.28929118747965</v>
      </c>
      <c r="I1485" s="3">
        <v>9.0548215197913269</v>
      </c>
      <c r="J1485" s="3">
        <v>0.1509136919965221</v>
      </c>
    </row>
    <row r="1486" spans="1:10" x14ac:dyDescent="0.35">
      <c r="A1486">
        <v>1485</v>
      </c>
      <c r="B1486" t="s">
        <v>2</v>
      </c>
      <c r="C1486" t="s">
        <v>96</v>
      </c>
      <c r="D1486" t="s">
        <v>140</v>
      </c>
      <c r="E1486" s="2">
        <v>44180.631828703707</v>
      </c>
      <c r="F1486" s="2">
        <v>44180.632581018515</v>
      </c>
      <c r="G1486" s="3">
        <v>7.5231480877846479E-4</v>
      </c>
      <c r="H1486" s="3">
        <v>65.395932612870723</v>
      </c>
      <c r="I1486" s="3">
        <v>1.0899322102145121</v>
      </c>
      <c r="J1486" s="3">
        <v>1.8165536836908535E-2</v>
      </c>
    </row>
    <row r="1487" spans="1:10" x14ac:dyDescent="0.35">
      <c r="A1487">
        <v>1486</v>
      </c>
      <c r="B1487" t="s">
        <v>2</v>
      </c>
      <c r="C1487" t="s">
        <v>96</v>
      </c>
      <c r="D1487" t="s">
        <v>140</v>
      </c>
      <c r="E1487" s="2">
        <v>44180.632847222223</v>
      </c>
      <c r="F1487" s="2">
        <v>44180.670312499999</v>
      </c>
      <c r="G1487" s="3">
        <v>3.7465277775481809E-2</v>
      </c>
      <c r="H1487" s="3">
        <v>3256.7174700523128</v>
      </c>
      <c r="I1487" s="3">
        <v>54.278624500871878</v>
      </c>
      <c r="J1487" s="3">
        <v>0.90464374168119799</v>
      </c>
    </row>
    <row r="1488" spans="1:10" x14ac:dyDescent="0.35">
      <c r="A1488">
        <v>1487</v>
      </c>
      <c r="B1488" t="s">
        <v>16</v>
      </c>
      <c r="C1488" t="s">
        <v>16</v>
      </c>
      <c r="D1488" t="s">
        <v>140</v>
      </c>
      <c r="E1488" s="2">
        <v>44180.670543981483</v>
      </c>
      <c r="F1488" s="2">
        <v>44180.684594907405</v>
      </c>
      <c r="G1488" s="3">
        <v>1.4050925921765156E-2</v>
      </c>
      <c r="H1488" s="3">
        <v>1221.3948123926596</v>
      </c>
      <c r="I1488" s="3">
        <v>20.356580206544326</v>
      </c>
      <c r="J1488" s="3">
        <v>0.33927633677573876</v>
      </c>
    </row>
    <row r="1489" spans="1:11" x14ac:dyDescent="0.35">
      <c r="A1489">
        <v>1488</v>
      </c>
      <c r="B1489" t="s">
        <v>2</v>
      </c>
      <c r="C1489" t="s">
        <v>96</v>
      </c>
      <c r="D1489" t="s">
        <v>140</v>
      </c>
      <c r="E1489" s="2">
        <v>44180.684861111113</v>
      </c>
      <c r="F1489" s="2">
        <v>44180.706018518518</v>
      </c>
      <c r="G1489" s="3">
        <v>2.1157407405553386E-2</v>
      </c>
      <c r="H1489" s="3">
        <v>1839.1348579236253</v>
      </c>
      <c r="I1489" s="3">
        <v>30.652247632060423</v>
      </c>
      <c r="J1489" s="3">
        <v>0.51087079386767376</v>
      </c>
    </row>
    <row r="1490" spans="1:11" x14ac:dyDescent="0.35">
      <c r="A1490">
        <v>1489</v>
      </c>
      <c r="B1490" t="s">
        <v>11</v>
      </c>
      <c r="C1490" t="s">
        <v>11</v>
      </c>
      <c r="D1490" t="s">
        <v>140</v>
      </c>
      <c r="E1490" s="2">
        <v>44180.706157407411</v>
      </c>
      <c r="F1490" s="2">
        <v>44180.768055555556</v>
      </c>
      <c r="G1490" s="3">
        <v>6.1898148145701271E-2</v>
      </c>
      <c r="H1490" s="3">
        <v>5380.5761600922524</v>
      </c>
      <c r="I1490" s="3">
        <v>89.676269334870867</v>
      </c>
      <c r="J1490" s="3">
        <v>1.4946044889145145</v>
      </c>
    </row>
    <row r="1491" spans="1:11" x14ac:dyDescent="0.35">
      <c r="A1491">
        <v>1490</v>
      </c>
      <c r="B1491" t="s">
        <v>11</v>
      </c>
      <c r="C1491" t="s">
        <v>11</v>
      </c>
      <c r="D1491" t="s">
        <v>140</v>
      </c>
      <c r="E1491" s="2">
        <v>44180.777129629627</v>
      </c>
      <c r="F1491" s="2">
        <v>44180.908750000002</v>
      </c>
      <c r="G1491" s="3">
        <v>0.13162037037545815</v>
      </c>
      <c r="H1491" s="3">
        <v>11441.270025683079</v>
      </c>
      <c r="I1491" s="3">
        <v>190.68783376138467</v>
      </c>
      <c r="J1491" s="3">
        <v>3.1781305626897445</v>
      </c>
    </row>
    <row r="1492" spans="1:11" x14ac:dyDescent="0.35">
      <c r="A1492">
        <v>1491</v>
      </c>
      <c r="B1492" t="s">
        <v>11</v>
      </c>
      <c r="C1492" t="s">
        <v>11</v>
      </c>
      <c r="D1492" t="s">
        <v>140</v>
      </c>
      <c r="E1492" s="2">
        <v>44181.332627314812</v>
      </c>
      <c r="F1492" s="2">
        <v>44181.342233796298</v>
      </c>
      <c r="G1492" s="3">
        <v>9.606481486116536E-3</v>
      </c>
      <c r="H1492" s="3">
        <v>835.05576200595749</v>
      </c>
      <c r="I1492" s="3">
        <v>13.917596033432625</v>
      </c>
      <c r="J1492" s="3">
        <v>0.23195993389054376</v>
      </c>
    </row>
    <row r="1493" spans="1:11" x14ac:dyDescent="0.35">
      <c r="A1493">
        <v>1492</v>
      </c>
      <c r="B1493" t="s">
        <v>2</v>
      </c>
      <c r="C1493" t="s">
        <v>96</v>
      </c>
      <c r="D1493" t="s">
        <v>140</v>
      </c>
      <c r="E1493" s="2">
        <v>44181.342372685183</v>
      </c>
      <c r="F1493" s="2">
        <v>44181.348113425927</v>
      </c>
      <c r="G1493" s="3">
        <v>5.7407407439313829E-3</v>
      </c>
      <c r="H1493" s="3">
        <v>499.02127468110069</v>
      </c>
      <c r="I1493" s="3">
        <v>8.3170212446850122</v>
      </c>
      <c r="J1493" s="3">
        <v>0.13861702074475021</v>
      </c>
    </row>
    <row r="1494" spans="1:11" x14ac:dyDescent="0.35">
      <c r="A1494">
        <v>1493</v>
      </c>
      <c r="B1494" t="s">
        <v>2</v>
      </c>
      <c r="C1494" t="s">
        <v>96</v>
      </c>
      <c r="D1494" t="s">
        <v>140</v>
      </c>
      <c r="E1494" s="2">
        <v>44181.348287037035</v>
      </c>
      <c r="F1494" s="2">
        <v>44181.395682870374</v>
      </c>
      <c r="G1494" s="3">
        <v>4.7395833338669036E-2</v>
      </c>
      <c r="H1494" s="3">
        <v>4119.94378813187</v>
      </c>
      <c r="I1494" s="3">
        <v>68.665729802197831</v>
      </c>
      <c r="J1494" s="3">
        <v>1.1444288300366305</v>
      </c>
    </row>
    <row r="1495" spans="1:11" x14ac:dyDescent="0.35">
      <c r="A1495">
        <v>1494</v>
      </c>
      <c r="B1495" t="s">
        <v>2</v>
      </c>
      <c r="C1495" t="s">
        <v>96</v>
      </c>
      <c r="D1495" t="s">
        <v>140</v>
      </c>
      <c r="E1495" s="2">
        <v>44181.395833333336</v>
      </c>
      <c r="F1495" s="2">
        <v>44181.425370370373</v>
      </c>
      <c r="G1495" s="3">
        <v>2.9537037036789116E-2</v>
      </c>
      <c r="H1495" s="3">
        <v>2567.5449440880661</v>
      </c>
      <c r="I1495" s="3">
        <v>42.792415734801104</v>
      </c>
      <c r="J1495" s="3">
        <v>0.71320692891335169</v>
      </c>
    </row>
    <row r="1496" spans="1:11" x14ac:dyDescent="0.35">
      <c r="A1496">
        <v>1495</v>
      </c>
      <c r="B1496" t="s">
        <v>16</v>
      </c>
      <c r="C1496" t="s">
        <v>16</v>
      </c>
      <c r="D1496" t="s">
        <v>140</v>
      </c>
      <c r="E1496" s="2">
        <v>44181.425439814811</v>
      </c>
      <c r="F1496" s="2">
        <v>44181.427534722221</v>
      </c>
      <c r="G1496" s="3">
        <v>2.0949074096279219E-3</v>
      </c>
      <c r="H1496" s="3">
        <v>182.10252169922825</v>
      </c>
      <c r="I1496" s="3">
        <v>3.0350420283204707</v>
      </c>
      <c r="J1496" s="3">
        <v>5.0584033805341176E-2</v>
      </c>
    </row>
    <row r="1497" spans="1:11" x14ac:dyDescent="0.35">
      <c r="A1497">
        <v>1496</v>
      </c>
      <c r="B1497" t="s">
        <v>2</v>
      </c>
      <c r="C1497" t="s">
        <v>96</v>
      </c>
      <c r="D1497" t="s">
        <v>140</v>
      </c>
      <c r="E1497" s="2">
        <v>44181.427662037036</v>
      </c>
      <c r="F1497" s="2">
        <v>44181.428784722222</v>
      </c>
      <c r="G1497" s="3">
        <v>1.1226851856918074E-3</v>
      </c>
      <c r="H1497" s="3">
        <v>97.590854110901191</v>
      </c>
      <c r="I1497" s="3">
        <v>1.6265142351816866</v>
      </c>
      <c r="J1497" s="3">
        <v>2.7108570586361444E-2</v>
      </c>
    </row>
    <row r="1498" spans="1:11" x14ac:dyDescent="0.35">
      <c r="A1498">
        <v>1497</v>
      </c>
      <c r="B1498" t="s">
        <v>16</v>
      </c>
      <c r="C1498" t="s">
        <v>16</v>
      </c>
      <c r="D1498" t="s">
        <v>140</v>
      </c>
      <c r="E1498" s="2">
        <v>44181.428842592592</v>
      </c>
      <c r="F1498" s="2">
        <v>44181.439826388887</v>
      </c>
      <c r="G1498" s="3">
        <v>1.0983796295477077E-2</v>
      </c>
      <c r="H1498" s="3">
        <v>954.78062373757621</v>
      </c>
      <c r="I1498" s="3">
        <v>15.913010395626269</v>
      </c>
      <c r="J1498" s="3">
        <v>0.26521683992710449</v>
      </c>
    </row>
    <row r="1499" spans="1:11" x14ac:dyDescent="0.35">
      <c r="A1499">
        <v>1498</v>
      </c>
      <c r="B1499" t="s">
        <v>2</v>
      </c>
      <c r="C1499" t="s">
        <v>96</v>
      </c>
      <c r="D1499" t="s">
        <v>140</v>
      </c>
      <c r="E1499" s="2">
        <v>44181.440011574072</v>
      </c>
      <c r="F1499" s="2">
        <v>44181.45553240741</v>
      </c>
      <c r="G1499" s="3">
        <v>1.5520833338086959E-2</v>
      </c>
      <c r="H1499" s="3">
        <v>1349.1684056056117</v>
      </c>
      <c r="I1499" s="3">
        <v>22.486140093426862</v>
      </c>
      <c r="J1499" s="3">
        <v>0.37476900155711435</v>
      </c>
    </row>
    <row r="1500" spans="1:11" x14ac:dyDescent="0.35">
      <c r="A1500">
        <v>1499</v>
      </c>
      <c r="B1500" t="s">
        <v>2</v>
      </c>
      <c r="C1500" t="s">
        <v>72</v>
      </c>
      <c r="D1500" t="s">
        <v>140</v>
      </c>
      <c r="E1500" s="2">
        <v>44181.455648148149</v>
      </c>
      <c r="F1500" s="2">
        <v>44181.480844907404</v>
      </c>
      <c r="G1500" s="3">
        <v>2.5196759255777579E-2</v>
      </c>
      <c r="H1500" s="3">
        <v>2190.2607141670355</v>
      </c>
      <c r="I1500" s="3">
        <v>36.50434523611726</v>
      </c>
      <c r="J1500" s="3">
        <v>0.60840575393528762</v>
      </c>
      <c r="K1500" t="s">
        <v>73</v>
      </c>
    </row>
    <row r="1501" spans="1:11" x14ac:dyDescent="0.35">
      <c r="A1501">
        <v>1500</v>
      </c>
      <c r="B1501" t="s">
        <v>11</v>
      </c>
      <c r="C1501" t="s">
        <v>11</v>
      </c>
      <c r="D1501" t="s">
        <v>140</v>
      </c>
      <c r="E1501" s="2">
        <v>44181.48097222222</v>
      </c>
      <c r="F1501" s="2">
        <v>44181.524444444447</v>
      </c>
      <c r="G1501" s="3">
        <v>4.3472222227137536E-2</v>
      </c>
      <c r="H1501" s="3">
        <v>3778.8788445008286</v>
      </c>
      <c r="I1501" s="3">
        <v>62.981314075013806</v>
      </c>
      <c r="J1501" s="3">
        <v>1.0496885679168968</v>
      </c>
    </row>
    <row r="1502" spans="1:11" x14ac:dyDescent="0.35">
      <c r="A1502">
        <v>1501</v>
      </c>
      <c r="B1502" t="s">
        <v>16</v>
      </c>
      <c r="C1502" t="s">
        <v>16</v>
      </c>
      <c r="D1502" t="s">
        <v>140</v>
      </c>
      <c r="E1502" s="2">
        <v>44181.524525462963</v>
      </c>
      <c r="F1502" s="2">
        <v>44181.554120370369</v>
      </c>
      <c r="G1502" s="3">
        <v>2.9594907406135462E-2</v>
      </c>
      <c r="H1502" s="3">
        <v>2572.5754003942507</v>
      </c>
      <c r="I1502" s="3">
        <v>42.876256673237513</v>
      </c>
      <c r="J1502" s="3">
        <v>0.71460427788729186</v>
      </c>
    </row>
    <row r="1503" spans="1:11" x14ac:dyDescent="0.35">
      <c r="A1503">
        <v>1502</v>
      </c>
      <c r="B1503" t="s">
        <v>11</v>
      </c>
      <c r="C1503" t="s">
        <v>11</v>
      </c>
      <c r="D1503" t="s">
        <v>140</v>
      </c>
      <c r="E1503" s="2">
        <v>44181.554224537038</v>
      </c>
      <c r="F1503" s="2">
        <v>44181.560648148145</v>
      </c>
      <c r="G1503" s="3">
        <v>6.4236111065838486E-3</v>
      </c>
      <c r="H1503" s="3">
        <v>558.3806594735612</v>
      </c>
      <c r="I1503" s="3">
        <v>9.3063443245593529</v>
      </c>
      <c r="J1503" s="3">
        <v>0.15510573874265587</v>
      </c>
    </row>
    <row r="1504" spans="1:11" x14ac:dyDescent="0.35">
      <c r="A1504">
        <v>1503</v>
      </c>
      <c r="B1504" t="s">
        <v>2</v>
      </c>
      <c r="C1504" t="s">
        <v>132</v>
      </c>
      <c r="D1504" t="s">
        <v>140</v>
      </c>
      <c r="E1504" s="2">
        <v>44181.56077546296</v>
      </c>
      <c r="F1504" s="2">
        <v>44181.584456018521</v>
      </c>
      <c r="G1504" s="3">
        <v>2.3680555561440997E-2</v>
      </c>
      <c r="H1504" s="3">
        <v>2058.4627574270685</v>
      </c>
      <c r="I1504" s="3">
        <v>34.307712623784475</v>
      </c>
      <c r="J1504" s="3">
        <v>0.5717952103964079</v>
      </c>
      <c r="K1504" t="s">
        <v>40</v>
      </c>
    </row>
    <row r="1505" spans="1:11" x14ac:dyDescent="0.35">
      <c r="A1505">
        <v>1504</v>
      </c>
      <c r="B1505" t="s">
        <v>2</v>
      </c>
      <c r="C1505" t="s">
        <v>72</v>
      </c>
      <c r="D1505" t="s">
        <v>140</v>
      </c>
      <c r="E1505" s="2">
        <v>44181.584548611114</v>
      </c>
      <c r="F1505" s="2">
        <v>44181.605914351851</v>
      </c>
      <c r="G1505" s="3">
        <v>2.1365740736655425E-2</v>
      </c>
      <c r="H1505" s="3">
        <v>1857.2445007523838</v>
      </c>
      <c r="I1505" s="3">
        <v>30.954075012539729</v>
      </c>
      <c r="J1505" s="3">
        <v>0.51590125020899547</v>
      </c>
      <c r="K1505" t="s">
        <v>73</v>
      </c>
    </row>
    <row r="1506" spans="1:11" x14ac:dyDescent="0.35">
      <c r="A1506">
        <v>1505</v>
      </c>
      <c r="B1506" t="s">
        <v>2</v>
      </c>
      <c r="C1506" t="s">
        <v>132</v>
      </c>
      <c r="D1506" t="s">
        <v>140</v>
      </c>
      <c r="E1506" s="2">
        <v>44181.606053240743</v>
      </c>
      <c r="F1506" s="2">
        <v>44181.641273148147</v>
      </c>
      <c r="G1506" s="3">
        <v>3.5219907404098194E-2</v>
      </c>
      <c r="H1506" s="3">
        <v>3061.5357618305106</v>
      </c>
      <c r="I1506" s="3">
        <v>51.02559603050851</v>
      </c>
      <c r="J1506" s="3">
        <v>0.85042660050847518</v>
      </c>
      <c r="K1506" t="s">
        <v>40</v>
      </c>
    </row>
    <row r="1507" spans="1:11" x14ac:dyDescent="0.35">
      <c r="A1507">
        <v>1506</v>
      </c>
      <c r="B1507" t="s">
        <v>16</v>
      </c>
      <c r="C1507" t="s">
        <v>16</v>
      </c>
      <c r="D1507" t="s">
        <v>140</v>
      </c>
      <c r="E1507" s="2">
        <v>44181.641388888886</v>
      </c>
      <c r="F1507" s="2">
        <v>44181.65152777778</v>
      </c>
      <c r="G1507" s="3">
        <v>1.0138888894289266E-2</v>
      </c>
      <c r="H1507" s="3">
        <v>881.33596090831588</v>
      </c>
      <c r="I1507" s="3">
        <v>14.688932681805264</v>
      </c>
      <c r="J1507" s="3">
        <v>0.2448155446967544</v>
      </c>
    </row>
    <row r="1508" spans="1:11" x14ac:dyDescent="0.35">
      <c r="A1508">
        <v>1507</v>
      </c>
      <c r="B1508" t="s">
        <v>2</v>
      </c>
      <c r="C1508" t="s">
        <v>132</v>
      </c>
      <c r="D1508" t="s">
        <v>140</v>
      </c>
      <c r="E1508" s="2">
        <v>44181.651655092595</v>
      </c>
      <c r="F1508" s="2">
        <v>44181.715196759258</v>
      </c>
      <c r="G1508" s="3">
        <v>6.3541666662786156E-2</v>
      </c>
      <c r="H1508" s="3">
        <v>5523.441121591286</v>
      </c>
      <c r="I1508" s="3">
        <v>92.057352026521428</v>
      </c>
      <c r="J1508" s="3">
        <v>1.5342892004420239</v>
      </c>
      <c r="K1508" t="s">
        <v>40</v>
      </c>
    </row>
    <row r="1509" spans="1:11" x14ac:dyDescent="0.35">
      <c r="A1509">
        <v>1508</v>
      </c>
      <c r="B1509" t="s">
        <v>16</v>
      </c>
      <c r="C1509" t="s">
        <v>16</v>
      </c>
      <c r="D1509" t="s">
        <v>140</v>
      </c>
      <c r="E1509" s="2">
        <v>44181.715277777781</v>
      </c>
      <c r="F1509" s="2">
        <v>44181.72488425926</v>
      </c>
      <c r="G1509" s="3">
        <v>9.6064814788405783E-3</v>
      </c>
      <c r="H1509" s="3">
        <v>835.05576137348555</v>
      </c>
      <c r="I1509" s="3">
        <v>13.917596022891425</v>
      </c>
      <c r="J1509" s="3">
        <v>0.2319599337148571</v>
      </c>
    </row>
    <row r="1510" spans="1:11" x14ac:dyDescent="0.35">
      <c r="A1510">
        <v>1509</v>
      </c>
      <c r="B1510" t="s">
        <v>2</v>
      </c>
      <c r="C1510" t="s">
        <v>96</v>
      </c>
      <c r="D1510" t="s">
        <v>140</v>
      </c>
      <c r="E1510" s="2">
        <v>44181.725104166668</v>
      </c>
      <c r="F1510" s="2">
        <v>44181.79415509259</v>
      </c>
      <c r="G1510" s="3">
        <v>6.9050925922056194E-2</v>
      </c>
      <c r="H1510" s="3">
        <v>6002.3405704151764</v>
      </c>
      <c r="I1510" s="3">
        <v>100.03900950691961</v>
      </c>
      <c r="J1510" s="3">
        <v>1.667316825115327</v>
      </c>
    </row>
    <row r="1511" spans="1:11" x14ac:dyDescent="0.35">
      <c r="A1511">
        <v>1510</v>
      </c>
      <c r="B1511" t="s">
        <v>11</v>
      </c>
      <c r="C1511" t="s">
        <v>11</v>
      </c>
      <c r="D1511" t="s">
        <v>140</v>
      </c>
      <c r="E1511" s="2">
        <v>44181.801666666666</v>
      </c>
      <c r="F1511" s="2">
        <v>44181.806597222225</v>
      </c>
      <c r="G1511" s="3">
        <v>4.9305555585306138E-3</v>
      </c>
      <c r="H1511" s="3">
        <v>428.59488512957347</v>
      </c>
      <c r="I1511" s="3">
        <v>7.1432480854928908</v>
      </c>
      <c r="J1511" s="3">
        <v>0.11905413475821484</v>
      </c>
    </row>
    <row r="1512" spans="1:11" x14ac:dyDescent="0.35">
      <c r="A1512">
        <v>1511</v>
      </c>
      <c r="B1512" t="s">
        <v>11</v>
      </c>
      <c r="C1512" t="s">
        <v>11</v>
      </c>
      <c r="D1512" t="s">
        <v>140</v>
      </c>
      <c r="E1512" s="2">
        <v>44181.818425925929</v>
      </c>
      <c r="F1512" s="2">
        <v>44181.969490740739</v>
      </c>
      <c r="G1512" s="3">
        <v>0.15106481481052469</v>
      </c>
      <c r="H1512" s="3">
        <v>13131.503373654788</v>
      </c>
      <c r="I1512" s="3">
        <v>218.85838956091314</v>
      </c>
      <c r="J1512" s="3">
        <v>3.6476398260152192</v>
      </c>
    </row>
    <row r="1513" spans="1:11" x14ac:dyDescent="0.35">
      <c r="A1513">
        <v>1512</v>
      </c>
      <c r="B1513" t="s">
        <v>2</v>
      </c>
      <c r="C1513" t="s">
        <v>132</v>
      </c>
      <c r="D1513" t="s">
        <v>140</v>
      </c>
      <c r="E1513" s="2">
        <v>44182.358437499999</v>
      </c>
      <c r="F1513" s="2">
        <v>44182.375300925924</v>
      </c>
      <c r="G1513" s="3">
        <v>1.6863425924384501E-2</v>
      </c>
      <c r="H1513" s="3">
        <v>1465.8749934270254</v>
      </c>
      <c r="I1513" s="3">
        <v>24.431249890450424</v>
      </c>
      <c r="J1513" s="3">
        <v>0.40718749817417371</v>
      </c>
      <c r="K1513" t="s">
        <v>64</v>
      </c>
    </row>
    <row r="1514" spans="1:11" x14ac:dyDescent="0.35">
      <c r="A1514">
        <v>1513</v>
      </c>
      <c r="B1514" t="s">
        <v>11</v>
      </c>
      <c r="C1514" t="s">
        <v>11</v>
      </c>
      <c r="D1514" t="s">
        <v>140</v>
      </c>
      <c r="E1514" s="2">
        <v>44182.375706018516</v>
      </c>
      <c r="F1514" s="2">
        <v>44182.383460648147</v>
      </c>
      <c r="G1514" s="3">
        <v>7.7546296306536533E-3</v>
      </c>
      <c r="H1514" s="3">
        <v>674.08115704569309</v>
      </c>
      <c r="I1514" s="3">
        <v>11.234685950761552</v>
      </c>
      <c r="J1514" s="3">
        <v>0.18724476584602587</v>
      </c>
    </row>
    <row r="1515" spans="1:11" x14ac:dyDescent="0.35">
      <c r="A1515">
        <v>1514</v>
      </c>
      <c r="B1515" t="s">
        <v>2</v>
      </c>
      <c r="C1515" t="s">
        <v>132</v>
      </c>
      <c r="D1515" t="s">
        <v>140</v>
      </c>
      <c r="E1515" s="2">
        <v>44182.383703703701</v>
      </c>
      <c r="F1515" s="2">
        <v>44182.395891203705</v>
      </c>
      <c r="G1515" s="3">
        <v>1.2187500004074536E-2</v>
      </c>
      <c r="H1515" s="3">
        <v>1059.4141171831134</v>
      </c>
      <c r="I1515" s="3">
        <v>17.656901953051889</v>
      </c>
      <c r="J1515" s="3">
        <v>0.2942816992175315</v>
      </c>
      <c r="K1515" t="s">
        <v>88</v>
      </c>
    </row>
    <row r="1516" spans="1:11" x14ac:dyDescent="0.35">
      <c r="A1516">
        <v>1515</v>
      </c>
      <c r="B1516" t="s">
        <v>11</v>
      </c>
      <c r="C1516" t="s">
        <v>11</v>
      </c>
      <c r="D1516" t="s">
        <v>140</v>
      </c>
      <c r="E1516" s="2">
        <v>44182.39607638889</v>
      </c>
      <c r="F1516" s="2">
        <v>44182.418414351851</v>
      </c>
      <c r="G1516" s="3">
        <v>2.233796296059154E-2</v>
      </c>
      <c r="H1516" s="3">
        <v>1941.7561683407109</v>
      </c>
      <c r="I1516" s="3">
        <v>32.362602805678513</v>
      </c>
      <c r="J1516" s="3">
        <v>0.53937671342797522</v>
      </c>
    </row>
    <row r="1517" spans="1:11" x14ac:dyDescent="0.35">
      <c r="A1517">
        <v>1516</v>
      </c>
      <c r="B1517" t="s">
        <v>2</v>
      </c>
      <c r="C1517" t="s">
        <v>132</v>
      </c>
      <c r="D1517" t="s">
        <v>140</v>
      </c>
      <c r="E1517" s="2">
        <v>44182.418668981481</v>
      </c>
      <c r="F1517" s="2">
        <v>44182.438680555555</v>
      </c>
      <c r="G1517" s="3">
        <v>2.0011574073578231E-2</v>
      </c>
      <c r="H1517" s="3">
        <v>1739.5318214167446</v>
      </c>
      <c r="I1517" s="3">
        <v>28.992197023612409</v>
      </c>
      <c r="J1517" s="3">
        <v>0.48320328372687349</v>
      </c>
      <c r="K1517" t="s">
        <v>41</v>
      </c>
    </row>
    <row r="1518" spans="1:11" x14ac:dyDescent="0.35">
      <c r="A1518">
        <v>1517</v>
      </c>
      <c r="B1518" t="s">
        <v>11</v>
      </c>
      <c r="C1518" t="s">
        <v>11</v>
      </c>
      <c r="D1518" t="s">
        <v>140</v>
      </c>
      <c r="E1518" s="2">
        <v>44182.43886574074</v>
      </c>
      <c r="F1518" s="2">
        <v>44182.455451388887</v>
      </c>
      <c r="G1518" s="3">
        <v>1.6585648147156462E-2</v>
      </c>
      <c r="H1518" s="3">
        <v>1441.7288027778566</v>
      </c>
      <c r="I1518" s="3">
        <v>24.028813379630943</v>
      </c>
      <c r="J1518" s="3">
        <v>0.40048022299384906</v>
      </c>
    </row>
    <row r="1519" spans="1:11" x14ac:dyDescent="0.35">
      <c r="A1519">
        <v>1518</v>
      </c>
      <c r="B1519" t="s">
        <v>2</v>
      </c>
      <c r="C1519" t="s">
        <v>132</v>
      </c>
      <c r="D1519" t="s">
        <v>140</v>
      </c>
      <c r="E1519" s="2">
        <v>44182.455682870372</v>
      </c>
      <c r="F1519" s="2">
        <v>44182.466597222221</v>
      </c>
      <c r="G1519" s="3">
        <v>1.0914351849351078E-2</v>
      </c>
      <c r="H1519" s="3">
        <v>948.74407591716601</v>
      </c>
      <c r="I1519" s="3">
        <v>15.8124012652861</v>
      </c>
      <c r="J1519" s="3">
        <v>0.26354002108810165</v>
      </c>
      <c r="K1519" t="s">
        <v>41</v>
      </c>
    </row>
    <row r="1520" spans="1:11" x14ac:dyDescent="0.35">
      <c r="A1520">
        <v>1519</v>
      </c>
      <c r="B1520" t="s">
        <v>11</v>
      </c>
      <c r="C1520" t="s">
        <v>11</v>
      </c>
      <c r="D1520" t="s">
        <v>140</v>
      </c>
      <c r="E1520" s="2">
        <v>44182.466817129629</v>
      </c>
      <c r="F1520" s="2">
        <v>44182.466851851852</v>
      </c>
      <c r="G1520" s="3">
        <v>3.4722223062999547E-5</v>
      </c>
      <c r="H1520" s="3">
        <v>3.0182739102051066</v>
      </c>
      <c r="I1520" s="3">
        <v>5.0304565170085108E-2</v>
      </c>
      <c r="J1520" s="3">
        <v>8.3840941950141844E-4</v>
      </c>
    </row>
    <row r="1521" spans="1:11" x14ac:dyDescent="0.35">
      <c r="A1521">
        <v>1520</v>
      </c>
      <c r="B1521" t="s">
        <v>11</v>
      </c>
      <c r="C1521" t="s">
        <v>11</v>
      </c>
      <c r="D1521" t="s">
        <v>140</v>
      </c>
      <c r="E1521" s="2">
        <v>44182.538784722223</v>
      </c>
      <c r="F1521" s="2">
        <v>44182.538842592592</v>
      </c>
      <c r="G1521" s="3">
        <v>5.7870369346346706E-5</v>
      </c>
      <c r="H1521" s="3">
        <v>5.0304563061845187</v>
      </c>
      <c r="I1521" s="3">
        <v>8.3840938436408649E-2</v>
      </c>
      <c r="J1521" s="3">
        <v>1.3973489739401441E-3</v>
      </c>
    </row>
    <row r="1522" spans="1:11" x14ac:dyDescent="0.35">
      <c r="A1522">
        <v>1521</v>
      </c>
      <c r="B1522" t="s">
        <v>2</v>
      </c>
      <c r="C1522" t="s">
        <v>96</v>
      </c>
      <c r="D1522" t="s">
        <v>140</v>
      </c>
      <c r="E1522" s="2">
        <v>44182.539004629631</v>
      </c>
      <c r="F1522" s="2">
        <v>44182.564375000002</v>
      </c>
      <c r="G1522" s="3">
        <v>2.5370370371092577E-2</v>
      </c>
      <c r="H1522" s="3">
        <v>2205.3520837180613</v>
      </c>
      <c r="I1522" s="3">
        <v>36.755868061967689</v>
      </c>
      <c r="J1522" s="3">
        <v>0.61259780103279482</v>
      </c>
    </row>
    <row r="1523" spans="1:11" x14ac:dyDescent="0.35">
      <c r="A1523">
        <v>1522</v>
      </c>
      <c r="B1523" t="s">
        <v>2</v>
      </c>
      <c r="C1523" t="s">
        <v>96</v>
      </c>
      <c r="D1523" t="s">
        <v>140</v>
      </c>
      <c r="E1523" s="2">
        <v>44182.564525462964</v>
      </c>
      <c r="F1523" s="2">
        <v>44182.566851851851</v>
      </c>
      <c r="G1523" s="3">
        <v>2.3263888870133087E-3</v>
      </c>
      <c r="H1523" s="3">
        <v>202.22434692396632</v>
      </c>
      <c r="I1523" s="3">
        <v>3.3704057820661055</v>
      </c>
      <c r="J1523" s="3">
        <v>5.6173429701101757E-2</v>
      </c>
    </row>
    <row r="1524" spans="1:11" x14ac:dyDescent="0.35">
      <c r="A1524">
        <v>1523</v>
      </c>
      <c r="B1524" t="s">
        <v>2</v>
      </c>
      <c r="C1524" t="s">
        <v>96</v>
      </c>
      <c r="D1524" t="s">
        <v>140</v>
      </c>
      <c r="E1524" s="2">
        <v>44182.567083333335</v>
      </c>
      <c r="F1524" s="2">
        <v>44182.584270833337</v>
      </c>
      <c r="G1524" s="3">
        <v>1.7187500001455192E-2</v>
      </c>
      <c r="H1524" s="3">
        <v>1494.0455495006252</v>
      </c>
      <c r="I1524" s="3">
        <v>24.900759158343753</v>
      </c>
      <c r="J1524" s="3">
        <v>0.41501265263906256</v>
      </c>
    </row>
    <row r="1525" spans="1:11" x14ac:dyDescent="0.35">
      <c r="A1525">
        <v>1524</v>
      </c>
      <c r="B1525" t="s">
        <v>2</v>
      </c>
      <c r="C1525" t="s">
        <v>96</v>
      </c>
      <c r="D1525" t="s">
        <v>140</v>
      </c>
      <c r="E1525" s="2">
        <v>44182.584444444445</v>
      </c>
      <c r="F1525" s="2">
        <v>44182.618657407409</v>
      </c>
      <c r="G1525" s="3">
        <v>3.4212962964375038E-2</v>
      </c>
      <c r="H1525" s="3">
        <v>2974.0058209644503</v>
      </c>
      <c r="I1525" s="3">
        <v>49.566763682740842</v>
      </c>
      <c r="J1525" s="3">
        <v>0.8261127280456807</v>
      </c>
    </row>
    <row r="1526" spans="1:11" x14ac:dyDescent="0.35">
      <c r="A1526">
        <v>1525</v>
      </c>
      <c r="B1526" t="s">
        <v>2</v>
      </c>
      <c r="C1526" t="s">
        <v>96</v>
      </c>
      <c r="D1526" t="s">
        <v>140</v>
      </c>
      <c r="E1526" s="2">
        <v>44182.618761574071</v>
      </c>
      <c r="F1526" s="2">
        <v>44182.632592592592</v>
      </c>
      <c r="G1526" s="3">
        <v>1.3831018521159422E-2</v>
      </c>
      <c r="H1526" s="3">
        <v>1202.2790786821472</v>
      </c>
      <c r="I1526" s="3">
        <v>20.037984644702455</v>
      </c>
      <c r="J1526" s="3">
        <v>0.33396641074504091</v>
      </c>
    </row>
    <row r="1527" spans="1:11" x14ac:dyDescent="0.35">
      <c r="A1527">
        <v>1526</v>
      </c>
      <c r="B1527" t="s">
        <v>2</v>
      </c>
      <c r="C1527" t="s">
        <v>96</v>
      </c>
      <c r="D1527" t="s">
        <v>140</v>
      </c>
      <c r="E1527" s="2">
        <v>44182.632731481484</v>
      </c>
      <c r="F1527" s="2">
        <v>44182.640972222223</v>
      </c>
      <c r="G1527" s="3">
        <v>8.2407407389837317E-3</v>
      </c>
      <c r="H1527" s="3">
        <v>716.33699052362056</v>
      </c>
      <c r="I1527" s="3">
        <v>11.938949842060342</v>
      </c>
      <c r="J1527" s="3">
        <v>0.19898249736767237</v>
      </c>
    </row>
    <row r="1528" spans="1:11" x14ac:dyDescent="0.35">
      <c r="A1528">
        <v>1527</v>
      </c>
      <c r="B1528" t="s">
        <v>16</v>
      </c>
      <c r="C1528" t="s">
        <v>16</v>
      </c>
      <c r="D1528" t="s">
        <v>140</v>
      </c>
      <c r="E1528" s="2">
        <v>44182.641134259262</v>
      </c>
      <c r="F1528" s="2">
        <v>44182.651956018519</v>
      </c>
      <c r="G1528" s="3">
        <v>1.0821759256941732E-2</v>
      </c>
      <c r="H1528" s="3">
        <v>940.69534570077633</v>
      </c>
      <c r="I1528" s="3">
        <v>15.678255761679605</v>
      </c>
      <c r="J1528" s="3">
        <v>0.26130426269466006</v>
      </c>
    </row>
    <row r="1529" spans="1:11" x14ac:dyDescent="0.35">
      <c r="A1529">
        <v>1528</v>
      </c>
      <c r="B1529" t="s">
        <v>2</v>
      </c>
      <c r="C1529" t="s">
        <v>96</v>
      </c>
      <c r="D1529" t="s">
        <v>140</v>
      </c>
      <c r="E1529" s="2">
        <v>44182.652233796296</v>
      </c>
      <c r="F1529" s="2">
        <v>44182.711608796293</v>
      </c>
      <c r="G1529" s="3">
        <v>5.9374999997089617E-2</v>
      </c>
      <c r="H1529" s="3">
        <v>5161.2482612212807</v>
      </c>
      <c r="I1529" s="3">
        <v>86.020804353688007</v>
      </c>
      <c r="J1529" s="3">
        <v>1.4336800725614667</v>
      </c>
    </row>
    <row r="1530" spans="1:11" x14ac:dyDescent="0.35">
      <c r="A1530">
        <v>1529</v>
      </c>
      <c r="B1530" t="s">
        <v>2</v>
      </c>
      <c r="C1530" t="s">
        <v>132</v>
      </c>
      <c r="D1530" t="s">
        <v>140</v>
      </c>
      <c r="E1530" s="2">
        <v>44182.712129629632</v>
      </c>
      <c r="F1530" s="2">
        <v>44182.718414351853</v>
      </c>
      <c r="G1530" s="3">
        <v>6.284722221607808E-3</v>
      </c>
      <c r="H1530" s="3">
        <v>546.30756446521275</v>
      </c>
      <c r="I1530" s="3">
        <v>9.1051260744202125</v>
      </c>
      <c r="J1530" s="3">
        <v>0.15175210124033686</v>
      </c>
      <c r="K1530" t="s">
        <v>42</v>
      </c>
    </row>
    <row r="1531" spans="1:11" x14ac:dyDescent="0.35">
      <c r="A1531">
        <v>1530</v>
      </c>
      <c r="B1531" t="s">
        <v>2</v>
      </c>
      <c r="C1531" t="s">
        <v>96</v>
      </c>
      <c r="D1531" t="s">
        <v>140</v>
      </c>
      <c r="E1531" s="2">
        <v>44182.719733796293</v>
      </c>
      <c r="F1531" s="2">
        <v>44182.72755787037</v>
      </c>
      <c r="G1531" s="3">
        <v>7.8240740767796524E-3</v>
      </c>
      <c r="H1531" s="3">
        <v>680.11770486610328</v>
      </c>
      <c r="I1531" s="3">
        <v>11.335295081101721</v>
      </c>
      <c r="J1531" s="3">
        <v>0.18892158468502868</v>
      </c>
    </row>
    <row r="1532" spans="1:11" x14ac:dyDescent="0.35">
      <c r="A1532">
        <v>1531</v>
      </c>
      <c r="B1532" t="s">
        <v>2</v>
      </c>
      <c r="C1532" t="s">
        <v>96</v>
      </c>
      <c r="D1532" t="s">
        <v>140</v>
      </c>
      <c r="E1532" s="2">
        <v>44182.727662037039</v>
      </c>
      <c r="F1532" s="2">
        <v>44182.742974537039</v>
      </c>
      <c r="G1532" s="3">
        <v>1.5312499999708962E-2</v>
      </c>
      <c r="H1532" s="3">
        <v>1331.0587621443813</v>
      </c>
      <c r="I1532" s="3">
        <v>22.184312702406356</v>
      </c>
      <c r="J1532" s="3">
        <v>0.36973854504010595</v>
      </c>
    </row>
    <row r="1533" spans="1:11" x14ac:dyDescent="0.35">
      <c r="A1533">
        <v>1532</v>
      </c>
      <c r="B1533" t="s">
        <v>2</v>
      </c>
      <c r="C1533" t="s">
        <v>96</v>
      </c>
      <c r="D1533" t="s">
        <v>140</v>
      </c>
      <c r="E1533" s="2">
        <v>44182.743738425925</v>
      </c>
      <c r="F1533" s="2">
        <v>44182.800127314818</v>
      </c>
      <c r="G1533" s="3">
        <v>5.638888889370719E-2</v>
      </c>
      <c r="H1533" s="3">
        <v>4901.6767119008337</v>
      </c>
      <c r="I1533" s="3">
        <v>81.694611865013897</v>
      </c>
      <c r="J1533" s="3">
        <v>1.3615768644168982</v>
      </c>
    </row>
    <row r="1534" spans="1:11" x14ac:dyDescent="0.35">
      <c r="A1534">
        <v>1533</v>
      </c>
      <c r="B1534" t="s">
        <v>2</v>
      </c>
      <c r="C1534" t="s">
        <v>96</v>
      </c>
      <c r="D1534" t="s">
        <v>140</v>
      </c>
      <c r="E1534" s="2">
        <v>44182.819861111115</v>
      </c>
      <c r="F1534" s="2">
        <v>44182.857719907406</v>
      </c>
      <c r="G1534" s="3">
        <v>3.7858796291402541E-2</v>
      </c>
      <c r="H1534" s="3">
        <v>3290.9245733138509</v>
      </c>
      <c r="I1534" s="3">
        <v>54.848742888564182</v>
      </c>
      <c r="J1534" s="3">
        <v>0.91414571480940299</v>
      </c>
    </row>
    <row r="1535" spans="1:11" x14ac:dyDescent="0.35">
      <c r="A1535">
        <v>1534</v>
      </c>
      <c r="B1535" t="s">
        <v>11</v>
      </c>
      <c r="C1535" t="s">
        <v>11</v>
      </c>
      <c r="D1535" t="s">
        <v>140</v>
      </c>
      <c r="E1535" s="2">
        <v>44183.294849537036</v>
      </c>
      <c r="F1535" s="2">
        <v>44183.308009259257</v>
      </c>
      <c r="G1535" s="3">
        <v>1.3159722220734693E-2</v>
      </c>
      <c r="H1535" s="3">
        <v>1143.9257841389683</v>
      </c>
      <c r="I1535" s="3">
        <v>19.06542973564947</v>
      </c>
      <c r="J1535" s="3">
        <v>0.31775716226082451</v>
      </c>
    </row>
    <row r="1536" spans="1:11" x14ac:dyDescent="0.35">
      <c r="A1536">
        <v>1535</v>
      </c>
      <c r="B1536" t="s">
        <v>11</v>
      </c>
      <c r="C1536" t="s">
        <v>11</v>
      </c>
      <c r="D1536" t="s">
        <v>140</v>
      </c>
      <c r="E1536" s="2">
        <v>44183.336469907408</v>
      </c>
      <c r="F1536" s="2">
        <v>44183.343009259261</v>
      </c>
      <c r="G1536" s="3">
        <v>6.5393518525524996E-3</v>
      </c>
      <c r="H1536" s="3">
        <v>568.4415727184022</v>
      </c>
      <c r="I1536" s="3">
        <v>9.4740262119733707</v>
      </c>
      <c r="J1536" s="3">
        <v>0.15790043686622285</v>
      </c>
    </row>
    <row r="1537" spans="1:11" x14ac:dyDescent="0.35">
      <c r="A1537">
        <v>1536</v>
      </c>
      <c r="B1537" t="s">
        <v>2</v>
      </c>
      <c r="C1537" t="s">
        <v>132</v>
      </c>
      <c r="D1537" t="s">
        <v>140</v>
      </c>
      <c r="E1537" s="2">
        <v>44183.343136574076</v>
      </c>
      <c r="F1537" s="2">
        <v>44183.348680555559</v>
      </c>
      <c r="G1537" s="3">
        <v>5.543981482333038E-3</v>
      </c>
      <c r="H1537" s="3">
        <v>481.91772273409578</v>
      </c>
      <c r="I1537" s="3">
        <v>8.0319620455682621</v>
      </c>
      <c r="J1537" s="3">
        <v>0.13386603409280437</v>
      </c>
      <c r="K1537" t="s">
        <v>41</v>
      </c>
    </row>
    <row r="1538" spans="1:11" x14ac:dyDescent="0.35">
      <c r="A1538">
        <v>1537</v>
      </c>
      <c r="B1538" t="s">
        <v>11</v>
      </c>
      <c r="C1538" t="s">
        <v>11</v>
      </c>
      <c r="D1538" t="s">
        <v>140</v>
      </c>
      <c r="E1538" s="2">
        <v>44183.34878472222</v>
      </c>
      <c r="F1538" s="2">
        <v>44183.352256944447</v>
      </c>
      <c r="G1538" s="3">
        <v>3.4722222262644209E-3</v>
      </c>
      <c r="H1538" s="3">
        <v>301.8273840633189</v>
      </c>
      <c r="I1538" s="3">
        <v>5.0304564010553152</v>
      </c>
      <c r="J1538" s="3">
        <v>8.3840940017588586E-2</v>
      </c>
    </row>
    <row r="1539" spans="1:11" x14ac:dyDescent="0.35">
      <c r="A1539">
        <v>1538</v>
      </c>
      <c r="B1539" t="s">
        <v>11</v>
      </c>
      <c r="C1539" t="s">
        <v>11</v>
      </c>
      <c r="D1539" t="s">
        <v>140</v>
      </c>
      <c r="E1539" s="2">
        <v>44183.352337962962</v>
      </c>
      <c r="F1539" s="2">
        <v>44183.353912037041</v>
      </c>
      <c r="G1539" s="3">
        <v>1.5740740782348439E-3</v>
      </c>
      <c r="H1539" s="3">
        <v>136.8284143110956</v>
      </c>
      <c r="I1539" s="3">
        <v>2.2804735718515934</v>
      </c>
      <c r="J1539" s="3">
        <v>3.8007892864193225E-2</v>
      </c>
    </row>
    <row r="1540" spans="1:11" x14ac:dyDescent="0.35">
      <c r="A1540">
        <v>1539</v>
      </c>
      <c r="B1540" t="s">
        <v>11</v>
      </c>
      <c r="C1540" t="s">
        <v>11</v>
      </c>
      <c r="D1540" t="s">
        <v>140</v>
      </c>
      <c r="E1540" s="2">
        <v>44183.353981481479</v>
      </c>
      <c r="F1540" s="2">
        <v>44183.356134259258</v>
      </c>
      <c r="G1540" s="3">
        <v>2.1527777789742686E-3</v>
      </c>
      <c r="H1540" s="3">
        <v>187.13297800541278</v>
      </c>
      <c r="I1540" s="3">
        <v>3.1188829667568796</v>
      </c>
      <c r="J1540" s="3">
        <v>5.1981382779281327E-2</v>
      </c>
    </row>
    <row r="1541" spans="1:11" x14ac:dyDescent="0.35">
      <c r="A1541">
        <v>1540</v>
      </c>
      <c r="B1541" t="s">
        <v>11</v>
      </c>
      <c r="C1541" t="s">
        <v>11</v>
      </c>
      <c r="D1541" t="s">
        <v>140</v>
      </c>
      <c r="E1541" s="2">
        <v>44183.356226851851</v>
      </c>
      <c r="F1541" s="2">
        <v>44183.357569444444</v>
      </c>
      <c r="G1541" s="3">
        <v>1.3425925935734995E-3</v>
      </c>
      <c r="H1541" s="3">
        <v>116.70658845388556</v>
      </c>
      <c r="I1541" s="3">
        <v>1.9451098075647593</v>
      </c>
      <c r="J1541" s="3">
        <v>3.2418496792745985E-2</v>
      </c>
    </row>
    <row r="1542" spans="1:11" x14ac:dyDescent="0.35">
      <c r="A1542">
        <v>1541</v>
      </c>
      <c r="B1542" t="s">
        <v>2</v>
      </c>
      <c r="C1542" t="s">
        <v>96</v>
      </c>
      <c r="D1542" t="s">
        <v>140</v>
      </c>
      <c r="E1542" s="2">
        <v>44183.357731481483</v>
      </c>
      <c r="F1542" s="2">
        <v>44183.361574074072</v>
      </c>
      <c r="G1542" s="3">
        <v>3.8425925886258483E-3</v>
      </c>
      <c r="H1542" s="3">
        <v>334.02230429640542</v>
      </c>
      <c r="I1542" s="3">
        <v>5.5670384049400905</v>
      </c>
      <c r="J1542" s="3">
        <v>9.2783973415668172E-2</v>
      </c>
    </row>
    <row r="1543" spans="1:11" x14ac:dyDescent="0.35">
      <c r="A1543">
        <v>1542</v>
      </c>
      <c r="B1543" t="s">
        <v>16</v>
      </c>
      <c r="C1543" t="s">
        <v>16</v>
      </c>
      <c r="D1543" t="s">
        <v>140</v>
      </c>
      <c r="E1543" s="2">
        <v>44183.361875000002</v>
      </c>
      <c r="F1543" s="2">
        <v>44183.368425925924</v>
      </c>
      <c r="G1543" s="3">
        <v>6.5509259220561944E-3</v>
      </c>
      <c r="H1543" s="3">
        <v>569.44766360015592</v>
      </c>
      <c r="I1543" s="3">
        <v>9.490794393335932</v>
      </c>
      <c r="J1543" s="3">
        <v>0.15817990655559885</v>
      </c>
    </row>
    <row r="1544" spans="1:11" x14ac:dyDescent="0.35">
      <c r="A1544">
        <v>1543</v>
      </c>
      <c r="B1544" t="s">
        <v>11</v>
      </c>
      <c r="C1544" t="s">
        <v>11</v>
      </c>
      <c r="D1544" t="s">
        <v>140</v>
      </c>
      <c r="E1544" s="2">
        <v>44183.368611111109</v>
      </c>
      <c r="F1544" s="2">
        <v>44183.369375000002</v>
      </c>
      <c r="G1544" s="3">
        <v>7.638888928340748E-4</v>
      </c>
      <c r="H1544" s="3">
        <v>66.402024759568391</v>
      </c>
      <c r="I1544" s="3">
        <v>1.1067004126594733</v>
      </c>
      <c r="J1544" s="3">
        <v>1.8445006877657887E-2</v>
      </c>
    </row>
    <row r="1545" spans="1:11" x14ac:dyDescent="0.35">
      <c r="A1545">
        <v>1544</v>
      </c>
      <c r="B1545" t="s">
        <v>2</v>
      </c>
      <c r="C1545" t="s">
        <v>132</v>
      </c>
      <c r="D1545" t="s">
        <v>140</v>
      </c>
      <c r="E1545" s="2">
        <v>44183.369513888887</v>
      </c>
      <c r="F1545" s="2">
        <v>44183.371354166666</v>
      </c>
      <c r="G1545" s="3">
        <v>1.8402777786832303E-3</v>
      </c>
      <c r="H1545" s="3">
        <v>159.9685134460388</v>
      </c>
      <c r="I1545" s="3">
        <v>2.6661418907673133</v>
      </c>
      <c r="J1545" s="3">
        <v>4.4435698179455224E-2</v>
      </c>
      <c r="K1545" t="s">
        <v>40</v>
      </c>
    </row>
    <row r="1546" spans="1:11" x14ac:dyDescent="0.35">
      <c r="A1546">
        <v>1545</v>
      </c>
      <c r="B1546" t="s">
        <v>11</v>
      </c>
      <c r="C1546" t="s">
        <v>11</v>
      </c>
      <c r="D1546" t="s">
        <v>140</v>
      </c>
      <c r="E1546" s="2">
        <v>44183.371435185189</v>
      </c>
      <c r="F1546" s="2">
        <v>44183.373425925929</v>
      </c>
      <c r="G1546" s="3">
        <v>1.9907407404389232E-3</v>
      </c>
      <c r="H1546" s="3">
        <v>173.04769996861293</v>
      </c>
      <c r="I1546" s="3">
        <v>2.8841283328102154</v>
      </c>
      <c r="J1546" s="3">
        <v>4.8068805546836922E-2</v>
      </c>
    </row>
    <row r="1547" spans="1:11" x14ac:dyDescent="0.35">
      <c r="A1547">
        <v>1546</v>
      </c>
      <c r="B1547" t="s">
        <v>2</v>
      </c>
      <c r="C1547" t="s">
        <v>96</v>
      </c>
      <c r="D1547" t="s">
        <v>140</v>
      </c>
      <c r="E1547" s="2">
        <v>44183.373564814814</v>
      </c>
      <c r="F1547" s="2">
        <v>44183.393206018518</v>
      </c>
      <c r="G1547" s="3">
        <v>1.9641203703940846E-2</v>
      </c>
      <c r="H1547" s="3">
        <v>1707.3369005511861</v>
      </c>
      <c r="I1547" s="3">
        <v>28.455615009186435</v>
      </c>
      <c r="J1547" s="3">
        <v>0.47426025015310724</v>
      </c>
    </row>
    <row r="1548" spans="1:11" x14ac:dyDescent="0.35">
      <c r="A1548">
        <v>1547</v>
      </c>
      <c r="B1548" t="s">
        <v>16</v>
      </c>
      <c r="C1548" t="s">
        <v>16</v>
      </c>
      <c r="D1548" t="s">
        <v>140</v>
      </c>
      <c r="E1548" s="2">
        <v>44183.39340277778</v>
      </c>
      <c r="F1548" s="2">
        <v>44183.40892361111</v>
      </c>
      <c r="G1548" s="3">
        <v>1.5520833330811001E-2</v>
      </c>
      <c r="H1548" s="3">
        <v>1349.1684049731398</v>
      </c>
      <c r="I1548" s="3">
        <v>22.486140082885662</v>
      </c>
      <c r="J1548" s="3">
        <v>0.37476900138142771</v>
      </c>
    </row>
    <row r="1549" spans="1:11" x14ac:dyDescent="0.35">
      <c r="A1549">
        <v>1548</v>
      </c>
      <c r="B1549" t="s">
        <v>2</v>
      </c>
      <c r="C1549" t="s">
        <v>96</v>
      </c>
      <c r="D1549" t="s">
        <v>140</v>
      </c>
      <c r="E1549" s="2">
        <v>44183.409351851849</v>
      </c>
      <c r="F1549" s="2">
        <v>44183.431712962964</v>
      </c>
      <c r="G1549" s="3">
        <v>2.2361111114150845E-2</v>
      </c>
      <c r="H1549" s="3">
        <v>1943.7683513691622</v>
      </c>
      <c r="I1549" s="3">
        <v>32.396139189486036</v>
      </c>
      <c r="J1549" s="3">
        <v>0.53993565315810055</v>
      </c>
    </row>
    <row r="1550" spans="1:11" x14ac:dyDescent="0.35">
      <c r="A1550">
        <v>1549</v>
      </c>
      <c r="B1550" t="s">
        <v>16</v>
      </c>
      <c r="C1550" t="s">
        <v>16</v>
      </c>
      <c r="D1550" t="s">
        <v>140</v>
      </c>
      <c r="E1550" s="2">
        <v>44183.431828703702</v>
      </c>
      <c r="F1550" s="2">
        <v>44183.436712962961</v>
      </c>
      <c r="G1550" s="3">
        <v>4.8842592586879618E-3</v>
      </c>
      <c r="H1550" s="3">
        <v>424.57051970514271</v>
      </c>
      <c r="I1550" s="3">
        <v>7.076175328419045</v>
      </c>
      <c r="J1550" s="3">
        <v>0.11793625547365075</v>
      </c>
    </row>
    <row r="1551" spans="1:11" x14ac:dyDescent="0.35">
      <c r="A1551">
        <v>1550</v>
      </c>
      <c r="B1551" t="s">
        <v>2</v>
      </c>
      <c r="C1551" t="s">
        <v>96</v>
      </c>
      <c r="D1551" t="s">
        <v>140</v>
      </c>
      <c r="E1551" s="2">
        <v>44183.436944444446</v>
      </c>
      <c r="F1551" s="2">
        <v>44183.449421296296</v>
      </c>
      <c r="G1551" s="3">
        <v>1.247685185080627E-2</v>
      </c>
      <c r="H1551" s="3">
        <v>1084.5663987140358</v>
      </c>
      <c r="I1551" s="3">
        <v>18.076106645233931</v>
      </c>
      <c r="J1551" s="3">
        <v>0.30126844408723219</v>
      </c>
    </row>
    <row r="1552" spans="1:11" x14ac:dyDescent="0.35">
      <c r="A1552">
        <v>1551</v>
      </c>
      <c r="B1552" t="s">
        <v>2</v>
      </c>
      <c r="C1552" t="s">
        <v>96</v>
      </c>
      <c r="D1552" t="s">
        <v>140</v>
      </c>
      <c r="E1552" s="2">
        <v>44183.449513888889</v>
      </c>
      <c r="F1552" s="2">
        <v>44183.4762962963</v>
      </c>
      <c r="G1552" s="3">
        <v>2.6782407410792075E-2</v>
      </c>
      <c r="H1552" s="3">
        <v>2328.0952199923568</v>
      </c>
      <c r="I1552" s="3">
        <v>38.801586999872612</v>
      </c>
      <c r="J1552" s="3">
        <v>0.64669311666454354</v>
      </c>
    </row>
    <row r="1553" spans="1:11" x14ac:dyDescent="0.35">
      <c r="A1553">
        <v>1552</v>
      </c>
      <c r="B1553" t="s">
        <v>16</v>
      </c>
      <c r="C1553" t="s">
        <v>16</v>
      </c>
      <c r="D1553" t="s">
        <v>140</v>
      </c>
      <c r="E1553" s="2">
        <v>44183.476481481484</v>
      </c>
      <c r="F1553" s="2">
        <v>44183.50613425926</v>
      </c>
      <c r="G1553" s="3">
        <v>2.9652777775481809E-2</v>
      </c>
      <c r="H1553" s="3">
        <v>2577.6058567004352</v>
      </c>
      <c r="I1553" s="3">
        <v>42.960097611673923</v>
      </c>
      <c r="J1553" s="3">
        <v>0.71600162686123203</v>
      </c>
    </row>
    <row r="1554" spans="1:11" x14ac:dyDescent="0.35">
      <c r="A1554">
        <v>1553</v>
      </c>
      <c r="B1554" t="s">
        <v>2</v>
      </c>
      <c r="C1554" t="s">
        <v>96</v>
      </c>
      <c r="D1554" t="s">
        <v>140</v>
      </c>
      <c r="E1554" s="2">
        <v>44183.50675925926</v>
      </c>
      <c r="F1554" s="2">
        <v>44183.512407407405</v>
      </c>
      <c r="G1554" s="3">
        <v>5.648148144246079E-3</v>
      </c>
      <c r="H1554" s="3">
        <v>490.97254383223913</v>
      </c>
      <c r="I1554" s="3">
        <v>8.1828757305373188</v>
      </c>
      <c r="J1554" s="3">
        <v>0.13638126217562199</v>
      </c>
    </row>
    <row r="1555" spans="1:11" x14ac:dyDescent="0.35">
      <c r="A1555">
        <v>1554</v>
      </c>
      <c r="B1555" t="s">
        <v>16</v>
      </c>
      <c r="C1555" t="s">
        <v>16</v>
      </c>
      <c r="D1555" t="s">
        <v>140</v>
      </c>
      <c r="E1555" s="2">
        <v>44183.512476851851</v>
      </c>
      <c r="F1555" s="2">
        <v>44183.526099537034</v>
      </c>
      <c r="G1555" s="3">
        <v>1.3622685182781424E-2</v>
      </c>
      <c r="H1555" s="3">
        <v>1184.1694352209165</v>
      </c>
      <c r="I1555" s="3">
        <v>19.736157253681942</v>
      </c>
      <c r="J1555" s="3">
        <v>0.32893595422803235</v>
      </c>
    </row>
    <row r="1556" spans="1:11" x14ac:dyDescent="0.35">
      <c r="A1556">
        <v>1555</v>
      </c>
      <c r="B1556" t="s">
        <v>11</v>
      </c>
      <c r="C1556" t="s">
        <v>11</v>
      </c>
      <c r="D1556" t="s">
        <v>140</v>
      </c>
      <c r="E1556" s="2">
        <v>44183.526354166665</v>
      </c>
      <c r="F1556" s="2">
        <v>44183.52752314815</v>
      </c>
      <c r="G1556" s="3">
        <v>1.1689814855344594E-3</v>
      </c>
      <c r="H1556" s="3">
        <v>101.615219535332</v>
      </c>
      <c r="I1556" s="3">
        <v>1.6935869922555333</v>
      </c>
      <c r="J1556" s="3">
        <v>2.8226449870925555E-2</v>
      </c>
    </row>
    <row r="1557" spans="1:11" x14ac:dyDescent="0.35">
      <c r="A1557">
        <v>1556</v>
      </c>
      <c r="B1557" t="s">
        <v>2</v>
      </c>
      <c r="C1557" t="s">
        <v>96</v>
      </c>
      <c r="D1557" t="s">
        <v>140</v>
      </c>
      <c r="E1557" s="2">
        <v>44183.527719907404</v>
      </c>
      <c r="F1557" s="2">
        <v>44183.60255787037</v>
      </c>
      <c r="G1557" s="3">
        <v>7.4837962965830229E-2</v>
      </c>
      <c r="H1557" s="3">
        <v>6505.3862105207081</v>
      </c>
      <c r="I1557" s="3">
        <v>108.42310350867847</v>
      </c>
      <c r="J1557" s="3">
        <v>1.8070517251446412</v>
      </c>
    </row>
    <row r="1558" spans="1:11" x14ac:dyDescent="0.35">
      <c r="A1558">
        <v>1557</v>
      </c>
      <c r="B1558" t="s">
        <v>16</v>
      </c>
      <c r="C1558" t="s">
        <v>16</v>
      </c>
      <c r="D1558" t="s">
        <v>140</v>
      </c>
      <c r="E1558" s="2">
        <v>44183.602696759262</v>
      </c>
      <c r="F1558" s="2">
        <v>44183.605358796296</v>
      </c>
      <c r="G1558" s="3">
        <v>2.6620370335876942E-3</v>
      </c>
      <c r="H1558" s="3">
        <v>231.40099387931971</v>
      </c>
      <c r="I1558" s="3">
        <v>3.8566832313219952</v>
      </c>
      <c r="J1558" s="3">
        <v>6.4278053855366585E-2</v>
      </c>
    </row>
    <row r="1559" spans="1:11" x14ac:dyDescent="0.35">
      <c r="A1559">
        <v>1558</v>
      </c>
      <c r="B1559" t="s">
        <v>2</v>
      </c>
      <c r="C1559" t="s">
        <v>96</v>
      </c>
      <c r="D1559" t="s">
        <v>140</v>
      </c>
      <c r="E1559" s="2">
        <v>44183.60564814815</v>
      </c>
      <c r="F1559" s="2">
        <v>44183.612812500003</v>
      </c>
      <c r="G1559" s="3">
        <v>7.1643518531345762E-3</v>
      </c>
      <c r="H1559" s="3">
        <v>622.77050183715016</v>
      </c>
      <c r="I1559" s="3">
        <v>10.379508363952503</v>
      </c>
      <c r="J1559" s="3">
        <v>0.17299180606587505</v>
      </c>
    </row>
    <row r="1560" spans="1:11" x14ac:dyDescent="0.35">
      <c r="A1560">
        <v>1559</v>
      </c>
      <c r="B1560" t="s">
        <v>16</v>
      </c>
      <c r="C1560" t="s">
        <v>16</v>
      </c>
      <c r="D1560" t="s">
        <v>140</v>
      </c>
      <c r="E1560" s="2">
        <v>44183.612905092596</v>
      </c>
      <c r="F1560" s="2">
        <v>44183.623391203706</v>
      </c>
      <c r="G1560" s="3">
        <v>1.0486111110367347E-2</v>
      </c>
      <c r="H1560" s="3">
        <v>911.51869874542297</v>
      </c>
      <c r="I1560" s="3">
        <v>15.191978312423716</v>
      </c>
      <c r="J1560" s="3">
        <v>0.25319963854039529</v>
      </c>
    </row>
    <row r="1561" spans="1:11" x14ac:dyDescent="0.35">
      <c r="A1561">
        <v>1560</v>
      </c>
      <c r="B1561" t="s">
        <v>2</v>
      </c>
      <c r="C1561" t="s">
        <v>132</v>
      </c>
      <c r="D1561" t="s">
        <v>140</v>
      </c>
      <c r="E1561" s="2">
        <v>44183.623599537037</v>
      </c>
      <c r="F1561" s="2">
        <v>44183.67391203704</v>
      </c>
      <c r="G1561" s="3">
        <v>5.0312500003201421E-2</v>
      </c>
      <c r="H1561" s="3">
        <v>4373.4787902643793</v>
      </c>
      <c r="I1561" s="3">
        <v>72.891313171072994</v>
      </c>
      <c r="J1561" s="3">
        <v>1.2148552195178832</v>
      </c>
      <c r="K1561" t="s">
        <v>42</v>
      </c>
    </row>
    <row r="1562" spans="1:11" x14ac:dyDescent="0.35">
      <c r="A1562">
        <v>1561</v>
      </c>
      <c r="B1562" t="s">
        <v>11</v>
      </c>
      <c r="C1562" t="s">
        <v>11</v>
      </c>
      <c r="D1562" t="s">
        <v>140</v>
      </c>
      <c r="E1562" s="2">
        <v>44183.674004629633</v>
      </c>
      <c r="F1562" s="2">
        <v>44183.680949074071</v>
      </c>
      <c r="G1562" s="3">
        <v>6.9444444379769266E-3</v>
      </c>
      <c r="H1562" s="3">
        <v>603.65476686169382</v>
      </c>
      <c r="I1562" s="3">
        <v>10.060912781028231</v>
      </c>
      <c r="J1562" s="3">
        <v>0.16768187968380385</v>
      </c>
    </row>
    <row r="1563" spans="1:11" x14ac:dyDescent="0.35">
      <c r="A1563">
        <v>1562</v>
      </c>
      <c r="B1563" t="s">
        <v>2</v>
      </c>
      <c r="C1563" t="s">
        <v>132</v>
      </c>
      <c r="D1563" t="s">
        <v>140</v>
      </c>
      <c r="E1563" s="2">
        <v>44183.68105324074</v>
      </c>
      <c r="F1563" s="2">
        <v>44183.690729166665</v>
      </c>
      <c r="G1563" s="3">
        <v>9.6759259249665774E-3</v>
      </c>
      <c r="H1563" s="3">
        <v>841.09230919389574</v>
      </c>
      <c r="I1563" s="3">
        <v>14.018205153231596</v>
      </c>
      <c r="J1563" s="3">
        <v>0.23363675255385993</v>
      </c>
      <c r="K1563" t="s">
        <v>42</v>
      </c>
    </row>
    <row r="1564" spans="1:11" x14ac:dyDescent="0.35">
      <c r="A1564">
        <v>1563</v>
      </c>
      <c r="B1564" t="s">
        <v>33</v>
      </c>
      <c r="C1564" t="s">
        <v>33</v>
      </c>
      <c r="D1564" t="s">
        <v>140</v>
      </c>
      <c r="E1564" s="2">
        <v>44186.375</v>
      </c>
      <c r="F1564" s="2">
        <v>44186.708333333336</v>
      </c>
      <c r="G1564" s="3">
        <v>0.33333333333575865</v>
      </c>
      <c r="H1564" s="3">
        <v>28975.428836557599</v>
      </c>
      <c r="I1564" s="3">
        <v>482.92381394262668</v>
      </c>
      <c r="J1564" s="3">
        <v>8.0487302323771122</v>
      </c>
    </row>
    <row r="1565" spans="1:11" x14ac:dyDescent="0.35">
      <c r="A1565">
        <v>1564</v>
      </c>
      <c r="B1565" t="s">
        <v>33</v>
      </c>
      <c r="C1565" t="s">
        <v>33</v>
      </c>
      <c r="D1565" t="s">
        <v>140</v>
      </c>
      <c r="E1565" s="2">
        <v>44187.375</v>
      </c>
      <c r="F1565" s="2">
        <v>44187.708333333336</v>
      </c>
      <c r="G1565" s="3">
        <v>0.33333333333575865</v>
      </c>
      <c r="H1565" s="3">
        <v>28975.428836557599</v>
      </c>
      <c r="I1565" s="3">
        <v>482.92381394262668</v>
      </c>
      <c r="J1565" s="3">
        <v>8.0487302323771122</v>
      </c>
    </row>
    <row r="1566" spans="1:11" x14ac:dyDescent="0.35">
      <c r="A1566">
        <v>1565</v>
      </c>
      <c r="B1566" t="s">
        <v>33</v>
      </c>
      <c r="C1566" t="s">
        <v>33</v>
      </c>
      <c r="D1566" t="s">
        <v>140</v>
      </c>
      <c r="E1566" s="2">
        <v>44188.375</v>
      </c>
      <c r="F1566" s="2">
        <v>44188.708333333336</v>
      </c>
      <c r="G1566" s="3">
        <v>0.33333333333575865</v>
      </c>
      <c r="H1566" s="3">
        <v>28975.428836557599</v>
      </c>
      <c r="I1566" s="3">
        <v>482.92381394262668</v>
      </c>
      <c r="J1566" s="3">
        <v>8.0487302323771122</v>
      </c>
    </row>
    <row r="1567" spans="1:11" x14ac:dyDescent="0.35">
      <c r="A1567">
        <v>1566</v>
      </c>
      <c r="B1567" t="s">
        <v>74</v>
      </c>
      <c r="C1567" t="s">
        <v>74</v>
      </c>
      <c r="D1567" t="s">
        <v>140</v>
      </c>
      <c r="E1567" s="2">
        <v>44189.375</v>
      </c>
      <c r="F1567" s="2">
        <v>44189.708333333336</v>
      </c>
      <c r="G1567" s="3">
        <v>0.33333333333575865</v>
      </c>
      <c r="H1567" s="3">
        <v>28975.428836557599</v>
      </c>
      <c r="I1567" s="3">
        <v>482.92381394262668</v>
      </c>
      <c r="J1567" s="3">
        <v>8.0487302323771122</v>
      </c>
    </row>
    <row r="1568" spans="1:11" x14ac:dyDescent="0.35">
      <c r="A1568">
        <v>1567</v>
      </c>
      <c r="B1568" t="s">
        <v>74</v>
      </c>
      <c r="C1568" t="s">
        <v>74</v>
      </c>
      <c r="D1568" t="s">
        <v>140</v>
      </c>
      <c r="E1568" s="2">
        <v>44190.375</v>
      </c>
      <c r="F1568" s="2">
        <v>44190.708333333336</v>
      </c>
      <c r="G1568" s="3">
        <v>0.33333333333575865</v>
      </c>
      <c r="H1568" s="3">
        <v>28975.428836557599</v>
      </c>
      <c r="I1568" s="3">
        <v>482.92381394262668</v>
      </c>
      <c r="J1568" s="3">
        <v>8.0487302323771122</v>
      </c>
    </row>
    <row r="1569" spans="1:10" x14ac:dyDescent="0.35">
      <c r="A1569">
        <v>1568</v>
      </c>
      <c r="B1569" t="s">
        <v>11</v>
      </c>
      <c r="C1569" t="s">
        <v>11</v>
      </c>
      <c r="D1569" t="s">
        <v>140</v>
      </c>
      <c r="E1569" s="2">
        <v>44185.587037037039</v>
      </c>
      <c r="F1569" s="2">
        <v>44185.58971064815</v>
      </c>
      <c r="G1569" s="3">
        <v>2.6736111103673466E-3</v>
      </c>
      <c r="H1569" s="3">
        <v>232.4070853935454</v>
      </c>
      <c r="I1569" s="3">
        <v>3.8734514232257569</v>
      </c>
      <c r="J1569" s="3">
        <v>6.4557523720429277E-2</v>
      </c>
    </row>
    <row r="1570" spans="1:10" x14ac:dyDescent="0.35">
      <c r="A1570">
        <v>1569</v>
      </c>
      <c r="B1570" t="s">
        <v>2</v>
      </c>
      <c r="C1570" t="s">
        <v>96</v>
      </c>
      <c r="D1570" t="s">
        <v>140</v>
      </c>
      <c r="E1570" s="2">
        <v>44185.589907407404</v>
      </c>
      <c r="F1570" s="2">
        <v>44185.593935185185</v>
      </c>
      <c r="G1570" s="3">
        <v>4.0277777807204984E-3</v>
      </c>
      <c r="H1570" s="3">
        <v>350.11976536165668</v>
      </c>
      <c r="I1570" s="3">
        <v>5.8353294226942776</v>
      </c>
      <c r="J1570" s="3">
        <v>9.7255490378237955E-2</v>
      </c>
    </row>
    <row r="1571" spans="1:10" x14ac:dyDescent="0.35">
      <c r="A1571">
        <v>1570</v>
      </c>
      <c r="B1571" t="s">
        <v>11</v>
      </c>
      <c r="C1571" t="s">
        <v>11</v>
      </c>
      <c r="D1571" t="s">
        <v>140</v>
      </c>
      <c r="E1571" s="2">
        <v>44185.594097222223</v>
      </c>
      <c r="F1571" s="2">
        <v>44185.620266203703</v>
      </c>
      <c r="G1571" s="3">
        <v>2.6168981479713693E-2</v>
      </c>
      <c r="H1571" s="3">
        <v>2274.7723817553629</v>
      </c>
      <c r="I1571" s="3">
        <v>37.912873029256048</v>
      </c>
      <c r="J1571" s="3">
        <v>0.63188121715426748</v>
      </c>
    </row>
    <row r="1572" spans="1:10" x14ac:dyDescent="0.35">
      <c r="A1572">
        <v>1571</v>
      </c>
      <c r="B1572" t="s">
        <v>11</v>
      </c>
      <c r="C1572" t="s">
        <v>11</v>
      </c>
      <c r="D1572" t="s">
        <v>140</v>
      </c>
      <c r="E1572" s="2">
        <v>44187.345046296294</v>
      </c>
      <c r="F1572" s="2">
        <v>44187.412662037037</v>
      </c>
      <c r="G1572" s="3">
        <v>6.7615740743349306E-2</v>
      </c>
      <c r="H1572" s="3">
        <v>5877.5852523773738</v>
      </c>
      <c r="I1572" s="3">
        <v>97.95975420628956</v>
      </c>
      <c r="J1572" s="3">
        <v>1.6326625701048261</v>
      </c>
    </row>
    <row r="1573" spans="1:10" x14ac:dyDescent="0.35">
      <c r="A1573">
        <v>1572</v>
      </c>
      <c r="B1573" t="s">
        <v>33</v>
      </c>
      <c r="C1573" t="s">
        <v>33</v>
      </c>
      <c r="D1573" t="s">
        <v>140</v>
      </c>
      <c r="E1573" s="2">
        <v>44193.375</v>
      </c>
      <c r="F1573" s="2">
        <v>44193.708333333336</v>
      </c>
      <c r="G1573" s="3">
        <v>0.33333333333575865</v>
      </c>
      <c r="H1573" s="3">
        <v>28975.428836557599</v>
      </c>
      <c r="I1573" s="3">
        <v>482.92381394262668</v>
      </c>
      <c r="J1573" s="3">
        <v>8.0487302323771122</v>
      </c>
    </row>
    <row r="1574" spans="1:10" x14ac:dyDescent="0.35">
      <c r="A1574">
        <v>1573</v>
      </c>
      <c r="B1574" t="s">
        <v>33</v>
      </c>
      <c r="C1574" t="s">
        <v>33</v>
      </c>
      <c r="D1574" t="s">
        <v>140</v>
      </c>
      <c r="E1574" s="2">
        <v>44194.375</v>
      </c>
      <c r="F1574" s="2">
        <v>44194.708333333336</v>
      </c>
      <c r="G1574" s="3">
        <v>0.33333333333575865</v>
      </c>
      <c r="H1574" s="3">
        <v>28975.428836557599</v>
      </c>
      <c r="I1574" s="3">
        <v>482.92381394262668</v>
      </c>
      <c r="J1574" s="3">
        <v>8.0487302323771122</v>
      </c>
    </row>
    <row r="1575" spans="1:10" x14ac:dyDescent="0.35">
      <c r="A1575">
        <v>1574</v>
      </c>
      <c r="B1575" t="s">
        <v>33</v>
      </c>
      <c r="C1575" t="s">
        <v>33</v>
      </c>
      <c r="D1575" t="s">
        <v>140</v>
      </c>
      <c r="E1575" s="2">
        <v>44195.375</v>
      </c>
      <c r="F1575" s="2">
        <v>44195.708333333336</v>
      </c>
      <c r="G1575" s="3">
        <v>0.33333333333575865</v>
      </c>
      <c r="H1575" s="3">
        <v>28975.428836557599</v>
      </c>
      <c r="I1575" s="3">
        <v>482.92381394262668</v>
      </c>
      <c r="J1575" s="3">
        <v>8.0487302323771122</v>
      </c>
    </row>
    <row r="1576" spans="1:10" x14ac:dyDescent="0.35">
      <c r="A1576">
        <v>1575</v>
      </c>
      <c r="B1576" t="s">
        <v>74</v>
      </c>
      <c r="C1576" t="s">
        <v>74</v>
      </c>
      <c r="D1576" t="s">
        <v>140</v>
      </c>
      <c r="E1576" s="2">
        <v>44197.375</v>
      </c>
      <c r="F1576" s="2">
        <v>44197.708333333336</v>
      </c>
      <c r="G1576" s="3">
        <v>0.33333333333575865</v>
      </c>
      <c r="H1576" s="3">
        <v>28975.428836557599</v>
      </c>
      <c r="I1576" s="3">
        <v>482.92381394262668</v>
      </c>
      <c r="J1576" s="3">
        <v>8.0487302323771122</v>
      </c>
    </row>
    <row r="1577" spans="1:10" x14ac:dyDescent="0.35">
      <c r="A1577">
        <v>1576</v>
      </c>
      <c r="B1577" t="s">
        <v>11</v>
      </c>
      <c r="C1577" t="s">
        <v>11</v>
      </c>
      <c r="D1577" t="s">
        <v>140</v>
      </c>
      <c r="E1577" s="2">
        <v>44192.827951388892</v>
      </c>
      <c r="F1577" s="2">
        <v>44192.831122685187</v>
      </c>
      <c r="G1577" s="3">
        <v>3.1712962954770774E-3</v>
      </c>
      <c r="H1577" s="3">
        <v>275.66901038569864</v>
      </c>
      <c r="I1577" s="3">
        <v>4.5944835064283103</v>
      </c>
      <c r="J1577" s="3">
        <v>7.6574725107138503E-2</v>
      </c>
    </row>
    <row r="1578" spans="1:10" x14ac:dyDescent="0.35">
      <c r="A1578">
        <v>1577</v>
      </c>
      <c r="B1578" t="s">
        <v>11</v>
      </c>
      <c r="C1578" t="s">
        <v>11</v>
      </c>
      <c r="D1578" t="s">
        <v>140</v>
      </c>
      <c r="E1578" s="2">
        <v>44192.835312499999</v>
      </c>
      <c r="F1578" s="2">
        <v>44192.880439814813</v>
      </c>
      <c r="G1578" s="3">
        <v>4.5127314813726116E-2</v>
      </c>
      <c r="H1578" s="3">
        <v>3922.7498968816162</v>
      </c>
      <c r="I1578" s="3">
        <v>65.37916494802694</v>
      </c>
      <c r="J1578" s="3">
        <v>1.0896527491337824</v>
      </c>
    </row>
    <row r="1579" spans="1:10" x14ac:dyDescent="0.35">
      <c r="A1579">
        <v>1578</v>
      </c>
      <c r="B1579" t="s">
        <v>11</v>
      </c>
      <c r="C1579" t="s">
        <v>11</v>
      </c>
      <c r="D1579" t="s">
        <v>140</v>
      </c>
      <c r="E1579" s="2">
        <v>44196.349074074074</v>
      </c>
      <c r="F1579" s="2">
        <v>44196.366238425922</v>
      </c>
      <c r="G1579" s="3">
        <v>1.7164351847895887E-2</v>
      </c>
      <c r="H1579" s="3">
        <v>1492.0333664721736</v>
      </c>
      <c r="I1579" s="3">
        <v>24.867222774536227</v>
      </c>
      <c r="J1579" s="3">
        <v>0.41445371290893712</v>
      </c>
    </row>
    <row r="1580" spans="1:10" x14ac:dyDescent="0.35">
      <c r="A1580">
        <v>1579</v>
      </c>
      <c r="B1580" t="s">
        <v>11</v>
      </c>
      <c r="C1580" t="s">
        <v>11</v>
      </c>
      <c r="D1580" t="s">
        <v>140</v>
      </c>
      <c r="E1580" s="2">
        <v>44196.366377314815</v>
      </c>
      <c r="F1580" s="2">
        <v>44196.367592592593</v>
      </c>
      <c r="G1580" s="3">
        <v>1.2152777781011537E-3</v>
      </c>
      <c r="H1580" s="3">
        <v>105.63958432729082</v>
      </c>
      <c r="I1580" s="3">
        <v>1.7606597387881804</v>
      </c>
      <c r="J1580" s="3">
        <v>2.9344328979803005E-2</v>
      </c>
    </row>
    <row r="1581" spans="1:10" x14ac:dyDescent="0.35">
      <c r="A1581">
        <v>1580</v>
      </c>
      <c r="B1581" t="s">
        <v>11</v>
      </c>
      <c r="C1581" t="s">
        <v>11</v>
      </c>
      <c r="D1581" t="s">
        <v>140</v>
      </c>
      <c r="E1581" s="2">
        <v>44196.367662037039</v>
      </c>
      <c r="F1581" s="2">
        <v>44196.373495370368</v>
      </c>
      <c r="G1581" s="3">
        <v>5.8333333290647715E-3</v>
      </c>
      <c r="H1581" s="3">
        <v>507.07000426501838</v>
      </c>
      <c r="I1581" s="3">
        <v>8.4511667377503059</v>
      </c>
      <c r="J1581" s="3">
        <v>0.14085277896250509</v>
      </c>
    </row>
    <row r="1582" spans="1:10" x14ac:dyDescent="0.35">
      <c r="A1582">
        <v>1581</v>
      </c>
      <c r="B1582" t="s">
        <v>2</v>
      </c>
      <c r="C1582" t="s">
        <v>96</v>
      </c>
      <c r="D1582" t="s">
        <v>140</v>
      </c>
      <c r="E1582" s="2">
        <v>44196.373715277776</v>
      </c>
      <c r="F1582" s="2">
        <v>44196.404965277776</v>
      </c>
      <c r="G1582" s="3">
        <v>3.125E-2</v>
      </c>
      <c r="H1582" s="3">
        <v>2716.4464534075105</v>
      </c>
      <c r="I1582" s="3">
        <v>45.27410755679184</v>
      </c>
      <c r="J1582" s="3">
        <v>0.75456845927986405</v>
      </c>
    </row>
    <row r="1583" spans="1:10" x14ac:dyDescent="0.35">
      <c r="A1583">
        <v>1582</v>
      </c>
      <c r="B1583" t="s">
        <v>2</v>
      </c>
      <c r="C1583" t="s">
        <v>96</v>
      </c>
      <c r="D1583" t="s">
        <v>140</v>
      </c>
      <c r="E1583" s="2">
        <v>44196.405173611114</v>
      </c>
      <c r="F1583" s="2">
        <v>44196.43681712963</v>
      </c>
      <c r="G1583" s="3">
        <v>3.1643518515920732E-2</v>
      </c>
      <c r="H1583" s="3">
        <v>2750.6535566690482</v>
      </c>
      <c r="I1583" s="3">
        <v>45.844225944484137</v>
      </c>
      <c r="J1583" s="3">
        <v>0.76407043240806893</v>
      </c>
    </row>
    <row r="1584" spans="1:10" x14ac:dyDescent="0.35">
      <c r="A1584">
        <v>1583</v>
      </c>
      <c r="B1584" t="s">
        <v>16</v>
      </c>
      <c r="C1584" t="s">
        <v>16</v>
      </c>
      <c r="D1584" t="s">
        <v>140</v>
      </c>
      <c r="E1584" s="2">
        <v>44196.436909722222</v>
      </c>
      <c r="F1584" s="2">
        <v>44196.44636574074</v>
      </c>
      <c r="G1584" s="3">
        <v>9.4560185170848854E-3</v>
      </c>
      <c r="H1584" s="3">
        <v>821.97657485091145</v>
      </c>
      <c r="I1584" s="3">
        <v>13.699609580848524</v>
      </c>
      <c r="J1584" s="3">
        <v>0.22832682634747539</v>
      </c>
    </row>
    <row r="1585" spans="1:11" x14ac:dyDescent="0.35">
      <c r="A1585">
        <v>1584</v>
      </c>
      <c r="B1585" t="s">
        <v>11</v>
      </c>
      <c r="C1585" t="s">
        <v>11</v>
      </c>
      <c r="D1585" t="s">
        <v>140</v>
      </c>
      <c r="E1585" s="2">
        <v>44196.446481481478</v>
      </c>
      <c r="F1585" s="2">
        <v>44196.448020833333</v>
      </c>
      <c r="G1585" s="3">
        <v>1.5393518551718444E-3</v>
      </c>
      <c r="H1585" s="3">
        <v>133.8101404008905</v>
      </c>
      <c r="I1585" s="3">
        <v>2.2301690066815083</v>
      </c>
      <c r="J1585" s="3">
        <v>3.7169483444691807E-2</v>
      </c>
    </row>
    <row r="1586" spans="1:11" x14ac:dyDescent="0.35">
      <c r="A1586">
        <v>1585</v>
      </c>
      <c r="B1586" t="s">
        <v>2</v>
      </c>
      <c r="C1586" t="s">
        <v>96</v>
      </c>
      <c r="D1586" t="s">
        <v>140</v>
      </c>
      <c r="E1586" s="2">
        <v>44196.448310185187</v>
      </c>
      <c r="F1586" s="2">
        <v>44196.461724537039</v>
      </c>
      <c r="G1586" s="3">
        <v>1.3414351851679385E-2</v>
      </c>
      <c r="H1586" s="3">
        <v>1166.0597923921578</v>
      </c>
      <c r="I1586" s="3">
        <v>19.434329873202628</v>
      </c>
      <c r="J1586" s="3">
        <v>0.32390549788671047</v>
      </c>
    </row>
    <row r="1587" spans="1:11" x14ac:dyDescent="0.35">
      <c r="A1587">
        <v>1586</v>
      </c>
      <c r="B1587" t="s">
        <v>2</v>
      </c>
      <c r="C1587" t="s">
        <v>96</v>
      </c>
      <c r="D1587" t="s">
        <v>140</v>
      </c>
      <c r="E1587" s="2">
        <v>44196.461909722224</v>
      </c>
      <c r="F1587" s="2">
        <v>44196.476134259261</v>
      </c>
      <c r="G1587" s="3">
        <v>1.4224537037080154E-2</v>
      </c>
      <c r="H1587" s="3">
        <v>1236.4861819436851</v>
      </c>
      <c r="I1587" s="3">
        <v>20.608103032394752</v>
      </c>
      <c r="J1587" s="3">
        <v>0.34346838387324585</v>
      </c>
    </row>
    <row r="1588" spans="1:11" x14ac:dyDescent="0.35">
      <c r="A1588">
        <v>1587</v>
      </c>
      <c r="B1588" t="s">
        <v>11</v>
      </c>
      <c r="C1588" t="s">
        <v>11</v>
      </c>
      <c r="D1588" t="s">
        <v>140</v>
      </c>
      <c r="E1588" s="2">
        <v>44196.476412037038</v>
      </c>
      <c r="F1588" s="2">
        <v>44196.516817129632</v>
      </c>
      <c r="G1588" s="3">
        <v>4.0405092593573499E-2</v>
      </c>
      <c r="H1588" s="3">
        <v>3512.2646552132733</v>
      </c>
      <c r="I1588" s="3">
        <v>58.537744253554557</v>
      </c>
      <c r="J1588" s="3">
        <v>0.975629070892576</v>
      </c>
    </row>
    <row r="1589" spans="1:11" x14ac:dyDescent="0.35">
      <c r="A1589">
        <v>1588</v>
      </c>
      <c r="B1589" t="s">
        <v>16</v>
      </c>
      <c r="C1589" t="s">
        <v>16</v>
      </c>
      <c r="D1589" t="s">
        <v>140</v>
      </c>
      <c r="E1589" s="2">
        <v>44196.516909722224</v>
      </c>
      <c r="F1589" s="2">
        <v>44196.519189814811</v>
      </c>
      <c r="G1589" s="3">
        <v>2.2800925871706568E-3</v>
      </c>
      <c r="H1589" s="3">
        <v>198.19998149953551</v>
      </c>
      <c r="I1589" s="3">
        <v>3.3033330249922583</v>
      </c>
      <c r="J1589" s="3">
        <v>5.5055550416537639E-2</v>
      </c>
    </row>
    <row r="1590" spans="1:11" x14ac:dyDescent="0.35">
      <c r="A1590">
        <v>1589</v>
      </c>
      <c r="B1590" t="s">
        <v>11</v>
      </c>
      <c r="C1590" t="s">
        <v>11</v>
      </c>
      <c r="D1590" t="s">
        <v>140</v>
      </c>
      <c r="E1590" s="2">
        <v>44196.519293981481</v>
      </c>
      <c r="F1590" s="2">
        <v>44196.52957175926</v>
      </c>
      <c r="G1590" s="3">
        <v>1.0277777779265307E-2</v>
      </c>
      <c r="H1590" s="3">
        <v>893.40905591666433</v>
      </c>
      <c r="I1590" s="3">
        <v>14.890150931944406</v>
      </c>
      <c r="J1590" s="3">
        <v>0.24816918219907344</v>
      </c>
    </row>
    <row r="1591" spans="1:11" x14ac:dyDescent="0.35">
      <c r="A1591">
        <v>1590</v>
      </c>
      <c r="B1591" t="s">
        <v>2</v>
      </c>
      <c r="C1591" t="s">
        <v>72</v>
      </c>
      <c r="D1591" t="s">
        <v>140</v>
      </c>
      <c r="E1591" s="2">
        <v>44196.529826388891</v>
      </c>
      <c r="F1591" s="2">
        <v>44196.562557870369</v>
      </c>
      <c r="G1591" s="3">
        <v>3.273148147854954E-2</v>
      </c>
      <c r="H1591" s="3">
        <v>2845.2261368697441</v>
      </c>
      <c r="I1591" s="3">
        <v>47.420435614495737</v>
      </c>
      <c r="J1591" s="3">
        <v>0.79034059357492892</v>
      </c>
      <c r="K1591" t="s">
        <v>73</v>
      </c>
    </row>
    <row r="1592" spans="1:11" x14ac:dyDescent="0.35">
      <c r="A1592">
        <v>1591</v>
      </c>
      <c r="B1592" t="s">
        <v>16</v>
      </c>
      <c r="C1592" t="s">
        <v>16</v>
      </c>
      <c r="D1592" t="s">
        <v>140</v>
      </c>
      <c r="E1592" s="2">
        <v>44196.562743055554</v>
      </c>
      <c r="F1592" s="2">
        <v>44196.627928240741</v>
      </c>
      <c r="G1592" s="3">
        <v>6.5185185187146999E-2</v>
      </c>
      <c r="H1592" s="3">
        <v>5666.3060837227913</v>
      </c>
      <c r="I1592" s="3">
        <v>94.43843472871319</v>
      </c>
      <c r="J1592" s="3">
        <v>1.5739739121452199</v>
      </c>
    </row>
    <row r="1593" spans="1:11" x14ac:dyDescent="0.35">
      <c r="A1593">
        <v>1592</v>
      </c>
      <c r="B1593" t="s">
        <v>11</v>
      </c>
      <c r="C1593" t="s">
        <v>11</v>
      </c>
      <c r="D1593" t="s">
        <v>140</v>
      </c>
      <c r="E1593" s="2">
        <v>44196.628136574072</v>
      </c>
      <c r="F1593" s="2">
        <v>44196.629629629628</v>
      </c>
      <c r="G1593" s="3">
        <v>1.4930555553291924E-3</v>
      </c>
      <c r="H1593" s="3">
        <v>129.78577497645969</v>
      </c>
      <c r="I1593" s="3">
        <v>2.1630962496076616</v>
      </c>
      <c r="J1593" s="3">
        <v>3.605160416012769E-2</v>
      </c>
    </row>
    <row r="1594" spans="1:11" x14ac:dyDescent="0.35">
      <c r="A1594">
        <v>1593</v>
      </c>
      <c r="B1594" t="s">
        <v>2</v>
      </c>
      <c r="C1594" t="s">
        <v>132</v>
      </c>
      <c r="D1594" t="s">
        <v>140</v>
      </c>
      <c r="E1594" s="2">
        <v>44196.629861111112</v>
      </c>
      <c r="F1594" s="2">
        <v>44196.649652777778</v>
      </c>
      <c r="G1594" s="3">
        <v>1.9791666665696539E-2</v>
      </c>
      <c r="H1594" s="3">
        <v>1720.4160870737603</v>
      </c>
      <c r="I1594" s="3">
        <v>28.673601451229338</v>
      </c>
      <c r="J1594" s="3">
        <v>0.47789335752048895</v>
      </c>
      <c r="K1594" t="s">
        <v>41</v>
      </c>
    </row>
    <row r="1595" spans="1:11" x14ac:dyDescent="0.35">
      <c r="A1595">
        <v>1594</v>
      </c>
      <c r="B1595" t="s">
        <v>2</v>
      </c>
      <c r="C1595" t="s">
        <v>132</v>
      </c>
      <c r="D1595" t="s">
        <v>140</v>
      </c>
      <c r="E1595" s="2">
        <v>44196.649930555555</v>
      </c>
      <c r="F1595" s="2">
        <v>44196.668020833335</v>
      </c>
      <c r="G1595" s="3">
        <v>1.8090277779265307E-2</v>
      </c>
      <c r="H1595" s="3">
        <v>1572.520669268542</v>
      </c>
      <c r="I1595" s="3">
        <v>26.208677821142366</v>
      </c>
      <c r="J1595" s="3">
        <v>0.43681129701903942</v>
      </c>
      <c r="K1595" t="s">
        <v>41</v>
      </c>
    </row>
    <row r="1596" spans="1:11" x14ac:dyDescent="0.35">
      <c r="A1596">
        <v>1595</v>
      </c>
      <c r="B1596" t="s">
        <v>2</v>
      </c>
      <c r="C1596" t="s">
        <v>96</v>
      </c>
      <c r="D1596" t="s">
        <v>140</v>
      </c>
      <c r="E1596" s="2">
        <v>44196.668541666666</v>
      </c>
      <c r="F1596" s="2">
        <v>44196.688981481479</v>
      </c>
      <c r="G1596" s="3">
        <v>2.0439814812561963E-2</v>
      </c>
      <c r="H1596" s="3">
        <v>1776.7571985884877</v>
      </c>
      <c r="I1596" s="3">
        <v>29.612619976474793</v>
      </c>
      <c r="J1596" s="3">
        <v>0.49354366627457991</v>
      </c>
    </row>
    <row r="1597" spans="1:11" x14ac:dyDescent="0.35">
      <c r="A1597">
        <v>1596</v>
      </c>
      <c r="B1597" t="s">
        <v>2</v>
      </c>
      <c r="C1597" t="s">
        <v>132</v>
      </c>
      <c r="D1597" t="s">
        <v>140</v>
      </c>
      <c r="E1597" s="2">
        <v>44196.689305555556</v>
      </c>
      <c r="F1597" s="2">
        <v>44196.718611111108</v>
      </c>
      <c r="G1597" s="3">
        <v>2.9305555552127771E-2</v>
      </c>
      <c r="H1597" s="3">
        <v>2547.4231182308563</v>
      </c>
      <c r="I1597" s="3">
        <v>42.457051970514271</v>
      </c>
      <c r="J1597" s="3">
        <v>0.70761753284190454</v>
      </c>
      <c r="K1597" t="s">
        <v>40</v>
      </c>
    </row>
    <row r="1598" spans="1:11" x14ac:dyDescent="0.35">
      <c r="A1598">
        <v>1597</v>
      </c>
      <c r="B1598" t="s">
        <v>2</v>
      </c>
      <c r="C1598" t="s">
        <v>132</v>
      </c>
      <c r="D1598" t="s">
        <v>140</v>
      </c>
      <c r="E1598" s="2">
        <v>44196.718993055554</v>
      </c>
      <c r="F1598" s="2">
        <v>44196.731678240743</v>
      </c>
      <c r="G1598" s="3">
        <v>1.2685185189184267E-2</v>
      </c>
      <c r="H1598" s="3">
        <v>1102.6760421752665</v>
      </c>
      <c r="I1598" s="3">
        <v>18.377934036254441</v>
      </c>
      <c r="J1598" s="3">
        <v>0.3062989006042407</v>
      </c>
      <c r="K1598" t="s">
        <v>40</v>
      </c>
    </row>
    <row r="1599" spans="1:11" x14ac:dyDescent="0.35">
      <c r="A1599">
        <v>1598</v>
      </c>
      <c r="B1599" t="s">
        <v>11</v>
      </c>
      <c r="C1599" t="s">
        <v>11</v>
      </c>
      <c r="D1599" t="s">
        <v>140</v>
      </c>
      <c r="E1599" s="2">
        <v>44200.339791666665</v>
      </c>
      <c r="F1599" s="2">
        <v>44200.354780092595</v>
      </c>
      <c r="G1599" s="3">
        <v>1.4988425929914229E-2</v>
      </c>
      <c r="H1599" s="3">
        <v>1302.8882067032534</v>
      </c>
      <c r="I1599" s="3">
        <v>21.714803445054223</v>
      </c>
      <c r="J1599" s="3">
        <v>0.36191339075090373</v>
      </c>
    </row>
    <row r="1600" spans="1:11" x14ac:dyDescent="0.35">
      <c r="A1600">
        <v>1599</v>
      </c>
      <c r="B1600" t="s">
        <v>2</v>
      </c>
      <c r="C1600" t="s">
        <v>96</v>
      </c>
      <c r="D1600" t="s">
        <v>140</v>
      </c>
      <c r="E1600" s="2">
        <v>44200.354942129627</v>
      </c>
      <c r="F1600" s="2">
        <v>44200.371122685188</v>
      </c>
      <c r="G1600" s="3">
        <v>1.6180555561732035E-2</v>
      </c>
      <c r="H1600" s="3">
        <v>1406.5156086345648</v>
      </c>
      <c r="I1600" s="3">
        <v>23.441926810576081</v>
      </c>
      <c r="J1600" s="3">
        <v>0.39069878017626802</v>
      </c>
    </row>
    <row r="1601" spans="1:11" x14ac:dyDescent="0.35">
      <c r="A1601">
        <v>1600</v>
      </c>
      <c r="B1601" t="s">
        <v>2</v>
      </c>
      <c r="C1601" t="s">
        <v>132</v>
      </c>
      <c r="D1601" t="s">
        <v>140</v>
      </c>
      <c r="E1601" s="2">
        <v>44200.371446759258</v>
      </c>
      <c r="F1601" s="2">
        <v>44200.39634259259</v>
      </c>
      <c r="G1601" s="3">
        <v>2.4895833332266193E-2</v>
      </c>
      <c r="H1601" s="3">
        <v>2164.1023411218871</v>
      </c>
      <c r="I1601" s="3">
        <v>36.068372352031453</v>
      </c>
      <c r="J1601" s="3">
        <v>0.60113953920052421</v>
      </c>
      <c r="K1601" t="s">
        <v>64</v>
      </c>
    </row>
    <row r="1602" spans="1:11" x14ac:dyDescent="0.35">
      <c r="A1602">
        <v>1601</v>
      </c>
      <c r="B1602" t="s">
        <v>2</v>
      </c>
      <c r="C1602" t="s">
        <v>96</v>
      </c>
      <c r="D1602" t="s">
        <v>140</v>
      </c>
      <c r="E1602" s="2">
        <v>44200.396319444444</v>
      </c>
      <c r="F1602" s="2">
        <v>44200.440775462965</v>
      </c>
      <c r="G1602" s="3">
        <v>4.4456018520577345E-2</v>
      </c>
      <c r="H1602" s="3">
        <v>3864.3966029709095</v>
      </c>
      <c r="I1602" s="3">
        <v>64.406610049515152</v>
      </c>
      <c r="J1602" s="3">
        <v>1.0734435008252525</v>
      </c>
    </row>
    <row r="1603" spans="1:11" x14ac:dyDescent="0.35">
      <c r="A1603">
        <v>1602</v>
      </c>
      <c r="B1603" t="s">
        <v>16</v>
      </c>
      <c r="C1603" t="s">
        <v>16</v>
      </c>
      <c r="D1603" t="s">
        <v>140</v>
      </c>
      <c r="E1603" s="2">
        <v>44200.440844907411</v>
      </c>
      <c r="F1603" s="2">
        <v>44200.450057870374</v>
      </c>
      <c r="G1603" s="3">
        <v>9.2129629629198462E-3</v>
      </c>
      <c r="H1603" s="3">
        <v>800.84865811194766</v>
      </c>
      <c r="I1603" s="3">
        <v>13.347477635199128</v>
      </c>
      <c r="J1603" s="3">
        <v>0.22245796058665215</v>
      </c>
    </row>
    <row r="1604" spans="1:11" x14ac:dyDescent="0.35">
      <c r="A1604">
        <v>1603</v>
      </c>
      <c r="B1604" t="s">
        <v>2</v>
      </c>
      <c r="C1604" t="s">
        <v>72</v>
      </c>
      <c r="D1604" t="s">
        <v>140</v>
      </c>
      <c r="E1604" s="2">
        <v>44200.450219907405</v>
      </c>
      <c r="F1604" s="2">
        <v>44200.46025462963</v>
      </c>
      <c r="G1604" s="3">
        <v>1.0034722225100268E-2</v>
      </c>
      <c r="H1604" s="3">
        <v>872.28113917770054</v>
      </c>
      <c r="I1604" s="3">
        <v>14.538018986295009</v>
      </c>
      <c r="J1604" s="3">
        <v>0.24230031643825015</v>
      </c>
      <c r="K1604" t="s">
        <v>73</v>
      </c>
    </row>
    <row r="1605" spans="1:11" x14ac:dyDescent="0.35">
      <c r="A1605">
        <v>1604</v>
      </c>
      <c r="B1605" t="s">
        <v>2</v>
      </c>
      <c r="C1605" t="s">
        <v>132</v>
      </c>
      <c r="D1605" t="s">
        <v>140</v>
      </c>
      <c r="E1605" s="2">
        <v>44200.460625</v>
      </c>
      <c r="F1605" s="2">
        <v>44200.48097222222</v>
      </c>
      <c r="G1605" s="3">
        <v>2.0347222220152617E-2</v>
      </c>
      <c r="H1605" s="3">
        <v>1768.708468372098</v>
      </c>
      <c r="I1605" s="3">
        <v>29.478474472868299</v>
      </c>
      <c r="J1605" s="3">
        <v>0.49130790788113832</v>
      </c>
      <c r="K1605" t="s">
        <v>40</v>
      </c>
    </row>
    <row r="1606" spans="1:11" x14ac:dyDescent="0.35">
      <c r="A1606">
        <v>1605</v>
      </c>
      <c r="B1606" t="s">
        <v>16</v>
      </c>
      <c r="C1606" t="s">
        <v>16</v>
      </c>
      <c r="D1606" t="s">
        <v>140</v>
      </c>
      <c r="E1606" s="2">
        <v>44200.485694444447</v>
      </c>
      <c r="F1606" s="2">
        <v>44200.527361111112</v>
      </c>
      <c r="G1606" s="3">
        <v>4.1666666664241347E-2</v>
      </c>
      <c r="H1606" s="3">
        <v>3621.9286043325233</v>
      </c>
      <c r="I1606" s="3">
        <v>60.365476738875387</v>
      </c>
      <c r="J1606" s="3">
        <v>1.0060912789812564</v>
      </c>
    </row>
    <row r="1607" spans="1:11" x14ac:dyDescent="0.35">
      <c r="A1607">
        <v>1606</v>
      </c>
      <c r="B1607" t="s">
        <v>2</v>
      </c>
      <c r="C1607" t="s">
        <v>132</v>
      </c>
      <c r="D1607" t="s">
        <v>140</v>
      </c>
      <c r="E1607" s="2">
        <v>44200.527604166666</v>
      </c>
      <c r="F1607" s="2">
        <v>44200.554618055554</v>
      </c>
      <c r="G1607" s="3">
        <v>2.7013888888177462E-2</v>
      </c>
      <c r="H1607" s="3">
        <v>2348.2170452170949</v>
      </c>
      <c r="I1607" s="3">
        <v>39.136950753618251</v>
      </c>
      <c r="J1607" s="3">
        <v>0.65228251256030423</v>
      </c>
      <c r="K1607" t="s">
        <v>40</v>
      </c>
    </row>
    <row r="1608" spans="1:11" x14ac:dyDescent="0.35">
      <c r="A1608">
        <v>1607</v>
      </c>
      <c r="B1608" t="s">
        <v>2</v>
      </c>
      <c r="C1608" t="s">
        <v>96</v>
      </c>
      <c r="D1608" t="s">
        <v>140</v>
      </c>
      <c r="E1608" s="2">
        <v>44200.554814814815</v>
      </c>
      <c r="F1608" s="2">
        <v>44200.55940972222</v>
      </c>
      <c r="G1608" s="3">
        <v>4.5949074046802707E-3</v>
      </c>
      <c r="H1608" s="3">
        <v>399.41823754174811</v>
      </c>
      <c r="I1608" s="3">
        <v>6.6569706256958021</v>
      </c>
      <c r="J1608" s="3">
        <v>0.11094951042826337</v>
      </c>
    </row>
    <row r="1609" spans="1:11" x14ac:dyDescent="0.35">
      <c r="A1609">
        <v>1608</v>
      </c>
      <c r="B1609" t="s">
        <v>2</v>
      </c>
      <c r="C1609" t="s">
        <v>96</v>
      </c>
      <c r="D1609" t="s">
        <v>140</v>
      </c>
      <c r="E1609" s="2">
        <v>44200.559687499997</v>
      </c>
      <c r="F1609" s="2">
        <v>44200.563287037039</v>
      </c>
      <c r="G1609" s="3">
        <v>3.5995370417367667E-3</v>
      </c>
      <c r="H1609" s="3">
        <v>312.89438818991363</v>
      </c>
      <c r="I1609" s="3">
        <v>5.2149064698318934</v>
      </c>
      <c r="J1609" s="3">
        <v>8.6915107830531552E-2</v>
      </c>
    </row>
    <row r="1610" spans="1:11" x14ac:dyDescent="0.35">
      <c r="A1610">
        <v>1609</v>
      </c>
      <c r="B1610" t="s">
        <v>2</v>
      </c>
      <c r="C1610" t="s">
        <v>96</v>
      </c>
      <c r="D1610" t="s">
        <v>140</v>
      </c>
      <c r="E1610" s="2">
        <v>44200.563564814816</v>
      </c>
      <c r="F1610" s="2">
        <v>44200.56585648148</v>
      </c>
      <c r="G1610" s="3">
        <v>2.2916666639503092E-3</v>
      </c>
      <c r="H1610" s="3">
        <v>199.20607301376123</v>
      </c>
      <c r="I1610" s="3">
        <v>3.3201012168960204</v>
      </c>
      <c r="J1610" s="3">
        <v>5.5335020281600339E-2</v>
      </c>
    </row>
    <row r="1611" spans="1:11" x14ac:dyDescent="0.35">
      <c r="A1611">
        <v>1610</v>
      </c>
      <c r="B1611" t="s">
        <v>11</v>
      </c>
      <c r="C1611" t="s">
        <v>11</v>
      </c>
      <c r="D1611" t="s">
        <v>140</v>
      </c>
      <c r="E1611" s="2">
        <v>44200.565995370373</v>
      </c>
      <c r="F1611" s="2">
        <v>44200.573946759258</v>
      </c>
      <c r="G1611" s="3">
        <v>7.9513888849760406E-3</v>
      </c>
      <c r="H1611" s="3">
        <v>691.18470836022607</v>
      </c>
      <c r="I1611" s="3">
        <v>11.5197451393371</v>
      </c>
      <c r="J1611" s="3">
        <v>0.191995752322285</v>
      </c>
    </row>
    <row r="1612" spans="1:11" x14ac:dyDescent="0.35">
      <c r="A1612">
        <v>1611</v>
      </c>
      <c r="B1612" t="s">
        <v>2</v>
      </c>
      <c r="C1612" t="s">
        <v>72</v>
      </c>
      <c r="D1612" t="s">
        <v>140</v>
      </c>
      <c r="E1612" s="2">
        <v>44200.57435185185</v>
      </c>
      <c r="F1612" s="2">
        <v>44200.577418981484</v>
      </c>
      <c r="G1612" s="3">
        <v>3.0671296335640363E-3</v>
      </c>
      <c r="H1612" s="3">
        <v>266.61418928755529</v>
      </c>
      <c r="I1612" s="3">
        <v>4.4435698214592545</v>
      </c>
      <c r="J1612" s="3">
        <v>7.4059497024320908E-2</v>
      </c>
      <c r="K1612" t="s">
        <v>73</v>
      </c>
    </row>
    <row r="1613" spans="1:11" x14ac:dyDescent="0.35">
      <c r="A1613">
        <v>1612</v>
      </c>
      <c r="B1613" t="s">
        <v>2</v>
      </c>
      <c r="C1613" t="s">
        <v>132</v>
      </c>
      <c r="D1613" t="s">
        <v>140</v>
      </c>
      <c r="E1613" s="2">
        <v>44200.577696759261</v>
      </c>
      <c r="F1613" s="2">
        <v>44200.587569444448</v>
      </c>
      <c r="G1613" s="3">
        <v>9.8726851865649223E-3</v>
      </c>
      <c r="H1613" s="3">
        <v>858.19586114090066</v>
      </c>
      <c r="I1613" s="3">
        <v>14.303264352348345</v>
      </c>
      <c r="J1613" s="3">
        <v>0.23838773920580575</v>
      </c>
      <c r="K1613" t="s">
        <v>40</v>
      </c>
    </row>
    <row r="1614" spans="1:11" x14ac:dyDescent="0.35">
      <c r="A1614">
        <v>1613</v>
      </c>
      <c r="B1614" t="s">
        <v>2</v>
      </c>
      <c r="C1614" t="s">
        <v>132</v>
      </c>
      <c r="D1614" t="s">
        <v>140</v>
      </c>
      <c r="E1614" s="2">
        <v>44200.587789351855</v>
      </c>
      <c r="F1614" s="2">
        <v>44200.598217592589</v>
      </c>
      <c r="G1614" s="3">
        <v>1.0428240733745042E-2</v>
      </c>
      <c r="H1614" s="3">
        <v>906.4882418067665</v>
      </c>
      <c r="I1614" s="3">
        <v>15.108137363446108</v>
      </c>
      <c r="J1614" s="3">
        <v>0.25180228939076849</v>
      </c>
      <c r="K1614" t="s">
        <v>40</v>
      </c>
    </row>
    <row r="1615" spans="1:11" x14ac:dyDescent="0.35">
      <c r="A1615">
        <v>1614</v>
      </c>
      <c r="B1615" t="s">
        <v>2</v>
      </c>
      <c r="C1615" t="s">
        <v>132</v>
      </c>
      <c r="D1615" t="s">
        <v>140</v>
      </c>
      <c r="E1615" s="2">
        <v>44200.598368055558</v>
      </c>
      <c r="F1615" s="2">
        <v>44200.608437499999</v>
      </c>
      <c r="G1615" s="3">
        <v>1.006944444088731E-2</v>
      </c>
      <c r="H1615" s="3">
        <v>875.29941245543364</v>
      </c>
      <c r="I1615" s="3">
        <v>14.588323540923893</v>
      </c>
      <c r="J1615" s="3">
        <v>0.24313872568206488</v>
      </c>
      <c r="K1615" t="s">
        <v>40</v>
      </c>
    </row>
    <row r="1616" spans="1:11" x14ac:dyDescent="0.35">
      <c r="A1616">
        <v>1615</v>
      </c>
      <c r="B1616" t="s">
        <v>2</v>
      </c>
      <c r="C1616" t="s">
        <v>72</v>
      </c>
      <c r="D1616" t="s">
        <v>140</v>
      </c>
      <c r="E1616" s="2">
        <v>44200.60864583333</v>
      </c>
      <c r="F1616" s="2">
        <v>44200.618888888886</v>
      </c>
      <c r="G1616" s="3">
        <v>1.0243055556202307E-2</v>
      </c>
      <c r="H1616" s="3">
        <v>890.39078200645918</v>
      </c>
      <c r="I1616" s="3">
        <v>14.839846366774319</v>
      </c>
      <c r="J1616" s="3">
        <v>0.24733077277957199</v>
      </c>
      <c r="K1616" t="s">
        <v>73</v>
      </c>
    </row>
    <row r="1617" spans="1:11" x14ac:dyDescent="0.35">
      <c r="A1617">
        <v>1616</v>
      </c>
      <c r="B1617" t="s">
        <v>2</v>
      </c>
      <c r="C1617" t="s">
        <v>132</v>
      </c>
      <c r="D1617" t="s">
        <v>140</v>
      </c>
      <c r="E1617" s="2">
        <v>44200.619016203702</v>
      </c>
      <c r="F1617" s="2">
        <v>44200.637569444443</v>
      </c>
      <c r="G1617" s="3">
        <v>1.8553240741312038E-2</v>
      </c>
      <c r="H1617" s="3">
        <v>1612.7643203504899</v>
      </c>
      <c r="I1617" s="3">
        <v>26.879405339174831</v>
      </c>
      <c r="J1617" s="3">
        <v>0.4479900889862472</v>
      </c>
      <c r="K1617" t="s">
        <v>40</v>
      </c>
    </row>
    <row r="1618" spans="1:11" x14ac:dyDescent="0.35">
      <c r="A1618">
        <v>1617</v>
      </c>
      <c r="B1618" t="s">
        <v>16</v>
      </c>
      <c r="C1618" t="s">
        <v>16</v>
      </c>
      <c r="D1618" t="s">
        <v>140</v>
      </c>
      <c r="E1618" s="2">
        <v>44200.638032407405</v>
      </c>
      <c r="F1618" s="2">
        <v>44200.647858796299</v>
      </c>
      <c r="G1618" s="3">
        <v>9.826388893998228E-3</v>
      </c>
      <c r="H1618" s="3">
        <v>854.1714963489419</v>
      </c>
      <c r="I1618" s="3">
        <v>14.236191605815698</v>
      </c>
      <c r="J1618" s="3">
        <v>0.2372698600969283</v>
      </c>
    </row>
    <row r="1619" spans="1:11" x14ac:dyDescent="0.35">
      <c r="A1619">
        <v>1618</v>
      </c>
      <c r="B1619" t="s">
        <v>2</v>
      </c>
      <c r="C1619" t="s">
        <v>96</v>
      </c>
      <c r="D1619" t="s">
        <v>140</v>
      </c>
      <c r="E1619" s="2">
        <v>44200.6481712963</v>
      </c>
      <c r="F1619" s="2">
        <v>44200.661087962966</v>
      </c>
      <c r="G1619" s="3">
        <v>1.2916666666569654E-2</v>
      </c>
      <c r="H1619" s="3">
        <v>1122.7978674000046</v>
      </c>
      <c r="I1619" s="3">
        <v>18.713297790000077</v>
      </c>
      <c r="J1619" s="3">
        <v>0.31188829650000127</v>
      </c>
    </row>
    <row r="1620" spans="1:11" x14ac:dyDescent="0.35">
      <c r="A1620">
        <v>1619</v>
      </c>
      <c r="B1620" t="s">
        <v>16</v>
      </c>
      <c r="C1620" t="s">
        <v>16</v>
      </c>
      <c r="D1620" t="s">
        <v>140</v>
      </c>
      <c r="E1620" s="2">
        <v>44200.661238425928</v>
      </c>
      <c r="F1620" s="2">
        <v>44200.671840277777</v>
      </c>
      <c r="G1620" s="3">
        <v>1.060185184906004E-2</v>
      </c>
      <c r="H1620" s="3">
        <v>921.57961135779203</v>
      </c>
      <c r="I1620" s="3">
        <v>15.359660189296534</v>
      </c>
      <c r="J1620" s="3">
        <v>0.25599433648827558</v>
      </c>
    </row>
    <row r="1621" spans="1:11" x14ac:dyDescent="0.35">
      <c r="A1621">
        <v>1620</v>
      </c>
      <c r="B1621" t="s">
        <v>2</v>
      </c>
      <c r="C1621" t="s">
        <v>132</v>
      </c>
      <c r="D1621" t="s">
        <v>140</v>
      </c>
      <c r="E1621" s="2">
        <v>44200.67224537037</v>
      </c>
      <c r="F1621" s="2">
        <v>44200.677685185183</v>
      </c>
      <c r="G1621" s="3">
        <v>5.4398148131440394E-3</v>
      </c>
      <c r="H1621" s="3">
        <v>472.86290100348043</v>
      </c>
      <c r="I1621" s="3">
        <v>7.8810483500580073</v>
      </c>
      <c r="J1621" s="3">
        <v>0.13135080583430012</v>
      </c>
      <c r="K1621" t="s">
        <v>42</v>
      </c>
    </row>
    <row r="1622" spans="1:11" x14ac:dyDescent="0.35">
      <c r="A1622">
        <v>1621</v>
      </c>
      <c r="B1622" t="s">
        <v>2</v>
      </c>
      <c r="C1622" t="s">
        <v>132</v>
      </c>
      <c r="D1622" t="s">
        <v>140</v>
      </c>
      <c r="E1622" s="2">
        <v>44200.677928240744</v>
      </c>
      <c r="F1622" s="2">
        <v>44200.689444444448</v>
      </c>
      <c r="G1622" s="3">
        <v>1.1516203703649808E-2</v>
      </c>
      <c r="H1622" s="3">
        <v>1001.0608226399346</v>
      </c>
      <c r="I1622" s="3">
        <v>16.684347043998908</v>
      </c>
      <c r="J1622" s="3">
        <v>0.27807245073331516</v>
      </c>
      <c r="K1622" t="s">
        <v>42</v>
      </c>
    </row>
    <row r="1623" spans="1:11" x14ac:dyDescent="0.35">
      <c r="A1623">
        <v>1622</v>
      </c>
      <c r="B1623" t="s">
        <v>16</v>
      </c>
      <c r="C1623" t="s">
        <v>16</v>
      </c>
      <c r="D1623" t="s">
        <v>140</v>
      </c>
      <c r="E1623" s="2">
        <v>44200.689618055556</v>
      </c>
      <c r="F1623" s="2">
        <v>44200.713969907411</v>
      </c>
      <c r="G1623" s="3">
        <v>2.4351851854589768E-2</v>
      </c>
      <c r="H1623" s="3">
        <v>2116.8160513377752</v>
      </c>
      <c r="I1623" s="3">
        <v>35.280267522296256</v>
      </c>
      <c r="J1623" s="3">
        <v>0.58800445870493756</v>
      </c>
    </row>
    <row r="1624" spans="1:11" x14ac:dyDescent="0.35">
      <c r="A1624">
        <v>1623</v>
      </c>
      <c r="B1624" t="s">
        <v>2</v>
      </c>
      <c r="C1624" t="s">
        <v>132</v>
      </c>
      <c r="D1624" t="s">
        <v>140</v>
      </c>
      <c r="E1624" s="2">
        <v>44200.714953703704</v>
      </c>
      <c r="F1624" s="2">
        <v>44200.715844907405</v>
      </c>
      <c r="G1624" s="3">
        <v>8.9120370103046298E-4</v>
      </c>
      <c r="H1624" s="3">
        <v>77.46902825369115</v>
      </c>
      <c r="I1624" s="3">
        <v>1.2911504708948525</v>
      </c>
      <c r="J1624" s="3">
        <v>2.1519174514914207E-2</v>
      </c>
      <c r="K1624" t="s">
        <v>42</v>
      </c>
    </row>
    <row r="1625" spans="1:11" x14ac:dyDescent="0.35">
      <c r="A1625">
        <v>1624</v>
      </c>
      <c r="B1625" t="s">
        <v>16</v>
      </c>
      <c r="C1625" t="s">
        <v>16</v>
      </c>
      <c r="D1625" t="s">
        <v>140</v>
      </c>
      <c r="E1625" s="2">
        <v>44200.715914351851</v>
      </c>
      <c r="F1625" s="2">
        <v>44200.728865740741</v>
      </c>
      <c r="G1625" s="3">
        <v>1.2951388889632653E-2</v>
      </c>
      <c r="H1625" s="3">
        <v>1125.8161413102098</v>
      </c>
      <c r="I1625" s="3">
        <v>18.763602355170164</v>
      </c>
      <c r="J1625" s="3">
        <v>0.31272670591950275</v>
      </c>
    </row>
    <row r="1626" spans="1:11" x14ac:dyDescent="0.35">
      <c r="A1626">
        <v>1625</v>
      </c>
      <c r="B1626" t="s">
        <v>2</v>
      </c>
      <c r="C1626" t="s">
        <v>132</v>
      </c>
      <c r="D1626" t="s">
        <v>140</v>
      </c>
      <c r="E1626" s="2">
        <v>44200.729120370372</v>
      </c>
      <c r="F1626" s="2">
        <v>44200.736608796295</v>
      </c>
      <c r="G1626" s="3">
        <v>7.4884259229293093E-3</v>
      </c>
      <c r="H1626" s="3">
        <v>650.94105727827787</v>
      </c>
      <c r="I1626" s="3">
        <v>10.849017621304631</v>
      </c>
      <c r="J1626" s="3">
        <v>0.18081696035507719</v>
      </c>
      <c r="K1626" t="s">
        <v>42</v>
      </c>
    </row>
    <row r="1627" spans="1:11" x14ac:dyDescent="0.35">
      <c r="A1627">
        <v>1626</v>
      </c>
      <c r="B1627" t="s">
        <v>11</v>
      </c>
      <c r="C1627" t="s">
        <v>11</v>
      </c>
      <c r="D1627" t="s">
        <v>140</v>
      </c>
      <c r="E1627" s="2">
        <v>44200.745462962965</v>
      </c>
      <c r="F1627" s="2">
        <v>44200.782465277778</v>
      </c>
      <c r="G1627" s="3">
        <v>3.7002314813435078E-2</v>
      </c>
      <c r="H1627" s="3">
        <v>3216.4738189703648</v>
      </c>
      <c r="I1627" s="3">
        <v>53.607896982839414</v>
      </c>
      <c r="J1627" s="3">
        <v>0.89346494971399026</v>
      </c>
    </row>
    <row r="1628" spans="1:11" x14ac:dyDescent="0.35">
      <c r="A1628">
        <v>1627</v>
      </c>
      <c r="B1628" t="s">
        <v>11</v>
      </c>
      <c r="C1628" t="s">
        <v>11</v>
      </c>
      <c r="D1628" t="s">
        <v>140</v>
      </c>
      <c r="E1628" s="2">
        <v>44200.808865740742</v>
      </c>
      <c r="F1628" s="2">
        <v>44200.819421296299</v>
      </c>
      <c r="G1628" s="3">
        <v>1.0555555556493346E-2</v>
      </c>
      <c r="H1628" s="3">
        <v>917.55524656583316</v>
      </c>
      <c r="I1628" s="3">
        <v>15.292587442763885</v>
      </c>
      <c r="J1628" s="3">
        <v>0.25487645737939807</v>
      </c>
    </row>
    <row r="1629" spans="1:11" x14ac:dyDescent="0.35">
      <c r="A1629">
        <v>1628</v>
      </c>
      <c r="B1629" t="s">
        <v>11</v>
      </c>
      <c r="C1629" t="s">
        <v>11</v>
      </c>
      <c r="D1629" t="s">
        <v>140</v>
      </c>
      <c r="E1629" s="2">
        <v>44201.329907407409</v>
      </c>
      <c r="F1629" s="2">
        <v>44201.342372685183</v>
      </c>
      <c r="G1629" s="3">
        <v>1.2465277774026617E-2</v>
      </c>
      <c r="H1629" s="3">
        <v>1083.5603071998103</v>
      </c>
      <c r="I1629" s="3">
        <v>18.05933845333017</v>
      </c>
      <c r="J1629" s="3">
        <v>0.30098897422216953</v>
      </c>
    </row>
    <row r="1630" spans="1:11" x14ac:dyDescent="0.35">
      <c r="A1630">
        <v>1629</v>
      </c>
      <c r="B1630" t="s">
        <v>11</v>
      </c>
      <c r="C1630" t="s">
        <v>11</v>
      </c>
      <c r="D1630" t="s">
        <v>140</v>
      </c>
      <c r="E1630" s="2">
        <v>44201.342476851853</v>
      </c>
      <c r="F1630" s="2">
        <v>44201.346354166664</v>
      </c>
      <c r="G1630" s="3">
        <v>3.8773148116888478E-3</v>
      </c>
      <c r="H1630" s="3">
        <v>337.04057820661052</v>
      </c>
      <c r="I1630" s="3">
        <v>5.6173429701101751</v>
      </c>
      <c r="J1630" s="3">
        <v>9.362238283516959E-2</v>
      </c>
    </row>
    <row r="1631" spans="1:11" x14ac:dyDescent="0.35">
      <c r="A1631">
        <v>1630</v>
      </c>
      <c r="B1631" t="s">
        <v>2</v>
      </c>
      <c r="C1631" t="s">
        <v>132</v>
      </c>
      <c r="D1631" t="s">
        <v>140</v>
      </c>
      <c r="E1631" s="2">
        <v>44201.346504629626</v>
      </c>
      <c r="F1631" s="2">
        <v>44201.352523148147</v>
      </c>
      <c r="G1631" s="3">
        <v>6.0185185211594217E-3</v>
      </c>
      <c r="H1631" s="3">
        <v>523.16746533026958</v>
      </c>
      <c r="I1631" s="3">
        <v>8.719457755504493</v>
      </c>
      <c r="J1631" s="3">
        <v>0.14532429592507487</v>
      </c>
      <c r="K1631" t="s">
        <v>42</v>
      </c>
    </row>
    <row r="1632" spans="1:11" x14ac:dyDescent="0.35">
      <c r="A1632">
        <v>1631</v>
      </c>
      <c r="B1632" t="s">
        <v>11</v>
      </c>
      <c r="C1632" t="s">
        <v>11</v>
      </c>
      <c r="D1632" t="s">
        <v>140</v>
      </c>
      <c r="E1632" s="2">
        <v>44201.352939814817</v>
      </c>
      <c r="F1632" s="2">
        <v>44201.360081018516</v>
      </c>
      <c r="G1632" s="3">
        <v>7.1412036995752715E-3</v>
      </c>
      <c r="H1632" s="3">
        <v>620.75831880869885</v>
      </c>
      <c r="I1632" s="3">
        <v>10.345971980144981</v>
      </c>
      <c r="J1632" s="3">
        <v>0.17243286633574967</v>
      </c>
    </row>
    <row r="1633" spans="1:11" x14ac:dyDescent="0.35">
      <c r="A1633">
        <v>1632</v>
      </c>
      <c r="B1633" t="s">
        <v>2</v>
      </c>
      <c r="C1633" t="s">
        <v>132</v>
      </c>
      <c r="D1633" t="s">
        <v>140</v>
      </c>
      <c r="E1633" s="2">
        <v>44201.360474537039</v>
      </c>
      <c r="F1633" s="2">
        <v>44201.363379629627</v>
      </c>
      <c r="G1633" s="3">
        <v>2.9050925877527334E-3</v>
      </c>
      <c r="H1633" s="3">
        <v>252.52891061828348</v>
      </c>
      <c r="I1633" s="3">
        <v>4.2088151769713908</v>
      </c>
      <c r="J1633" s="3">
        <v>7.0146919616189851E-2</v>
      </c>
      <c r="K1633" t="s">
        <v>41</v>
      </c>
    </row>
    <row r="1634" spans="1:11" x14ac:dyDescent="0.35">
      <c r="A1634">
        <v>1633</v>
      </c>
      <c r="B1634" t="s">
        <v>2</v>
      </c>
      <c r="C1634" t="s">
        <v>132</v>
      </c>
      <c r="D1634" t="s">
        <v>140</v>
      </c>
      <c r="E1634" s="2">
        <v>44201.363715277781</v>
      </c>
      <c r="F1634" s="2">
        <v>44201.369432870371</v>
      </c>
      <c r="G1634" s="3">
        <v>5.7175925903720781E-3</v>
      </c>
      <c r="H1634" s="3">
        <v>497.00909165264932</v>
      </c>
      <c r="I1634" s="3">
        <v>8.283484860877488</v>
      </c>
      <c r="J1634" s="3">
        <v>0.1380580810146248</v>
      </c>
      <c r="K1634" t="s">
        <v>64</v>
      </c>
    </row>
    <row r="1635" spans="1:11" x14ac:dyDescent="0.35">
      <c r="A1635">
        <v>1634</v>
      </c>
      <c r="B1635" t="s">
        <v>2</v>
      </c>
      <c r="C1635" t="s">
        <v>132</v>
      </c>
      <c r="D1635" t="s">
        <v>140</v>
      </c>
      <c r="E1635" s="2">
        <v>44201.369583333333</v>
      </c>
      <c r="F1635" s="2">
        <v>44201.374641203707</v>
      </c>
      <c r="G1635" s="3">
        <v>5.0578703740029596E-3</v>
      </c>
      <c r="H1635" s="3">
        <v>439.66188925616825</v>
      </c>
      <c r="I1635" s="3">
        <v>7.3276981542694708</v>
      </c>
      <c r="J1635" s="3">
        <v>0.12212830257115785</v>
      </c>
      <c r="K1635" t="s">
        <v>41</v>
      </c>
    </row>
    <row r="1636" spans="1:11" x14ac:dyDescent="0.35">
      <c r="A1636">
        <v>1635</v>
      </c>
      <c r="B1636" t="s">
        <v>2</v>
      </c>
      <c r="C1636" t="s">
        <v>132</v>
      </c>
      <c r="D1636" t="s">
        <v>140</v>
      </c>
      <c r="E1636" s="2">
        <v>44201.374918981484</v>
      </c>
      <c r="F1636" s="2">
        <v>44201.381863425922</v>
      </c>
      <c r="G1636" s="3">
        <v>6.9444444379769266E-3</v>
      </c>
      <c r="H1636" s="3">
        <v>603.65476686169382</v>
      </c>
      <c r="I1636" s="3">
        <v>10.060912781028231</v>
      </c>
      <c r="J1636" s="3">
        <v>0.16768187968380385</v>
      </c>
      <c r="K1636" t="s">
        <v>41</v>
      </c>
    </row>
    <row r="1637" spans="1:11" x14ac:dyDescent="0.35">
      <c r="A1637">
        <v>1636</v>
      </c>
      <c r="B1637" t="s">
        <v>2</v>
      </c>
      <c r="C1637" t="s">
        <v>132</v>
      </c>
      <c r="D1637" t="s">
        <v>140</v>
      </c>
      <c r="E1637" s="2">
        <v>44201.38208333333</v>
      </c>
      <c r="F1637" s="2">
        <v>44201.388472222221</v>
      </c>
      <c r="G1637" s="3">
        <v>6.3888888907968067E-3</v>
      </c>
      <c r="H1637" s="3">
        <v>555.36238619582809</v>
      </c>
      <c r="I1637" s="3">
        <v>9.2560397699304691</v>
      </c>
      <c r="J1637" s="3">
        <v>0.15426732949884114</v>
      </c>
      <c r="K1637" t="s">
        <v>41</v>
      </c>
    </row>
    <row r="1638" spans="1:11" x14ac:dyDescent="0.35">
      <c r="A1638">
        <v>1637</v>
      </c>
      <c r="B1638" t="s">
        <v>2</v>
      </c>
      <c r="C1638" t="s">
        <v>132</v>
      </c>
      <c r="D1638" t="s">
        <v>140</v>
      </c>
      <c r="E1638" s="2">
        <v>44201.38857638889</v>
      </c>
      <c r="F1638" s="2">
        <v>44201.395995370367</v>
      </c>
      <c r="G1638" s="3">
        <v>7.4189814768033102E-3</v>
      </c>
      <c r="H1638" s="3">
        <v>644.90450945786768</v>
      </c>
      <c r="I1638" s="3">
        <v>10.748408490964461</v>
      </c>
      <c r="J1638" s="3">
        <v>0.17914014151607435</v>
      </c>
      <c r="K1638" t="s">
        <v>41</v>
      </c>
    </row>
    <row r="1639" spans="1:11" x14ac:dyDescent="0.35">
      <c r="A1639">
        <v>1638</v>
      </c>
      <c r="B1639" t="s">
        <v>2</v>
      </c>
      <c r="C1639" t="s">
        <v>96</v>
      </c>
      <c r="D1639" t="s">
        <v>140</v>
      </c>
      <c r="E1639" s="2">
        <v>44201.396284722221</v>
      </c>
      <c r="F1639" s="2">
        <v>44201.422881944447</v>
      </c>
      <c r="G1639" s="3">
        <v>2.6597222225973383E-2</v>
      </c>
      <c r="H1639" s="3">
        <v>2311.9977595595778</v>
      </c>
      <c r="I1639" s="3">
        <v>38.533295992659632</v>
      </c>
      <c r="J1639" s="3">
        <v>0.64222159987766048</v>
      </c>
    </row>
    <row r="1640" spans="1:11" x14ac:dyDescent="0.35">
      <c r="A1640">
        <v>1639</v>
      </c>
      <c r="B1640" t="s">
        <v>16</v>
      </c>
      <c r="C1640" t="s">
        <v>16</v>
      </c>
      <c r="D1640" t="s">
        <v>140</v>
      </c>
      <c r="E1640" s="2">
        <v>44201.423009259262</v>
      </c>
      <c r="F1640" s="2">
        <v>44201.434386574074</v>
      </c>
      <c r="G1640" s="3">
        <v>1.137731481139781E-2</v>
      </c>
      <c r="H1640" s="3">
        <v>988.9877269991141</v>
      </c>
      <c r="I1640" s="3">
        <v>16.48312878331857</v>
      </c>
      <c r="J1640" s="3">
        <v>0.27471881305530949</v>
      </c>
    </row>
    <row r="1641" spans="1:11" x14ac:dyDescent="0.35">
      <c r="A1641">
        <v>1640</v>
      </c>
      <c r="B1641" t="s">
        <v>2</v>
      </c>
      <c r="C1641" t="s">
        <v>96</v>
      </c>
      <c r="D1641" t="s">
        <v>140</v>
      </c>
      <c r="E1641" s="2">
        <v>44201.434583333335</v>
      </c>
      <c r="F1641" s="2">
        <v>44201.458807870367</v>
      </c>
      <c r="G1641" s="3">
        <v>2.4224537031841464E-2</v>
      </c>
      <c r="H1641" s="3">
        <v>2105.7490465787087</v>
      </c>
      <c r="I1641" s="3">
        <v>35.095817442978479</v>
      </c>
      <c r="J1641" s="3">
        <v>0.58493029071630798</v>
      </c>
    </row>
    <row r="1642" spans="1:11" x14ac:dyDescent="0.35">
      <c r="A1642">
        <v>1641</v>
      </c>
      <c r="B1642" t="s">
        <v>11</v>
      </c>
      <c r="C1642" t="s">
        <v>11</v>
      </c>
      <c r="D1642" t="s">
        <v>140</v>
      </c>
      <c r="E1642" s="2">
        <v>44201.458958333336</v>
      </c>
      <c r="F1642" s="2">
        <v>44201.45988425926</v>
      </c>
      <c r="G1642" s="3">
        <v>9.2592592409346253E-4</v>
      </c>
      <c r="H1642" s="3">
        <v>80.487302163896246</v>
      </c>
      <c r="I1642" s="3">
        <v>1.3414550360649373</v>
      </c>
      <c r="J1642" s="3">
        <v>2.2357583934415622E-2</v>
      </c>
    </row>
    <row r="1643" spans="1:11" x14ac:dyDescent="0.35">
      <c r="A1643">
        <v>1642</v>
      </c>
      <c r="B1643" t="s">
        <v>2</v>
      </c>
      <c r="C1643" t="s">
        <v>132</v>
      </c>
      <c r="D1643" t="s">
        <v>140</v>
      </c>
      <c r="E1643" s="2">
        <v>44201.460138888891</v>
      </c>
      <c r="F1643" s="2">
        <v>44201.477303240739</v>
      </c>
      <c r="G1643" s="3">
        <v>1.7164351847895887E-2</v>
      </c>
      <c r="H1643" s="3">
        <v>1492.0333664721736</v>
      </c>
      <c r="I1643" s="3">
        <v>24.867222774536227</v>
      </c>
      <c r="J1643" s="3">
        <v>0.41445371290893712</v>
      </c>
      <c r="K1643" t="s">
        <v>42</v>
      </c>
    </row>
    <row r="1644" spans="1:11" x14ac:dyDescent="0.35">
      <c r="A1644">
        <v>1643</v>
      </c>
      <c r="B1644" t="s">
        <v>2</v>
      </c>
      <c r="C1644" t="s">
        <v>132</v>
      </c>
      <c r="D1644" t="s">
        <v>140</v>
      </c>
      <c r="E1644" s="2">
        <v>44201.477384259262</v>
      </c>
      <c r="F1644" s="2">
        <v>44201.485682870371</v>
      </c>
      <c r="G1644" s="3">
        <v>8.2986111083300784E-3</v>
      </c>
      <c r="H1644" s="3">
        <v>721.36744682980509</v>
      </c>
      <c r="I1644" s="3">
        <v>12.022790780496752</v>
      </c>
      <c r="J1644" s="3">
        <v>0.20037984634161254</v>
      </c>
      <c r="K1644" t="s">
        <v>40</v>
      </c>
    </row>
    <row r="1645" spans="1:11" x14ac:dyDescent="0.35">
      <c r="A1645">
        <v>1644</v>
      </c>
      <c r="B1645" t="s">
        <v>16</v>
      </c>
      <c r="C1645" t="s">
        <v>16</v>
      </c>
      <c r="D1645" t="s">
        <v>140</v>
      </c>
      <c r="E1645" s="2">
        <v>44201.485960648148</v>
      </c>
      <c r="F1645" s="2">
        <v>44201.541747685187</v>
      </c>
      <c r="G1645" s="3">
        <v>5.578703703940846E-2</v>
      </c>
      <c r="H1645" s="3">
        <v>4849.3599651780651</v>
      </c>
      <c r="I1645" s="3">
        <v>80.822666086301084</v>
      </c>
      <c r="J1645" s="3">
        <v>1.3470444347716848</v>
      </c>
    </row>
    <row r="1646" spans="1:11" x14ac:dyDescent="0.35">
      <c r="A1646">
        <v>1645</v>
      </c>
      <c r="B1646" t="s">
        <v>11</v>
      </c>
      <c r="C1646" t="s">
        <v>11</v>
      </c>
      <c r="D1646" t="s">
        <v>140</v>
      </c>
      <c r="E1646" s="2">
        <v>44201.542118055557</v>
      </c>
      <c r="F1646" s="2">
        <v>44201.555891203701</v>
      </c>
      <c r="G1646" s="3">
        <v>1.3773148144537117E-2</v>
      </c>
      <c r="H1646" s="3">
        <v>1197.2486217434907</v>
      </c>
      <c r="I1646" s="3">
        <v>19.954143695724845</v>
      </c>
      <c r="J1646" s="3">
        <v>0.33256906159541411</v>
      </c>
    </row>
    <row r="1647" spans="1:11" x14ac:dyDescent="0.35">
      <c r="A1647">
        <v>1646</v>
      </c>
      <c r="B1647" t="s">
        <v>2</v>
      </c>
      <c r="C1647" t="s">
        <v>72</v>
      </c>
      <c r="D1647" t="s">
        <v>140</v>
      </c>
      <c r="E1647" s="2">
        <v>44201.556168981479</v>
      </c>
      <c r="F1647" s="2">
        <v>44201.602789351855</v>
      </c>
      <c r="G1647" s="3">
        <v>4.6620370376331266E-2</v>
      </c>
      <c r="H1647" s="3">
        <v>4052.5356724905478</v>
      </c>
      <c r="I1647" s="3">
        <v>67.542261208175802</v>
      </c>
      <c r="J1647" s="3">
        <v>1.1257043534695967</v>
      </c>
      <c r="K1647" t="s">
        <v>73</v>
      </c>
    </row>
    <row r="1648" spans="1:11" x14ac:dyDescent="0.35">
      <c r="A1648">
        <v>1647</v>
      </c>
      <c r="B1648" t="s">
        <v>11</v>
      </c>
      <c r="C1648" t="s">
        <v>11</v>
      </c>
      <c r="D1648" t="s">
        <v>140</v>
      </c>
      <c r="E1648" s="2">
        <v>44201.602916666663</v>
      </c>
      <c r="F1648" s="2">
        <v>44201.615694444445</v>
      </c>
      <c r="G1648" s="3">
        <v>1.2777777781593613E-2</v>
      </c>
      <c r="H1648" s="3">
        <v>1110.7247723916562</v>
      </c>
      <c r="I1648" s="3">
        <v>18.512079539860938</v>
      </c>
      <c r="J1648" s="3">
        <v>0.30853465899768229</v>
      </c>
    </row>
    <row r="1649" spans="1:11" x14ac:dyDescent="0.35">
      <c r="A1649">
        <v>1648</v>
      </c>
      <c r="B1649" t="s">
        <v>2</v>
      </c>
      <c r="C1649" t="s">
        <v>132</v>
      </c>
      <c r="D1649" t="s">
        <v>140</v>
      </c>
      <c r="E1649" s="2">
        <v>44201.615995370368</v>
      </c>
      <c r="F1649" s="2">
        <v>44201.625011574077</v>
      </c>
      <c r="G1649" s="3">
        <v>9.0162037085974589E-3</v>
      </c>
      <c r="H1649" s="3">
        <v>783.74510679741468</v>
      </c>
      <c r="I1649" s="3">
        <v>13.062418446623578</v>
      </c>
      <c r="J1649" s="3">
        <v>0.21770697411039297</v>
      </c>
      <c r="K1649" t="s">
        <v>40</v>
      </c>
    </row>
    <row r="1650" spans="1:11" x14ac:dyDescent="0.35">
      <c r="A1650">
        <v>1649</v>
      </c>
      <c r="B1650" t="s">
        <v>2</v>
      </c>
      <c r="C1650" t="s">
        <v>96</v>
      </c>
      <c r="D1650" t="s">
        <v>140</v>
      </c>
      <c r="E1650" s="2">
        <v>44201.625196759262</v>
      </c>
      <c r="F1650" s="2">
        <v>44201.637835648151</v>
      </c>
      <c r="G1650" s="3">
        <v>1.2638888889341615E-2</v>
      </c>
      <c r="H1650" s="3">
        <v>1098.6516767508358</v>
      </c>
      <c r="I1650" s="3">
        <v>18.310861279180596</v>
      </c>
      <c r="J1650" s="3">
        <v>0.30518102131967662</v>
      </c>
    </row>
    <row r="1651" spans="1:11" x14ac:dyDescent="0.35">
      <c r="A1651">
        <v>1650</v>
      </c>
      <c r="B1651" t="s">
        <v>2</v>
      </c>
      <c r="C1651" t="s">
        <v>132</v>
      </c>
      <c r="D1651" t="s">
        <v>140</v>
      </c>
      <c r="E1651" s="2">
        <v>44201.638229166667</v>
      </c>
      <c r="F1651" s="2">
        <v>44201.648715277777</v>
      </c>
      <c r="G1651" s="3">
        <v>1.0486111110367347E-2</v>
      </c>
      <c r="H1651" s="3">
        <v>911.51869874542297</v>
      </c>
      <c r="I1651" s="3">
        <v>15.191978312423716</v>
      </c>
      <c r="J1651" s="3">
        <v>0.25319963854039529</v>
      </c>
      <c r="K1651" t="s">
        <v>40</v>
      </c>
    </row>
    <row r="1652" spans="1:11" x14ac:dyDescent="0.35">
      <c r="A1652">
        <v>1651</v>
      </c>
      <c r="B1652" t="s">
        <v>11</v>
      </c>
      <c r="C1652" t="s">
        <v>11</v>
      </c>
      <c r="D1652" t="s">
        <v>140</v>
      </c>
      <c r="E1652" s="2">
        <v>44201.64880787037</v>
      </c>
      <c r="F1652" s="2">
        <v>44201.66269675926</v>
      </c>
      <c r="G1652" s="3">
        <v>1.3888888890505768E-2</v>
      </c>
      <c r="H1652" s="3">
        <v>1207.3095349883317</v>
      </c>
      <c r="I1652" s="3">
        <v>20.121825583138861</v>
      </c>
      <c r="J1652" s="3">
        <v>0.33536375971898102</v>
      </c>
    </row>
    <row r="1653" spans="1:11" x14ac:dyDescent="0.35">
      <c r="A1653">
        <v>1652</v>
      </c>
      <c r="B1653" t="s">
        <v>16</v>
      </c>
      <c r="C1653" t="s">
        <v>16</v>
      </c>
      <c r="D1653" t="s">
        <v>140</v>
      </c>
      <c r="E1653" s="2">
        <v>44201.662777777776</v>
      </c>
      <c r="F1653" s="2">
        <v>44201.670243055552</v>
      </c>
      <c r="G1653" s="3">
        <v>7.4652777766459621E-3</v>
      </c>
      <c r="H1653" s="3">
        <v>648.92887488229849</v>
      </c>
      <c r="I1653" s="3">
        <v>10.815481248038308</v>
      </c>
      <c r="J1653" s="3">
        <v>0.18025802080063846</v>
      </c>
    </row>
    <row r="1654" spans="1:11" x14ac:dyDescent="0.35">
      <c r="A1654">
        <v>1653</v>
      </c>
      <c r="B1654" t="s">
        <v>2</v>
      </c>
      <c r="C1654" t="s">
        <v>96</v>
      </c>
      <c r="D1654" t="s">
        <v>140</v>
      </c>
      <c r="E1654" s="2">
        <v>44201.670578703706</v>
      </c>
      <c r="F1654" s="2">
        <v>44201.676342592589</v>
      </c>
      <c r="G1654" s="3">
        <v>5.7638888829387724E-3</v>
      </c>
      <c r="H1654" s="3">
        <v>501.03345644460813</v>
      </c>
      <c r="I1654" s="3">
        <v>8.3505576074101349</v>
      </c>
      <c r="J1654" s="3">
        <v>0.13917596012350225</v>
      </c>
    </row>
    <row r="1655" spans="1:11" x14ac:dyDescent="0.35">
      <c r="A1655">
        <v>1654</v>
      </c>
      <c r="B1655" t="s">
        <v>2</v>
      </c>
      <c r="C1655" t="s">
        <v>132</v>
      </c>
      <c r="D1655" t="s">
        <v>140</v>
      </c>
      <c r="E1655" s="2">
        <v>44201.676828703705</v>
      </c>
      <c r="F1655" s="2">
        <v>44201.710914351854</v>
      </c>
      <c r="G1655" s="3">
        <v>3.4085648148902692E-2</v>
      </c>
      <c r="H1655" s="3">
        <v>2962.9388168378555</v>
      </c>
      <c r="I1655" s="3">
        <v>49.382313613964257</v>
      </c>
      <c r="J1655" s="3">
        <v>0.82303856023273758</v>
      </c>
      <c r="K1655" t="s">
        <v>40</v>
      </c>
    </row>
    <row r="1656" spans="1:11" x14ac:dyDescent="0.35">
      <c r="A1656">
        <v>1655</v>
      </c>
      <c r="B1656" t="s">
        <v>11</v>
      </c>
      <c r="C1656" t="s">
        <v>11</v>
      </c>
      <c r="D1656" t="s">
        <v>140</v>
      </c>
      <c r="E1656" s="2">
        <v>44201.711192129631</v>
      </c>
      <c r="F1656" s="2">
        <v>44201.757025462961</v>
      </c>
      <c r="G1656" s="3">
        <v>4.5833333329937886E-2</v>
      </c>
      <c r="H1656" s="3">
        <v>3984.1214647025281</v>
      </c>
      <c r="I1656" s="3">
        <v>66.402024411708808</v>
      </c>
      <c r="J1656" s="3">
        <v>1.1067004068618134</v>
      </c>
    </row>
    <row r="1657" spans="1:11" x14ac:dyDescent="0.35">
      <c r="A1657">
        <v>1656</v>
      </c>
      <c r="B1657" t="s">
        <v>11</v>
      </c>
      <c r="C1657" t="s">
        <v>11</v>
      </c>
      <c r="D1657" t="s">
        <v>140</v>
      </c>
      <c r="E1657" s="2">
        <v>44202.329953703702</v>
      </c>
      <c r="F1657" s="2">
        <v>44202.341365740744</v>
      </c>
      <c r="G1657" s="3">
        <v>1.1412037041736767E-2</v>
      </c>
      <c r="H1657" s="3">
        <v>992.00600154179119</v>
      </c>
      <c r="I1657" s="3">
        <v>16.533433359029853</v>
      </c>
      <c r="J1657" s="3">
        <v>0.27555722265049754</v>
      </c>
    </row>
    <row r="1658" spans="1:11" x14ac:dyDescent="0.35">
      <c r="A1658">
        <v>1657</v>
      </c>
      <c r="B1658" t="s">
        <v>11</v>
      </c>
      <c r="C1658" t="s">
        <v>11</v>
      </c>
      <c r="D1658" t="s">
        <v>140</v>
      </c>
      <c r="E1658" s="2">
        <v>44202.341446759259</v>
      </c>
      <c r="F1658" s="2">
        <v>44202.342395833337</v>
      </c>
      <c r="G1658" s="3">
        <v>9.490740776527673E-4</v>
      </c>
      <c r="H1658" s="3">
        <v>82.499485192347635</v>
      </c>
      <c r="I1658" s="3">
        <v>1.3749914198724607</v>
      </c>
      <c r="J1658" s="3">
        <v>2.291652366454101E-2</v>
      </c>
    </row>
    <row r="1659" spans="1:11" x14ac:dyDescent="0.35">
      <c r="A1659">
        <v>1658</v>
      </c>
      <c r="B1659" t="s">
        <v>2</v>
      </c>
      <c r="C1659" t="s">
        <v>96</v>
      </c>
      <c r="D1659" t="s">
        <v>140</v>
      </c>
      <c r="E1659" s="2">
        <v>44202.342627314814</v>
      </c>
      <c r="F1659" s="2">
        <v>44202.368206018517</v>
      </c>
      <c r="G1659" s="3">
        <v>2.5578703702194616E-2</v>
      </c>
      <c r="H1659" s="3">
        <v>2223.4617265468196</v>
      </c>
      <c r="I1659" s="3">
        <v>37.057695442446992</v>
      </c>
      <c r="J1659" s="3">
        <v>0.61762825737411653</v>
      </c>
    </row>
    <row r="1660" spans="1:11" x14ac:dyDescent="0.35">
      <c r="A1660">
        <v>1659</v>
      </c>
      <c r="B1660" t="s">
        <v>2</v>
      </c>
      <c r="C1660" t="s">
        <v>96</v>
      </c>
      <c r="D1660" t="s">
        <v>140</v>
      </c>
      <c r="E1660" s="2">
        <v>44202.368495370371</v>
      </c>
      <c r="F1660" s="2">
        <v>44202.374803240738</v>
      </c>
      <c r="G1660" s="3">
        <v>6.3078703678911552E-3</v>
      </c>
      <c r="H1660" s="3">
        <v>548.31974686119213</v>
      </c>
      <c r="I1660" s="3">
        <v>9.138662447686535</v>
      </c>
      <c r="J1660" s="3">
        <v>0.15231104079477559</v>
      </c>
    </row>
    <row r="1661" spans="1:11" x14ac:dyDescent="0.35">
      <c r="A1661">
        <v>1660</v>
      </c>
      <c r="B1661" t="s">
        <v>2</v>
      </c>
      <c r="C1661" t="s">
        <v>96</v>
      </c>
      <c r="D1661" t="s">
        <v>140</v>
      </c>
      <c r="E1661" s="2">
        <v>44202.374988425923</v>
      </c>
      <c r="F1661" s="2">
        <v>44202.385810185187</v>
      </c>
      <c r="G1661" s="3">
        <v>1.082175926421769E-2</v>
      </c>
      <c r="H1661" s="3">
        <v>940.69534633324838</v>
      </c>
      <c r="I1661" s="3">
        <v>15.678255772220806</v>
      </c>
      <c r="J1661" s="3">
        <v>0.26130426287034675</v>
      </c>
    </row>
    <row r="1662" spans="1:11" x14ac:dyDescent="0.35">
      <c r="A1662">
        <v>1661</v>
      </c>
      <c r="B1662" t="s">
        <v>2</v>
      </c>
      <c r="C1662" t="s">
        <v>96</v>
      </c>
      <c r="D1662" t="s">
        <v>140</v>
      </c>
      <c r="E1662" s="2">
        <v>44202.386099537034</v>
      </c>
      <c r="F1662" s="2">
        <v>44202.422812500001</v>
      </c>
      <c r="G1662" s="3">
        <v>3.6712962966703344E-2</v>
      </c>
      <c r="H1662" s="3">
        <v>3191.3215374394422</v>
      </c>
      <c r="I1662" s="3">
        <v>53.188692290657372</v>
      </c>
      <c r="J1662" s="3">
        <v>0.88647820484428952</v>
      </c>
    </row>
    <row r="1663" spans="1:11" x14ac:dyDescent="0.35">
      <c r="A1663">
        <v>1662</v>
      </c>
      <c r="B1663" t="s">
        <v>2</v>
      </c>
      <c r="C1663" t="s">
        <v>132</v>
      </c>
      <c r="D1663" t="s">
        <v>140</v>
      </c>
      <c r="E1663" s="2">
        <v>44202.422951388886</v>
      </c>
      <c r="F1663" s="2">
        <v>44202.423472222225</v>
      </c>
      <c r="G1663" s="3">
        <v>5.2083333866903558E-4</v>
      </c>
      <c r="H1663" s="3">
        <v>45.274108020604622</v>
      </c>
      <c r="I1663" s="3">
        <v>0.75456846701007707</v>
      </c>
      <c r="J1663" s="3">
        <v>1.2576141116834617E-2</v>
      </c>
      <c r="K1663" t="s">
        <v>40</v>
      </c>
    </row>
    <row r="1664" spans="1:11" x14ac:dyDescent="0.35">
      <c r="A1664">
        <v>1663</v>
      </c>
      <c r="B1664" t="s">
        <v>16</v>
      </c>
      <c r="C1664" t="s">
        <v>16</v>
      </c>
      <c r="D1664" t="s">
        <v>140</v>
      </c>
      <c r="E1664" s="2">
        <v>44202.423645833333</v>
      </c>
      <c r="F1664" s="2">
        <v>44202.440474537034</v>
      </c>
      <c r="G1664" s="3">
        <v>1.6828703701321501E-2</v>
      </c>
      <c r="H1664" s="3">
        <v>1462.8567195168202</v>
      </c>
      <c r="I1664" s="3">
        <v>24.380945325280337</v>
      </c>
      <c r="J1664" s="3">
        <v>0.40634908875467229</v>
      </c>
    </row>
    <row r="1665" spans="1:11" x14ac:dyDescent="0.35">
      <c r="A1665">
        <v>1664</v>
      </c>
      <c r="B1665" t="s">
        <v>2</v>
      </c>
      <c r="C1665" t="s">
        <v>132</v>
      </c>
      <c r="D1665" t="s">
        <v>140</v>
      </c>
      <c r="E1665" s="2">
        <v>44202.440636574072</v>
      </c>
      <c r="F1665" s="2">
        <v>44202.454837962963</v>
      </c>
      <c r="G1665" s="3">
        <v>1.4201388890796807E-2</v>
      </c>
      <c r="H1665" s="3">
        <v>1234.4739995477057</v>
      </c>
      <c r="I1665" s="3">
        <v>20.574566659128429</v>
      </c>
      <c r="J1665" s="3">
        <v>0.34290944431880716</v>
      </c>
      <c r="K1665" t="s">
        <v>40</v>
      </c>
    </row>
    <row r="1666" spans="1:11" x14ac:dyDescent="0.35">
      <c r="A1666">
        <v>1665</v>
      </c>
      <c r="B1666" t="s">
        <v>2</v>
      </c>
      <c r="C1666" t="s">
        <v>132</v>
      </c>
      <c r="D1666" t="s">
        <v>140</v>
      </c>
      <c r="E1666" s="2">
        <v>44202.455000000002</v>
      </c>
      <c r="F1666" s="2">
        <v>44202.509780092594</v>
      </c>
      <c r="G1666" s="3">
        <v>5.4780092592409346E-2</v>
      </c>
      <c r="H1666" s="3">
        <v>4761.830023679533</v>
      </c>
      <c r="I1666" s="3">
        <v>79.363833727992215</v>
      </c>
      <c r="J1666" s="3">
        <v>1.3227305621332035</v>
      </c>
      <c r="K1666" t="s">
        <v>64</v>
      </c>
    </row>
    <row r="1667" spans="1:11" x14ac:dyDescent="0.35">
      <c r="A1667">
        <v>1666</v>
      </c>
      <c r="B1667" t="s">
        <v>16</v>
      </c>
      <c r="C1667" t="s">
        <v>16</v>
      </c>
      <c r="D1667" t="s">
        <v>140</v>
      </c>
      <c r="E1667" s="2">
        <v>44202.509918981479</v>
      </c>
      <c r="F1667" s="2">
        <v>44202.529780092591</v>
      </c>
      <c r="G1667" s="3">
        <v>1.9861111111822538E-2</v>
      </c>
      <c r="H1667" s="3">
        <v>1726.4526348941704</v>
      </c>
      <c r="I1667" s="3">
        <v>28.774210581569506</v>
      </c>
      <c r="J1667" s="3">
        <v>0.47957017635949178</v>
      </c>
    </row>
    <row r="1668" spans="1:11" x14ac:dyDescent="0.35">
      <c r="A1668">
        <v>1667</v>
      </c>
      <c r="B1668" t="s">
        <v>2</v>
      </c>
      <c r="C1668" t="s">
        <v>132</v>
      </c>
      <c r="D1668" t="s">
        <v>140</v>
      </c>
      <c r="E1668" s="2">
        <v>44202.529988425929</v>
      </c>
      <c r="F1668" s="2">
        <v>44202.533263888887</v>
      </c>
      <c r="G1668" s="3">
        <v>3.2754629573901184E-3</v>
      </c>
      <c r="H1668" s="3">
        <v>284.72383148384199</v>
      </c>
      <c r="I1668" s="3">
        <v>4.7453971913973669</v>
      </c>
      <c r="J1668" s="3">
        <v>7.9089953189956111E-2</v>
      </c>
      <c r="K1668" t="s">
        <v>40</v>
      </c>
    </row>
    <row r="1669" spans="1:11" x14ac:dyDescent="0.35">
      <c r="A1669">
        <v>1668</v>
      </c>
      <c r="B1669" t="s">
        <v>2</v>
      </c>
      <c r="C1669" t="s">
        <v>132</v>
      </c>
      <c r="D1669" t="s">
        <v>140</v>
      </c>
      <c r="E1669" s="2">
        <v>44202.533587962964</v>
      </c>
      <c r="F1669" s="2">
        <v>44202.539872685185</v>
      </c>
      <c r="G1669" s="3">
        <v>6.284722221607808E-3</v>
      </c>
      <c r="H1669" s="3">
        <v>546.30756446521275</v>
      </c>
      <c r="I1669" s="3">
        <v>9.1051260744202125</v>
      </c>
      <c r="J1669" s="3">
        <v>0.15175210124033686</v>
      </c>
      <c r="K1669" t="s">
        <v>40</v>
      </c>
    </row>
    <row r="1670" spans="1:11" x14ac:dyDescent="0.35">
      <c r="A1670">
        <v>1669</v>
      </c>
      <c r="B1670" t="s">
        <v>2</v>
      </c>
      <c r="C1670" t="s">
        <v>96</v>
      </c>
      <c r="D1670" t="s">
        <v>140</v>
      </c>
      <c r="E1670" s="2">
        <v>44202.540092592593</v>
      </c>
      <c r="F1670" s="2">
        <v>44202.55673611111</v>
      </c>
      <c r="G1670" s="3">
        <v>1.6643518516502809E-2</v>
      </c>
      <c r="H1670" s="3">
        <v>1446.7592590840411</v>
      </c>
      <c r="I1670" s="3">
        <v>24.112654318067353</v>
      </c>
      <c r="J1670" s="3">
        <v>0.40187757196778923</v>
      </c>
    </row>
    <row r="1671" spans="1:11" x14ac:dyDescent="0.35">
      <c r="A1671">
        <v>1670</v>
      </c>
      <c r="B1671" t="s">
        <v>2</v>
      </c>
      <c r="C1671" t="s">
        <v>96</v>
      </c>
      <c r="D1671" t="s">
        <v>140</v>
      </c>
      <c r="E1671" s="2">
        <v>44202.55709490741</v>
      </c>
      <c r="F1671" s="2">
        <v>44202.564097222225</v>
      </c>
      <c r="G1671" s="3">
        <v>7.0023148145992309E-3</v>
      </c>
      <c r="H1671" s="3">
        <v>608.6852238003504</v>
      </c>
      <c r="I1671" s="3">
        <v>10.14475373000584</v>
      </c>
      <c r="J1671" s="3">
        <v>0.16907922883343068</v>
      </c>
    </row>
    <row r="1672" spans="1:11" x14ac:dyDescent="0.35">
      <c r="A1672">
        <v>1671</v>
      </c>
      <c r="B1672" t="s">
        <v>2</v>
      </c>
      <c r="C1672" t="s">
        <v>96</v>
      </c>
      <c r="D1672" t="s">
        <v>140</v>
      </c>
      <c r="E1672" s="2">
        <v>44202.564317129632</v>
      </c>
      <c r="F1672" s="2">
        <v>44202.584155092591</v>
      </c>
      <c r="G1672" s="3">
        <v>1.9837962958263233E-2</v>
      </c>
      <c r="H1672" s="3">
        <v>1724.4404518657191</v>
      </c>
      <c r="I1672" s="3">
        <v>28.740674197761983</v>
      </c>
      <c r="J1672" s="3">
        <v>0.4790112366293664</v>
      </c>
    </row>
    <row r="1673" spans="1:11" x14ac:dyDescent="0.35">
      <c r="A1673">
        <v>1672</v>
      </c>
      <c r="B1673" t="s">
        <v>2</v>
      </c>
      <c r="C1673" t="s">
        <v>96</v>
      </c>
      <c r="D1673" t="s">
        <v>140</v>
      </c>
      <c r="E1673" s="2">
        <v>44202.584814814814</v>
      </c>
      <c r="F1673" s="2">
        <v>44202.59238425926</v>
      </c>
      <c r="G1673" s="3">
        <v>7.5694444458349608E-3</v>
      </c>
      <c r="H1673" s="3">
        <v>657.98369661291383</v>
      </c>
      <c r="I1673" s="3">
        <v>10.966394943548563</v>
      </c>
      <c r="J1673" s="3">
        <v>0.18277324905914272</v>
      </c>
    </row>
    <row r="1674" spans="1:11" x14ac:dyDescent="0.35">
      <c r="A1674">
        <v>1673</v>
      </c>
      <c r="B1674" t="s">
        <v>2</v>
      </c>
      <c r="C1674" t="s">
        <v>96</v>
      </c>
      <c r="D1674" t="s">
        <v>140</v>
      </c>
      <c r="E1674" s="2">
        <v>44202.592557870368</v>
      </c>
      <c r="F1674" s="2">
        <v>44202.606585648151</v>
      </c>
      <c r="G1674" s="3">
        <v>1.4027777782757767E-2</v>
      </c>
      <c r="H1674" s="3">
        <v>1219.3826306291521</v>
      </c>
      <c r="I1674" s="3">
        <v>20.323043843819203</v>
      </c>
      <c r="J1674" s="3">
        <v>0.3387173973969867</v>
      </c>
    </row>
    <row r="1675" spans="1:11" x14ac:dyDescent="0.35">
      <c r="A1675">
        <v>1674</v>
      </c>
      <c r="B1675" t="s">
        <v>2</v>
      </c>
      <c r="C1675" t="s">
        <v>96</v>
      </c>
      <c r="D1675" t="s">
        <v>140</v>
      </c>
      <c r="E1675" s="2">
        <v>44202.606689814813</v>
      </c>
      <c r="F1675" s="2">
        <v>44202.634421296294</v>
      </c>
      <c r="G1675" s="3">
        <v>2.7731481481168885E-2</v>
      </c>
      <c r="H1675" s="3">
        <v>2410.5947045522325</v>
      </c>
      <c r="I1675" s="3">
        <v>40.176578409203877</v>
      </c>
      <c r="J1675" s="3">
        <v>0.66960964015339797</v>
      </c>
    </row>
    <row r="1676" spans="1:11" x14ac:dyDescent="0.35">
      <c r="A1676">
        <v>1675</v>
      </c>
      <c r="B1676" t="s">
        <v>2</v>
      </c>
      <c r="C1676" t="s">
        <v>96</v>
      </c>
      <c r="D1676" t="s">
        <v>140</v>
      </c>
      <c r="E1676" s="2">
        <v>44202.63484953704</v>
      </c>
      <c r="F1676" s="2">
        <v>44202.641863425924</v>
      </c>
      <c r="G1676" s="3">
        <v>7.0138888841029257E-3</v>
      </c>
      <c r="H1676" s="3">
        <v>609.69131468210412</v>
      </c>
      <c r="I1676" s="3">
        <v>10.161521911368402</v>
      </c>
      <c r="J1676" s="3">
        <v>0.16935869852280669</v>
      </c>
    </row>
    <row r="1677" spans="1:11" x14ac:dyDescent="0.35">
      <c r="A1677">
        <v>1676</v>
      </c>
      <c r="B1677" t="s">
        <v>2</v>
      </c>
      <c r="C1677" t="s">
        <v>96</v>
      </c>
      <c r="D1677" t="s">
        <v>140</v>
      </c>
      <c r="E1677" s="2">
        <v>44202.643148148149</v>
      </c>
      <c r="F1677" s="2">
        <v>44202.65215277778</v>
      </c>
      <c r="G1677" s="3">
        <v>9.0046296318178065E-3</v>
      </c>
      <c r="H1677" s="3">
        <v>782.73901528318902</v>
      </c>
      <c r="I1677" s="3">
        <v>13.045650254719817</v>
      </c>
      <c r="J1677" s="3">
        <v>0.21742750424533028</v>
      </c>
    </row>
    <row r="1678" spans="1:11" x14ac:dyDescent="0.35">
      <c r="A1678">
        <v>1677</v>
      </c>
      <c r="B1678" t="s">
        <v>2</v>
      </c>
      <c r="C1678" t="s">
        <v>132</v>
      </c>
      <c r="D1678" t="s">
        <v>140</v>
      </c>
      <c r="E1678" s="2">
        <v>44202.652337962965</v>
      </c>
      <c r="F1678" s="2">
        <v>44202.663888888892</v>
      </c>
      <c r="G1678" s="3">
        <v>1.1550925926712807E-2</v>
      </c>
      <c r="H1678" s="3">
        <v>1004.0790965501396</v>
      </c>
      <c r="I1678" s="3">
        <v>16.734651609168996</v>
      </c>
      <c r="J1678" s="3">
        <v>0.27891086015281658</v>
      </c>
      <c r="K1678" t="s">
        <v>40</v>
      </c>
    </row>
    <row r="1679" spans="1:11" x14ac:dyDescent="0.35">
      <c r="A1679">
        <v>1678</v>
      </c>
      <c r="B1679" t="s">
        <v>2</v>
      </c>
      <c r="C1679" t="s">
        <v>96</v>
      </c>
      <c r="D1679" t="s">
        <v>140</v>
      </c>
      <c r="E1679" s="2">
        <v>44202.664502314816</v>
      </c>
      <c r="F1679" s="2">
        <v>44202.668819444443</v>
      </c>
      <c r="G1679" s="3">
        <v>4.3171296274522319E-3</v>
      </c>
      <c r="H1679" s="3">
        <v>375.27204689257923</v>
      </c>
      <c r="I1679" s="3">
        <v>6.2545341148763205</v>
      </c>
      <c r="J1679" s="3">
        <v>0.10424223524793867</v>
      </c>
    </row>
    <row r="1680" spans="1:11" x14ac:dyDescent="0.35">
      <c r="A1680">
        <v>1679</v>
      </c>
      <c r="B1680" t="s">
        <v>16</v>
      </c>
      <c r="C1680" t="s">
        <v>16</v>
      </c>
      <c r="D1680" t="s">
        <v>140</v>
      </c>
      <c r="E1680" s="2">
        <v>44202.669027777774</v>
      </c>
      <c r="F1680" s="2">
        <v>44202.677152777775</v>
      </c>
      <c r="G1680" s="3">
        <v>8.1250000002910383E-3</v>
      </c>
      <c r="H1680" s="3">
        <v>706.2760779112516</v>
      </c>
      <c r="I1680" s="3">
        <v>11.771267965187526</v>
      </c>
      <c r="J1680" s="3">
        <v>0.19618779941979211</v>
      </c>
    </row>
    <row r="1681" spans="1:11" x14ac:dyDescent="0.35">
      <c r="A1681">
        <v>1680</v>
      </c>
      <c r="B1681" t="s">
        <v>11</v>
      </c>
      <c r="C1681" t="s">
        <v>11</v>
      </c>
      <c r="D1681" t="s">
        <v>140</v>
      </c>
      <c r="E1681" s="2">
        <v>44202.677314814813</v>
      </c>
      <c r="F1681" s="2">
        <v>44202.691782407404</v>
      </c>
      <c r="G1681" s="3">
        <v>1.4467592591245193E-2</v>
      </c>
      <c r="H1681" s="3">
        <v>1257.6140986826488</v>
      </c>
      <c r="I1681" s="3">
        <v>20.960234978044145</v>
      </c>
      <c r="J1681" s="3">
        <v>0.34933724963406909</v>
      </c>
    </row>
    <row r="1682" spans="1:11" x14ac:dyDescent="0.35">
      <c r="A1682">
        <v>1681</v>
      </c>
      <c r="B1682" t="s">
        <v>11</v>
      </c>
      <c r="C1682" t="s">
        <v>11</v>
      </c>
      <c r="D1682" t="s">
        <v>140</v>
      </c>
      <c r="E1682" s="2">
        <v>44202.717256944445</v>
      </c>
      <c r="F1682" s="2">
        <v>44202.790543981479</v>
      </c>
      <c r="G1682" s="3">
        <v>7.3287037033878732E-2</v>
      </c>
      <c r="H1682" s="3">
        <v>6370.569978605592</v>
      </c>
      <c r="I1682" s="3">
        <v>106.17616631009319</v>
      </c>
      <c r="J1682" s="3">
        <v>1.7696027718348866</v>
      </c>
    </row>
    <row r="1683" spans="1:11" x14ac:dyDescent="0.35">
      <c r="A1683">
        <v>1682</v>
      </c>
      <c r="B1683" t="s">
        <v>11</v>
      </c>
      <c r="C1683" t="s">
        <v>11</v>
      </c>
      <c r="D1683" t="s">
        <v>140</v>
      </c>
      <c r="E1683" s="2">
        <v>44202.805659722224</v>
      </c>
      <c r="F1683" s="2">
        <v>44202.961215277777</v>
      </c>
      <c r="G1683" s="3">
        <v>0.15555555555329192</v>
      </c>
      <c r="H1683" s="3">
        <v>13521.866790098393</v>
      </c>
      <c r="I1683" s="3">
        <v>225.36444650163989</v>
      </c>
      <c r="J1683" s="3">
        <v>3.7560741083606648</v>
      </c>
    </row>
    <row r="1684" spans="1:11" x14ac:dyDescent="0.35">
      <c r="A1684">
        <v>1683</v>
      </c>
      <c r="B1684" t="s">
        <v>11</v>
      </c>
      <c r="C1684" t="s">
        <v>11</v>
      </c>
      <c r="D1684" t="s">
        <v>140</v>
      </c>
      <c r="E1684" s="2">
        <v>44203.32099537037</v>
      </c>
      <c r="F1684" s="2">
        <v>44203.326053240744</v>
      </c>
      <c r="G1684" s="3">
        <v>5.0578703740029596E-3</v>
      </c>
      <c r="H1684" s="3">
        <v>439.66188925616825</v>
      </c>
      <c r="I1684" s="3">
        <v>7.3276981542694708</v>
      </c>
      <c r="J1684" s="3">
        <v>0.12212830257115785</v>
      </c>
    </row>
    <row r="1685" spans="1:11" x14ac:dyDescent="0.35">
      <c r="A1685">
        <v>1684</v>
      </c>
      <c r="B1685" t="s">
        <v>11</v>
      </c>
      <c r="C1685" t="s">
        <v>11</v>
      </c>
      <c r="D1685" t="s">
        <v>140</v>
      </c>
      <c r="E1685" s="2">
        <v>44203.32613425926</v>
      </c>
      <c r="F1685" s="2">
        <v>44203.336736111109</v>
      </c>
      <c r="G1685" s="3">
        <v>1.060185184906004E-2</v>
      </c>
      <c r="H1685" s="3">
        <v>921.57961135779203</v>
      </c>
      <c r="I1685" s="3">
        <v>15.359660189296534</v>
      </c>
      <c r="J1685" s="3">
        <v>0.25599433648827558</v>
      </c>
    </row>
    <row r="1686" spans="1:11" x14ac:dyDescent="0.35">
      <c r="A1686">
        <v>1685</v>
      </c>
      <c r="B1686" t="s">
        <v>2</v>
      </c>
      <c r="C1686" t="s">
        <v>132</v>
      </c>
      <c r="D1686" t="s">
        <v>140</v>
      </c>
      <c r="E1686" s="2">
        <v>44203.336944444447</v>
      </c>
      <c r="F1686" s="2">
        <v>44203.375011574077</v>
      </c>
      <c r="G1686" s="3">
        <v>3.8067129629780538E-2</v>
      </c>
      <c r="H1686" s="3">
        <v>3309.0342167750814</v>
      </c>
      <c r="I1686" s="3">
        <v>55.150570279584691</v>
      </c>
      <c r="J1686" s="3">
        <v>0.9191761713264115</v>
      </c>
      <c r="K1686" t="s">
        <v>86</v>
      </c>
    </row>
    <row r="1687" spans="1:11" x14ac:dyDescent="0.35">
      <c r="A1687">
        <v>1686</v>
      </c>
      <c r="B1687" t="s">
        <v>2</v>
      </c>
      <c r="C1687" t="s">
        <v>136</v>
      </c>
      <c r="D1687" t="s">
        <v>140</v>
      </c>
      <c r="E1687" s="2">
        <v>44203.375405092593</v>
      </c>
      <c r="F1687" s="2">
        <v>44203.398576388892</v>
      </c>
      <c r="G1687" s="3">
        <v>2.3171296299551614E-2</v>
      </c>
      <c r="H1687" s="3">
        <v>2014.1947409206896</v>
      </c>
      <c r="I1687" s="3">
        <v>33.569912348678159</v>
      </c>
      <c r="J1687" s="3">
        <v>0.55949853914463599</v>
      </c>
      <c r="K1687" t="s">
        <v>90</v>
      </c>
    </row>
    <row r="1688" spans="1:11" x14ac:dyDescent="0.35">
      <c r="A1688">
        <v>1687</v>
      </c>
      <c r="B1688" t="s">
        <v>2</v>
      </c>
      <c r="C1688" t="s">
        <v>132</v>
      </c>
      <c r="D1688" t="s">
        <v>140</v>
      </c>
      <c r="E1688" s="2">
        <v>44203.398726851854</v>
      </c>
      <c r="F1688" s="2">
        <v>44203.399074074077</v>
      </c>
      <c r="G1688" s="3">
        <v>3.4722222335403785E-4</v>
      </c>
      <c r="H1688" s="3">
        <v>30.182738469579089</v>
      </c>
      <c r="I1688" s="3">
        <v>0.50304564115965145</v>
      </c>
      <c r="J1688" s="3">
        <v>8.3840940193275239E-3</v>
      </c>
      <c r="K1688" t="s">
        <v>86</v>
      </c>
    </row>
    <row r="1689" spans="1:11" x14ac:dyDescent="0.35">
      <c r="A1689">
        <v>1688</v>
      </c>
      <c r="B1689" t="s">
        <v>2</v>
      </c>
      <c r="C1689" t="s">
        <v>136</v>
      </c>
      <c r="D1689" t="s">
        <v>140</v>
      </c>
      <c r="E1689" s="2">
        <v>44203.39916666667</v>
      </c>
      <c r="F1689" s="2">
        <v>44203.40766203704</v>
      </c>
      <c r="G1689" s="3">
        <v>8.4953703699284233E-3</v>
      </c>
      <c r="H1689" s="3">
        <v>738.47099877681001</v>
      </c>
      <c r="I1689" s="3">
        <v>12.307849979613501</v>
      </c>
      <c r="J1689" s="3">
        <v>0.20513083299355833</v>
      </c>
      <c r="K1689" t="s">
        <v>90</v>
      </c>
    </row>
    <row r="1690" spans="1:11" x14ac:dyDescent="0.35">
      <c r="A1690">
        <v>1689</v>
      </c>
      <c r="B1690" t="s">
        <v>11</v>
      </c>
      <c r="C1690" t="s">
        <v>11</v>
      </c>
      <c r="D1690" t="s">
        <v>140</v>
      </c>
      <c r="E1690" s="2">
        <v>44203.407754629632</v>
      </c>
      <c r="F1690" s="2">
        <v>44203.412604166668</v>
      </c>
      <c r="G1690" s="3">
        <v>4.8495370356249623E-3</v>
      </c>
      <c r="H1690" s="3">
        <v>421.55224579493756</v>
      </c>
      <c r="I1690" s="3">
        <v>7.0258707632489594</v>
      </c>
      <c r="J1690" s="3">
        <v>0.11709784605414933</v>
      </c>
    </row>
    <row r="1691" spans="1:11" x14ac:dyDescent="0.35">
      <c r="A1691">
        <v>1690</v>
      </c>
      <c r="B1691" t="s">
        <v>2</v>
      </c>
      <c r="C1691" t="s">
        <v>132</v>
      </c>
      <c r="D1691" t="s">
        <v>140</v>
      </c>
      <c r="E1691" s="2">
        <v>44203.412847222222</v>
      </c>
      <c r="F1691" s="2">
        <v>44203.419722222221</v>
      </c>
      <c r="G1691" s="3">
        <v>6.8749999991268851E-3</v>
      </c>
      <c r="H1691" s="3">
        <v>597.61821967375568</v>
      </c>
      <c r="I1691" s="3">
        <v>9.9603036612292613</v>
      </c>
      <c r="J1691" s="3">
        <v>0.16600506102048768</v>
      </c>
      <c r="K1691" t="s">
        <v>86</v>
      </c>
    </row>
    <row r="1692" spans="1:11" x14ac:dyDescent="0.35">
      <c r="A1692">
        <v>1691</v>
      </c>
      <c r="B1692" t="s">
        <v>2</v>
      </c>
      <c r="C1692" t="s">
        <v>96</v>
      </c>
      <c r="D1692" t="s">
        <v>140</v>
      </c>
      <c r="E1692" s="2">
        <v>44203.419976851852</v>
      </c>
      <c r="F1692" s="2">
        <v>44203.435567129629</v>
      </c>
      <c r="G1692" s="3">
        <v>1.5590277776937E-2</v>
      </c>
      <c r="H1692" s="3">
        <v>1355.2049527935501</v>
      </c>
      <c r="I1692" s="3">
        <v>22.586749213225836</v>
      </c>
      <c r="J1692" s="3">
        <v>0.3764458202204306</v>
      </c>
    </row>
    <row r="1693" spans="1:11" x14ac:dyDescent="0.35">
      <c r="A1693">
        <v>1692</v>
      </c>
      <c r="B1693" t="s">
        <v>16</v>
      </c>
      <c r="C1693" t="s">
        <v>16</v>
      </c>
      <c r="D1693" t="s">
        <v>140</v>
      </c>
      <c r="E1693" s="2">
        <v>44203.435636574075</v>
      </c>
      <c r="F1693" s="2">
        <v>44203.445243055554</v>
      </c>
      <c r="G1693" s="3">
        <v>9.6064814788405783E-3</v>
      </c>
      <c r="H1693" s="3">
        <v>835.05576137348555</v>
      </c>
      <c r="I1693" s="3">
        <v>13.917596022891425</v>
      </c>
      <c r="J1693" s="3">
        <v>0.2319599337148571</v>
      </c>
    </row>
    <row r="1694" spans="1:11" x14ac:dyDescent="0.35">
      <c r="A1694">
        <v>1693</v>
      </c>
      <c r="B1694" t="s">
        <v>2</v>
      </c>
      <c r="C1694" t="s">
        <v>96</v>
      </c>
      <c r="D1694" t="s">
        <v>140</v>
      </c>
      <c r="E1694" s="2">
        <v>44203.445370370369</v>
      </c>
      <c r="F1694" s="2">
        <v>44203.507048611114</v>
      </c>
      <c r="G1694" s="3">
        <v>6.1678240745095536E-2</v>
      </c>
      <c r="H1694" s="3">
        <v>5361.46042638174</v>
      </c>
      <c r="I1694" s="3">
        <v>89.357673773029006</v>
      </c>
      <c r="J1694" s="3">
        <v>1.4892945628838168</v>
      </c>
    </row>
    <row r="1695" spans="1:11" x14ac:dyDescent="0.35">
      <c r="A1695">
        <v>1694</v>
      </c>
      <c r="B1695" t="s">
        <v>16</v>
      </c>
      <c r="C1695" t="s">
        <v>16</v>
      </c>
      <c r="D1695" t="s">
        <v>140</v>
      </c>
      <c r="E1695" s="2">
        <v>44203.507326388892</v>
      </c>
      <c r="F1695" s="2">
        <v>44203.535925925928</v>
      </c>
      <c r="G1695" s="3">
        <v>2.8599537035916001E-2</v>
      </c>
      <c r="H1695" s="3">
        <v>2486.0515504099444</v>
      </c>
      <c r="I1695" s="3">
        <v>41.43419250683241</v>
      </c>
      <c r="J1695" s="3">
        <v>0.69056987511387347</v>
      </c>
    </row>
    <row r="1696" spans="1:11" x14ac:dyDescent="0.35">
      <c r="A1696">
        <v>1695</v>
      </c>
      <c r="B1696" t="s">
        <v>2</v>
      </c>
      <c r="C1696" t="s">
        <v>96</v>
      </c>
      <c r="D1696" t="s">
        <v>140</v>
      </c>
      <c r="E1696" s="2">
        <v>44203.536111111112</v>
      </c>
      <c r="F1696" s="2">
        <v>44203.561412037037</v>
      </c>
      <c r="G1696" s="3">
        <v>2.5300925924966577E-2</v>
      </c>
      <c r="H1696" s="3">
        <v>2199.315535897651</v>
      </c>
      <c r="I1696" s="3">
        <v>36.655258931627515</v>
      </c>
      <c r="J1696" s="3">
        <v>0.61092098219379187</v>
      </c>
    </row>
    <row r="1697" spans="1:11" x14ac:dyDescent="0.35">
      <c r="A1697">
        <v>1696</v>
      </c>
      <c r="B1697" t="s">
        <v>11</v>
      </c>
      <c r="C1697" t="s">
        <v>11</v>
      </c>
      <c r="D1697" t="s">
        <v>140</v>
      </c>
      <c r="E1697" s="2">
        <v>44203.561493055553</v>
      </c>
      <c r="F1697" s="2">
        <v>44203.576574074075</v>
      </c>
      <c r="G1697" s="3">
        <v>1.5081018522323575E-2</v>
      </c>
      <c r="H1697" s="3">
        <v>1310.9369369196431</v>
      </c>
      <c r="I1697" s="3">
        <v>21.84894894866072</v>
      </c>
      <c r="J1697" s="3">
        <v>0.36414914914434532</v>
      </c>
    </row>
    <row r="1698" spans="1:11" x14ac:dyDescent="0.35">
      <c r="A1698">
        <v>1697</v>
      </c>
      <c r="B1698" t="s">
        <v>2</v>
      </c>
      <c r="C1698" t="s">
        <v>96</v>
      </c>
      <c r="D1698" t="s">
        <v>140</v>
      </c>
      <c r="E1698" s="2">
        <v>44203.576793981483</v>
      </c>
      <c r="F1698" s="2">
        <v>44203.577638888892</v>
      </c>
      <c r="G1698" s="3">
        <v>8.4490740846376866E-4</v>
      </c>
      <c r="H1698" s="3">
        <v>73.444663461732318</v>
      </c>
      <c r="I1698" s="3">
        <v>1.2240777243622054</v>
      </c>
      <c r="J1698" s="3">
        <v>2.0401295406036756E-2</v>
      </c>
    </row>
    <row r="1699" spans="1:11" x14ac:dyDescent="0.35">
      <c r="A1699">
        <v>1698</v>
      </c>
      <c r="B1699" t="s">
        <v>2</v>
      </c>
      <c r="C1699" t="s">
        <v>132</v>
      </c>
      <c r="D1699" t="s">
        <v>140</v>
      </c>
      <c r="E1699" s="2">
        <v>44203.577824074076</v>
      </c>
      <c r="F1699" s="2">
        <v>44203.580011574071</v>
      </c>
      <c r="G1699" s="3">
        <v>2.1874999947613105E-3</v>
      </c>
      <c r="H1699" s="3">
        <v>190.15125128314591</v>
      </c>
      <c r="I1699" s="3">
        <v>3.1691875213857652</v>
      </c>
      <c r="J1699" s="3">
        <v>5.2819792023096085E-2</v>
      </c>
      <c r="K1699" t="s">
        <v>42</v>
      </c>
    </row>
    <row r="1700" spans="1:11" x14ac:dyDescent="0.35">
      <c r="A1700">
        <v>1699</v>
      </c>
      <c r="B1700" t="s">
        <v>2</v>
      </c>
      <c r="C1700" t="s">
        <v>96</v>
      </c>
      <c r="D1700" t="s">
        <v>140</v>
      </c>
      <c r="E1700" s="2">
        <v>44203.580138888887</v>
      </c>
      <c r="F1700" s="2">
        <v>44203.621655092589</v>
      </c>
      <c r="G1700" s="3">
        <v>4.1516203702485655E-2</v>
      </c>
      <c r="H1700" s="3">
        <v>3608.849417809949</v>
      </c>
      <c r="I1700" s="3">
        <v>60.147490296832487</v>
      </c>
      <c r="J1700" s="3">
        <v>1.0024581716138747</v>
      </c>
    </row>
    <row r="1701" spans="1:11" x14ac:dyDescent="0.35">
      <c r="A1701">
        <v>1700</v>
      </c>
      <c r="B1701" t="s">
        <v>2</v>
      </c>
      <c r="C1701" t="s">
        <v>132</v>
      </c>
      <c r="D1701" t="s">
        <v>140</v>
      </c>
      <c r="E1701" s="2">
        <v>44203.622025462966</v>
      </c>
      <c r="F1701" s="2">
        <v>44203.678923611114</v>
      </c>
      <c r="G1701" s="3">
        <v>5.6898148148320615E-2</v>
      </c>
      <c r="H1701" s="3">
        <v>4945.9447277747404</v>
      </c>
      <c r="I1701" s="3">
        <v>82.432412129579006</v>
      </c>
      <c r="J1701" s="3">
        <v>1.3738735354929834</v>
      </c>
      <c r="K1701" t="s">
        <v>42</v>
      </c>
    </row>
    <row r="1702" spans="1:11" x14ac:dyDescent="0.35">
      <c r="A1702">
        <v>1701</v>
      </c>
      <c r="B1702" t="s">
        <v>16</v>
      </c>
      <c r="C1702" t="s">
        <v>16</v>
      </c>
      <c r="D1702" t="s">
        <v>140</v>
      </c>
      <c r="E1702" s="2">
        <v>44203.679108796299</v>
      </c>
      <c r="F1702" s="2">
        <v>44203.708333333336</v>
      </c>
      <c r="G1702" s="3">
        <v>2.9224537036498077E-2</v>
      </c>
      <c r="H1702" s="3">
        <v>2540.3804795286924</v>
      </c>
      <c r="I1702" s="3">
        <v>42.339674658811539</v>
      </c>
      <c r="J1702" s="3">
        <v>0.70566124431352562</v>
      </c>
    </row>
    <row r="1703" spans="1:11" x14ac:dyDescent="0.35">
      <c r="A1703">
        <v>1702</v>
      </c>
      <c r="B1703" t="s">
        <v>11</v>
      </c>
      <c r="C1703" t="s">
        <v>11</v>
      </c>
      <c r="D1703" t="s">
        <v>140</v>
      </c>
      <c r="E1703" s="2">
        <v>44204.329895833333</v>
      </c>
      <c r="F1703" s="2">
        <v>44204.350138888891</v>
      </c>
      <c r="G1703" s="3">
        <v>2.0243055558239575E-2</v>
      </c>
      <c r="H1703" s="3">
        <v>1759.6536472739547</v>
      </c>
      <c r="I1703" s="3">
        <v>29.327560787899245</v>
      </c>
      <c r="J1703" s="3">
        <v>0.48879267979832075</v>
      </c>
    </row>
    <row r="1704" spans="1:11" x14ac:dyDescent="0.35">
      <c r="A1704">
        <v>1703</v>
      </c>
      <c r="B1704" t="s">
        <v>11</v>
      </c>
      <c r="C1704" t="s">
        <v>11</v>
      </c>
      <c r="D1704" t="s">
        <v>140</v>
      </c>
      <c r="E1704" s="2">
        <v>44204.350300925929</v>
      </c>
      <c r="F1704" s="2">
        <v>44204.352986111109</v>
      </c>
      <c r="G1704" s="3">
        <v>2.6851851798710413E-3</v>
      </c>
      <c r="H1704" s="3">
        <v>233.41317627529912</v>
      </c>
      <c r="I1704" s="3">
        <v>3.8902196045883186</v>
      </c>
      <c r="J1704" s="3">
        <v>6.483699340980531E-2</v>
      </c>
    </row>
    <row r="1705" spans="1:11" x14ac:dyDescent="0.35">
      <c r="A1705">
        <v>1704</v>
      </c>
      <c r="B1705" t="s">
        <v>2</v>
      </c>
      <c r="C1705" t="s">
        <v>96</v>
      </c>
      <c r="D1705" t="s">
        <v>140</v>
      </c>
      <c r="E1705" s="2">
        <v>44204.353136574071</v>
      </c>
      <c r="F1705" s="2">
        <v>44204.359155092592</v>
      </c>
      <c r="G1705" s="3">
        <v>6.0185185211594217E-3</v>
      </c>
      <c r="H1705" s="3">
        <v>523.16746533026958</v>
      </c>
      <c r="I1705" s="3">
        <v>8.719457755504493</v>
      </c>
      <c r="J1705" s="3">
        <v>0.14532429592507487</v>
      </c>
    </row>
    <row r="1706" spans="1:11" x14ac:dyDescent="0.35">
      <c r="A1706">
        <v>1705</v>
      </c>
      <c r="B1706" t="s">
        <v>2</v>
      </c>
      <c r="C1706" t="s">
        <v>72</v>
      </c>
      <c r="D1706" t="s">
        <v>140</v>
      </c>
      <c r="E1706" s="2">
        <v>44204.359351851854</v>
      </c>
      <c r="F1706" s="2">
        <v>44204.364212962966</v>
      </c>
      <c r="G1706" s="3">
        <v>4.8611111124046147E-3</v>
      </c>
      <c r="H1706" s="3">
        <v>422.55833730916328</v>
      </c>
      <c r="I1706" s="3">
        <v>7.0426389551527215</v>
      </c>
      <c r="J1706" s="3">
        <v>0.11737731591921202</v>
      </c>
      <c r="K1706" t="s">
        <v>73</v>
      </c>
    </row>
    <row r="1707" spans="1:11" x14ac:dyDescent="0.35">
      <c r="A1707">
        <v>1706</v>
      </c>
      <c r="B1707" t="s">
        <v>2</v>
      </c>
      <c r="C1707" t="s">
        <v>96</v>
      </c>
      <c r="D1707" t="s">
        <v>140</v>
      </c>
      <c r="E1707" s="2">
        <v>44204.364305555559</v>
      </c>
      <c r="F1707" s="2">
        <v>44204.374039351853</v>
      </c>
      <c r="G1707" s="3">
        <v>9.7337962943129241E-3</v>
      </c>
      <c r="H1707" s="3">
        <v>846.12276550008028</v>
      </c>
      <c r="I1707" s="3">
        <v>14.102046091668004</v>
      </c>
      <c r="J1707" s="3">
        <v>0.23503410152780008</v>
      </c>
    </row>
    <row r="1708" spans="1:11" x14ac:dyDescent="0.35">
      <c r="A1708">
        <v>1707</v>
      </c>
      <c r="B1708" t="s">
        <v>2</v>
      </c>
      <c r="C1708" t="s">
        <v>72</v>
      </c>
      <c r="D1708" t="s">
        <v>140</v>
      </c>
      <c r="E1708" s="2">
        <v>44204.374166666668</v>
      </c>
      <c r="F1708" s="2">
        <v>44204.43241898148</v>
      </c>
      <c r="G1708" s="3">
        <v>5.825231481139781E-2</v>
      </c>
      <c r="H1708" s="3">
        <v>5063.6574071103796</v>
      </c>
      <c r="I1708" s="3">
        <v>84.394290118506333</v>
      </c>
      <c r="J1708" s="3">
        <v>1.4065715019751055</v>
      </c>
      <c r="K1708" t="s">
        <v>73</v>
      </c>
    </row>
    <row r="1709" spans="1:11" x14ac:dyDescent="0.35">
      <c r="A1709">
        <v>1708</v>
      </c>
      <c r="B1709" t="s">
        <v>16</v>
      </c>
      <c r="C1709" t="s">
        <v>16</v>
      </c>
      <c r="D1709" t="s">
        <v>140</v>
      </c>
      <c r="E1709" s="2">
        <v>44204.432534722226</v>
      </c>
      <c r="F1709" s="2">
        <v>44204.436377314814</v>
      </c>
      <c r="G1709" s="3">
        <v>3.8425925886258483E-3</v>
      </c>
      <c r="H1709" s="3">
        <v>334.02230429640542</v>
      </c>
      <c r="I1709" s="3">
        <v>5.5670384049400905</v>
      </c>
      <c r="J1709" s="3">
        <v>9.2783973415668172E-2</v>
      </c>
    </row>
    <row r="1710" spans="1:11" x14ac:dyDescent="0.35">
      <c r="A1710">
        <v>1709</v>
      </c>
      <c r="B1710" t="s">
        <v>2</v>
      </c>
      <c r="C1710" t="s">
        <v>96</v>
      </c>
      <c r="D1710" t="s">
        <v>140</v>
      </c>
      <c r="E1710" s="2">
        <v>44204.436527777776</v>
      </c>
      <c r="F1710" s="2">
        <v>44204.458472222221</v>
      </c>
      <c r="G1710" s="3">
        <v>2.1944444444670808E-2</v>
      </c>
      <c r="H1710" s="3">
        <v>1907.549065079173</v>
      </c>
      <c r="I1710" s="3">
        <v>31.792484417986216</v>
      </c>
      <c r="J1710" s="3">
        <v>0.52987474029977022</v>
      </c>
    </row>
    <row r="1711" spans="1:11" x14ac:dyDescent="0.35">
      <c r="A1711">
        <v>1710</v>
      </c>
      <c r="B1711" t="s">
        <v>2</v>
      </c>
      <c r="C1711" t="s">
        <v>136</v>
      </c>
      <c r="D1711" t="s">
        <v>140</v>
      </c>
      <c r="E1711" s="2">
        <v>44204.458645833336</v>
      </c>
      <c r="F1711" s="2">
        <v>44204.479490740741</v>
      </c>
      <c r="G1711" s="3">
        <v>2.0844907405262347E-2</v>
      </c>
      <c r="H1711" s="3">
        <v>1811.9703933642513</v>
      </c>
      <c r="I1711" s="3">
        <v>30.199506556070855</v>
      </c>
      <c r="J1711" s="3">
        <v>0.50332510926784757</v>
      </c>
      <c r="K1711" t="s">
        <v>90</v>
      </c>
    </row>
    <row r="1712" spans="1:11" x14ac:dyDescent="0.35">
      <c r="A1712">
        <v>1711</v>
      </c>
      <c r="B1712" t="s">
        <v>16</v>
      </c>
      <c r="C1712" t="s">
        <v>16</v>
      </c>
      <c r="D1712" t="s">
        <v>140</v>
      </c>
      <c r="E1712" s="2">
        <v>44204.479618055557</v>
      </c>
      <c r="F1712" s="2">
        <v>44204.492013888892</v>
      </c>
      <c r="G1712" s="3">
        <v>1.2395833335176576E-2</v>
      </c>
      <c r="H1712" s="3">
        <v>1077.5237600118719</v>
      </c>
      <c r="I1712" s="3">
        <v>17.958729333531199</v>
      </c>
      <c r="J1712" s="3">
        <v>0.29931215555885332</v>
      </c>
    </row>
    <row r="1713" spans="1:11" x14ac:dyDescent="0.35">
      <c r="A1713">
        <v>1712</v>
      </c>
      <c r="B1713" t="s">
        <v>2</v>
      </c>
      <c r="C1713" t="s">
        <v>96</v>
      </c>
      <c r="D1713" t="s">
        <v>140</v>
      </c>
      <c r="E1713" s="2">
        <v>44204.492129629631</v>
      </c>
      <c r="F1713" s="2">
        <v>44204.516458333332</v>
      </c>
      <c r="G1713" s="3">
        <v>2.4328703701030463E-2</v>
      </c>
      <c r="H1713" s="3">
        <v>2114.8038683093237</v>
      </c>
      <c r="I1713" s="3">
        <v>35.246731138488727</v>
      </c>
      <c r="J1713" s="3">
        <v>0.58744551897481212</v>
      </c>
    </row>
    <row r="1714" spans="1:11" x14ac:dyDescent="0.35">
      <c r="A1714">
        <v>1713</v>
      </c>
      <c r="B1714" t="s">
        <v>16</v>
      </c>
      <c r="C1714" t="s">
        <v>16</v>
      </c>
      <c r="D1714" t="s">
        <v>140</v>
      </c>
      <c r="E1714" s="2">
        <v>44204.516597222224</v>
      </c>
      <c r="F1714" s="2">
        <v>44204.530694444446</v>
      </c>
      <c r="G1714" s="3">
        <v>1.4097222221607808E-2</v>
      </c>
      <c r="H1714" s="3">
        <v>1225.4191778170903</v>
      </c>
      <c r="I1714" s="3">
        <v>20.423652963618171</v>
      </c>
      <c r="J1714" s="3">
        <v>0.34039421606030285</v>
      </c>
    </row>
    <row r="1715" spans="1:11" x14ac:dyDescent="0.35">
      <c r="A1715">
        <v>1714</v>
      </c>
      <c r="B1715" t="s">
        <v>2</v>
      </c>
      <c r="C1715" t="s">
        <v>96</v>
      </c>
      <c r="D1715" t="s">
        <v>140</v>
      </c>
      <c r="E1715" s="2">
        <v>44204.531215277777</v>
      </c>
      <c r="F1715" s="2">
        <v>44204.54</v>
      </c>
      <c r="G1715" s="3">
        <v>8.7847222239361145E-3</v>
      </c>
      <c r="H1715" s="3">
        <v>763.62328094020461</v>
      </c>
      <c r="I1715" s="3">
        <v>12.727054682336744</v>
      </c>
      <c r="J1715" s="3">
        <v>0.21211757803894574</v>
      </c>
    </row>
    <row r="1716" spans="1:11" x14ac:dyDescent="0.35">
      <c r="A1716">
        <v>1715</v>
      </c>
      <c r="B1716" t="s">
        <v>2</v>
      </c>
      <c r="C1716" t="s">
        <v>96</v>
      </c>
      <c r="D1716" t="s">
        <v>140</v>
      </c>
      <c r="E1716" s="2">
        <v>44204.540150462963</v>
      </c>
      <c r="F1716" s="2">
        <v>44204.583506944444</v>
      </c>
      <c r="G1716" s="3">
        <v>4.3356481481168885E-2</v>
      </c>
      <c r="H1716" s="3">
        <v>3768.8179312559878</v>
      </c>
      <c r="I1716" s="3">
        <v>62.813632187599794</v>
      </c>
      <c r="J1716" s="3">
        <v>1.0468938697933299</v>
      </c>
    </row>
    <row r="1717" spans="1:11" x14ac:dyDescent="0.35">
      <c r="A1717">
        <v>1716</v>
      </c>
      <c r="B1717" t="s">
        <v>16</v>
      </c>
      <c r="C1717" t="s">
        <v>16</v>
      </c>
      <c r="D1717" t="s">
        <v>140</v>
      </c>
      <c r="E1717" s="2">
        <v>44204.583587962959</v>
      </c>
      <c r="F1717" s="2">
        <v>44204.597662037035</v>
      </c>
      <c r="G1717" s="3">
        <v>1.4074074075324461E-2</v>
      </c>
      <c r="H1717" s="3">
        <v>1223.4069954211109</v>
      </c>
      <c r="I1717" s="3">
        <v>20.390116590351848</v>
      </c>
      <c r="J1717" s="3">
        <v>0.33983527650586415</v>
      </c>
    </row>
    <row r="1718" spans="1:11" x14ac:dyDescent="0.35">
      <c r="A1718">
        <v>1717</v>
      </c>
      <c r="B1718" t="s">
        <v>2</v>
      </c>
      <c r="C1718" t="s">
        <v>96</v>
      </c>
      <c r="D1718" t="s">
        <v>140</v>
      </c>
      <c r="E1718" s="2">
        <v>44204.597939814812</v>
      </c>
      <c r="F1718" s="2">
        <v>44204.609872685185</v>
      </c>
      <c r="G1718" s="3">
        <v>1.1932870373129845E-2</v>
      </c>
      <c r="H1718" s="3">
        <v>1037.2801089299239</v>
      </c>
      <c r="I1718" s="3">
        <v>17.288001815498731</v>
      </c>
      <c r="J1718" s="3">
        <v>0.28813336359164554</v>
      </c>
    </row>
    <row r="1719" spans="1:11" x14ac:dyDescent="0.35">
      <c r="A1719">
        <v>1718</v>
      </c>
      <c r="B1719" t="s">
        <v>2</v>
      </c>
      <c r="C1719" t="s">
        <v>136</v>
      </c>
      <c r="D1719" t="s">
        <v>140</v>
      </c>
      <c r="E1719" s="2">
        <v>44204.61010416667</v>
      </c>
      <c r="F1719" s="2">
        <v>44204.61513888889</v>
      </c>
      <c r="G1719" s="3">
        <v>5.0347222204436548E-3</v>
      </c>
      <c r="H1719" s="3">
        <v>437.64970622771682</v>
      </c>
      <c r="I1719" s="3">
        <v>7.2941617704619466</v>
      </c>
      <c r="J1719" s="3">
        <v>0.12156936284103244</v>
      </c>
      <c r="K1719" t="s">
        <v>90</v>
      </c>
    </row>
    <row r="1720" spans="1:11" x14ac:dyDescent="0.35">
      <c r="A1720">
        <v>1719</v>
      </c>
      <c r="B1720" t="s">
        <v>2</v>
      </c>
      <c r="C1720" t="s">
        <v>132</v>
      </c>
      <c r="D1720" t="s">
        <v>140</v>
      </c>
      <c r="E1720" s="2">
        <v>44204.615393518521</v>
      </c>
      <c r="F1720" s="2">
        <v>44204.62259259259</v>
      </c>
      <c r="G1720" s="3">
        <v>7.1990740689216182E-3</v>
      </c>
      <c r="H1720" s="3">
        <v>625.78877511488338</v>
      </c>
      <c r="I1720" s="3">
        <v>10.429812918581389</v>
      </c>
      <c r="J1720" s="3">
        <v>0.17383021530968981</v>
      </c>
      <c r="K1720" t="s">
        <v>40</v>
      </c>
    </row>
    <row r="1721" spans="1:11" x14ac:dyDescent="0.35">
      <c r="A1721">
        <v>1720</v>
      </c>
      <c r="B1721" t="s">
        <v>2</v>
      </c>
      <c r="C1721" t="s">
        <v>136</v>
      </c>
      <c r="D1721" t="s">
        <v>140</v>
      </c>
      <c r="E1721" s="2">
        <v>44204.622777777775</v>
      </c>
      <c r="F1721" s="2">
        <v>44204.629618055558</v>
      </c>
      <c r="G1721" s="3">
        <v>6.8402777833398432E-3</v>
      </c>
      <c r="H1721" s="3">
        <v>594.59994639602246</v>
      </c>
      <c r="I1721" s="3">
        <v>9.9099991066003739</v>
      </c>
      <c r="J1721" s="3">
        <v>0.16516665177667289</v>
      </c>
      <c r="K1721" t="s">
        <v>90</v>
      </c>
    </row>
    <row r="1722" spans="1:11" x14ac:dyDescent="0.35">
      <c r="A1722">
        <v>1721</v>
      </c>
      <c r="B1722" t="s">
        <v>2</v>
      </c>
      <c r="C1722" t="s">
        <v>96</v>
      </c>
      <c r="D1722" t="s">
        <v>140</v>
      </c>
      <c r="E1722" s="2">
        <v>44204.629942129628</v>
      </c>
      <c r="F1722" s="2">
        <v>44204.675243055557</v>
      </c>
      <c r="G1722" s="3">
        <v>4.5300925929041114E-2</v>
      </c>
      <c r="H1722" s="3">
        <v>3937.841266432642</v>
      </c>
      <c r="I1722" s="3">
        <v>65.630687773877369</v>
      </c>
      <c r="J1722" s="3">
        <v>1.0938447962312894</v>
      </c>
    </row>
    <row r="1723" spans="1:11" x14ac:dyDescent="0.35">
      <c r="A1723">
        <v>1722</v>
      </c>
      <c r="B1723" t="s">
        <v>2</v>
      </c>
      <c r="C1723" t="s">
        <v>96</v>
      </c>
      <c r="D1723" t="s">
        <v>140</v>
      </c>
      <c r="E1723" s="2">
        <v>44204.67564814815</v>
      </c>
      <c r="F1723" s="2">
        <v>44204.695289351854</v>
      </c>
      <c r="G1723" s="3">
        <v>1.9641203703940846E-2</v>
      </c>
      <c r="H1723" s="3">
        <v>1707.3369005511861</v>
      </c>
      <c r="I1723" s="3">
        <v>28.455615009186435</v>
      </c>
      <c r="J1723" s="3">
        <v>0.47426025015310724</v>
      </c>
    </row>
    <row r="1724" spans="1:11" x14ac:dyDescent="0.35">
      <c r="A1724">
        <v>1723</v>
      </c>
      <c r="B1724" t="s">
        <v>16</v>
      </c>
      <c r="C1724" t="s">
        <v>16</v>
      </c>
      <c r="D1724" t="s">
        <v>140</v>
      </c>
      <c r="E1724" s="2">
        <v>44204.695474537039</v>
      </c>
      <c r="F1724" s="2">
        <v>44204.738391203704</v>
      </c>
      <c r="G1724" s="3">
        <v>4.2916666665405501E-2</v>
      </c>
      <c r="H1724" s="3">
        <v>3730.5864625700192</v>
      </c>
      <c r="I1724" s="3">
        <v>62.176441042833652</v>
      </c>
      <c r="J1724" s="3">
        <v>1.0362740173805609</v>
      </c>
    </row>
    <row r="1725" spans="1:11" x14ac:dyDescent="0.35">
      <c r="A1725">
        <v>1724</v>
      </c>
      <c r="B1725" t="s">
        <v>11</v>
      </c>
      <c r="C1725" t="s">
        <v>11</v>
      </c>
      <c r="D1725" t="s">
        <v>140</v>
      </c>
      <c r="E1725" s="2">
        <v>44204.738483796296</v>
      </c>
      <c r="F1725" s="2">
        <v>44204.77952546296</v>
      </c>
      <c r="G1725" s="3">
        <v>4.1041666663659271E-2</v>
      </c>
      <c r="H1725" s="3">
        <v>3567.5996752137753</v>
      </c>
      <c r="I1725" s="3">
        <v>59.459994586896258</v>
      </c>
      <c r="J1725" s="3">
        <v>0.99099990978160435</v>
      </c>
    </row>
    <row r="1726" spans="1:11" x14ac:dyDescent="0.35">
      <c r="A1726">
        <v>1725</v>
      </c>
      <c r="B1726" t="s">
        <v>11</v>
      </c>
      <c r="C1726" t="s">
        <v>11</v>
      </c>
      <c r="D1726" t="s">
        <v>140</v>
      </c>
      <c r="E1726" s="2">
        <v>44204.790833333333</v>
      </c>
      <c r="F1726" s="2">
        <v>44204.803414351853</v>
      </c>
      <c r="G1726" s="3">
        <v>1.2581018519995268E-2</v>
      </c>
      <c r="H1726" s="3">
        <v>1093.6212204446513</v>
      </c>
      <c r="I1726" s="3">
        <v>18.227020340744186</v>
      </c>
      <c r="J1726" s="3">
        <v>0.30378367234573644</v>
      </c>
    </row>
    <row r="1727" spans="1:11" x14ac:dyDescent="0.35">
      <c r="A1727">
        <v>1726</v>
      </c>
      <c r="B1727" t="s">
        <v>11</v>
      </c>
      <c r="C1727" t="s">
        <v>11</v>
      </c>
      <c r="D1727" t="s">
        <v>140</v>
      </c>
      <c r="E1727" s="2">
        <v>44204.907847222225</v>
      </c>
      <c r="F1727" s="2">
        <v>44204.987245370372</v>
      </c>
      <c r="G1727" s="3">
        <v>7.93981481474475E-2</v>
      </c>
      <c r="H1727" s="3">
        <v>6901.7861741522511</v>
      </c>
      <c r="I1727" s="3">
        <v>115.02976956920419</v>
      </c>
      <c r="J1727" s="3">
        <v>1.9171628261534033</v>
      </c>
    </row>
    <row r="1728" spans="1:11" x14ac:dyDescent="0.35">
      <c r="A1728">
        <v>1727</v>
      </c>
      <c r="B1728" t="s">
        <v>11</v>
      </c>
      <c r="C1728" t="s">
        <v>11</v>
      </c>
      <c r="D1728" t="s">
        <v>140</v>
      </c>
      <c r="E1728" s="2">
        <v>44205.672384259262</v>
      </c>
      <c r="F1728" s="2">
        <v>44205.726909722223</v>
      </c>
      <c r="G1728" s="3">
        <v>5.4525462961464655E-2</v>
      </c>
      <c r="H1728" s="3">
        <v>4739.6960154263434</v>
      </c>
      <c r="I1728" s="3">
        <v>78.994933590439061</v>
      </c>
      <c r="J1728" s="3">
        <v>1.3165822265073177</v>
      </c>
    </row>
    <row r="1729" spans="1:11" x14ac:dyDescent="0.35">
      <c r="A1729">
        <v>1728</v>
      </c>
      <c r="B1729" t="s">
        <v>11</v>
      </c>
      <c r="C1729" t="s">
        <v>11</v>
      </c>
      <c r="D1729" t="s">
        <v>140</v>
      </c>
      <c r="E1729" s="2">
        <v>44205.736979166664</v>
      </c>
      <c r="F1729" s="2">
        <v>44205.803101851852</v>
      </c>
      <c r="G1729" s="3">
        <v>6.6122685188020114E-2</v>
      </c>
      <c r="H1729" s="3">
        <v>5747.7994774009139</v>
      </c>
      <c r="I1729" s="3">
        <v>95.796657956681898</v>
      </c>
      <c r="J1729" s="3">
        <v>1.5966109659446983</v>
      </c>
    </row>
    <row r="1730" spans="1:11" x14ac:dyDescent="0.35">
      <c r="A1730">
        <v>1729</v>
      </c>
      <c r="B1730" t="s">
        <v>11</v>
      </c>
      <c r="C1730" t="s">
        <v>11</v>
      </c>
      <c r="D1730" t="s">
        <v>140</v>
      </c>
      <c r="E1730" s="2">
        <v>44205.909537037034</v>
      </c>
      <c r="F1730" s="2">
        <v>44206.037581018521</v>
      </c>
      <c r="G1730" s="3">
        <v>0.12804398148728069</v>
      </c>
      <c r="H1730" s="3">
        <v>11130.387820521617</v>
      </c>
      <c r="I1730" s="3">
        <v>185.50646367536029</v>
      </c>
      <c r="J1730" s="3">
        <v>3.0917743945893381</v>
      </c>
    </row>
    <row r="1731" spans="1:11" x14ac:dyDescent="0.35">
      <c r="A1731">
        <v>1730</v>
      </c>
      <c r="B1731" t="s">
        <v>11</v>
      </c>
      <c r="C1731" t="s">
        <v>11</v>
      </c>
      <c r="D1731" t="s">
        <v>140</v>
      </c>
      <c r="E1731" s="2">
        <v>44206.514594907407</v>
      </c>
      <c r="F1731" s="2">
        <v>44206.515347222223</v>
      </c>
      <c r="G1731" s="3">
        <v>7.5231481605442241E-4</v>
      </c>
      <c r="H1731" s="3">
        <v>65.39593324534269</v>
      </c>
      <c r="I1731" s="3">
        <v>1.0899322207557114</v>
      </c>
      <c r="J1731" s="3">
        <v>1.8165537012595191E-2</v>
      </c>
    </row>
    <row r="1732" spans="1:11" x14ac:dyDescent="0.35">
      <c r="A1732">
        <v>1731</v>
      </c>
      <c r="B1732" t="s">
        <v>11</v>
      </c>
      <c r="C1732" t="s">
        <v>11</v>
      </c>
      <c r="D1732" t="s">
        <v>140</v>
      </c>
      <c r="E1732" s="2">
        <v>44206.515416666669</v>
      </c>
      <c r="F1732" s="2">
        <v>44206.755254629628</v>
      </c>
      <c r="G1732" s="3">
        <v>0.23983796295942739</v>
      </c>
      <c r="H1732" s="3">
        <v>20848.223483955786</v>
      </c>
      <c r="I1732" s="3">
        <v>347.47039139926312</v>
      </c>
      <c r="J1732" s="3">
        <v>5.7911731899877186</v>
      </c>
    </row>
    <row r="1733" spans="1:11" x14ac:dyDescent="0.35">
      <c r="A1733">
        <v>1732</v>
      </c>
      <c r="B1733" t="s">
        <v>11</v>
      </c>
      <c r="C1733" t="s">
        <v>11</v>
      </c>
      <c r="D1733" t="s">
        <v>140</v>
      </c>
      <c r="E1733" s="2">
        <v>44206.768437500003</v>
      </c>
      <c r="F1733" s="2">
        <v>44206.821122685185</v>
      </c>
      <c r="G1733" s="3">
        <v>5.2685185182781424E-2</v>
      </c>
      <c r="H1733" s="3">
        <v>4579.7275019803046</v>
      </c>
      <c r="I1733" s="3">
        <v>76.32879169967174</v>
      </c>
      <c r="J1733" s="3">
        <v>1.2721465283278623</v>
      </c>
    </row>
    <row r="1734" spans="1:11" x14ac:dyDescent="0.35">
      <c r="A1734">
        <v>1733</v>
      </c>
      <c r="B1734" t="s">
        <v>11</v>
      </c>
      <c r="C1734" t="s">
        <v>11</v>
      </c>
      <c r="D1734" t="s">
        <v>140</v>
      </c>
      <c r="E1734" s="2">
        <v>44207.319363425922</v>
      </c>
      <c r="F1734" s="2">
        <v>44207.333680555559</v>
      </c>
      <c r="G1734" s="3">
        <v>1.4317129636765458E-2</v>
      </c>
      <c r="H1734" s="3">
        <v>1244.5349127925467</v>
      </c>
      <c r="I1734" s="3">
        <v>20.742248546542445</v>
      </c>
      <c r="J1734" s="3">
        <v>0.34570414244237407</v>
      </c>
    </row>
    <row r="1735" spans="1:11" x14ac:dyDescent="0.35">
      <c r="A1735">
        <v>1734</v>
      </c>
      <c r="B1735" t="s">
        <v>2</v>
      </c>
      <c r="C1735" t="s">
        <v>72</v>
      </c>
      <c r="D1735" t="s">
        <v>140</v>
      </c>
      <c r="E1735" s="2">
        <v>44207.333819444444</v>
      </c>
      <c r="F1735" s="2">
        <v>44207.33556712963</v>
      </c>
      <c r="G1735" s="3">
        <v>1.747685186273884E-3</v>
      </c>
      <c r="H1735" s="3">
        <v>151.91978322964917</v>
      </c>
      <c r="I1735" s="3">
        <v>2.5319963871608193</v>
      </c>
      <c r="J1735" s="3">
        <v>4.2199939786013656E-2</v>
      </c>
      <c r="K1735" t="s">
        <v>73</v>
      </c>
    </row>
    <row r="1736" spans="1:11" x14ac:dyDescent="0.35">
      <c r="A1736">
        <v>1735</v>
      </c>
      <c r="B1736" t="s">
        <v>11</v>
      </c>
      <c r="C1736" t="s">
        <v>11</v>
      </c>
      <c r="D1736" t="s">
        <v>140</v>
      </c>
      <c r="E1736" s="2">
        <v>44207.335659722223</v>
      </c>
      <c r="F1736" s="2">
        <v>44207.335925925923</v>
      </c>
      <c r="G1736" s="3">
        <v>2.6620370044838637E-4</v>
      </c>
      <c r="H1736" s="3">
        <v>23.140099134943181</v>
      </c>
      <c r="I1736" s="3">
        <v>0.38566831891571968</v>
      </c>
      <c r="J1736" s="3">
        <v>6.4278053152619944E-3</v>
      </c>
    </row>
    <row r="1737" spans="1:11" x14ac:dyDescent="0.35">
      <c r="A1737">
        <v>1736</v>
      </c>
      <c r="B1737" t="s">
        <v>16</v>
      </c>
      <c r="C1737" t="s">
        <v>16</v>
      </c>
      <c r="D1737" t="s">
        <v>140</v>
      </c>
      <c r="E1737" s="2">
        <v>44207.336041666669</v>
      </c>
      <c r="F1737" s="2">
        <v>44207.337025462963</v>
      </c>
      <c r="G1737" s="3">
        <v>9.8379629343980923E-4</v>
      </c>
      <c r="H1737" s="3">
        <v>85.517758470080764</v>
      </c>
      <c r="I1737" s="3">
        <v>1.425295974501346</v>
      </c>
      <c r="J1737" s="3">
        <v>2.3754932908355769E-2</v>
      </c>
    </row>
    <row r="1738" spans="1:11" x14ac:dyDescent="0.35">
      <c r="A1738">
        <v>1737</v>
      </c>
      <c r="B1738" t="s">
        <v>11</v>
      </c>
      <c r="C1738" t="s">
        <v>11</v>
      </c>
      <c r="D1738" t="s">
        <v>140</v>
      </c>
      <c r="E1738" s="2">
        <v>44207.337094907409</v>
      </c>
      <c r="F1738" s="2">
        <v>44207.341157407405</v>
      </c>
      <c r="G1738" s="3">
        <v>4.0624999965075403E-3</v>
      </c>
      <c r="H1738" s="3">
        <v>353.13803863938978</v>
      </c>
      <c r="I1738" s="3">
        <v>5.8856339773231632</v>
      </c>
      <c r="J1738" s="3">
        <v>9.8093899622052713E-2</v>
      </c>
    </row>
    <row r="1739" spans="1:11" x14ac:dyDescent="0.35">
      <c r="A1739">
        <v>1738</v>
      </c>
      <c r="B1739" t="s">
        <v>11</v>
      </c>
      <c r="C1739" t="s">
        <v>11</v>
      </c>
      <c r="D1739" t="s">
        <v>140</v>
      </c>
      <c r="E1739" s="2">
        <v>44207.341238425928</v>
      </c>
      <c r="F1739" s="2">
        <v>44207.349351851852</v>
      </c>
      <c r="G1739" s="3">
        <v>8.1134259235113859E-3</v>
      </c>
      <c r="H1739" s="3">
        <v>705.26998639702583</v>
      </c>
      <c r="I1739" s="3">
        <v>11.754499773283763</v>
      </c>
      <c r="J1739" s="3">
        <v>0.19590832955472939</v>
      </c>
    </row>
    <row r="1740" spans="1:11" x14ac:dyDescent="0.35">
      <c r="A1740">
        <v>1739</v>
      </c>
      <c r="B1740" t="s">
        <v>2</v>
      </c>
      <c r="C1740" t="s">
        <v>96</v>
      </c>
      <c r="D1740" t="s">
        <v>140</v>
      </c>
      <c r="E1740" s="2">
        <v>44207.349490740744</v>
      </c>
      <c r="F1740" s="2">
        <v>44207.353842592594</v>
      </c>
      <c r="G1740" s="3">
        <v>4.3518518505152315E-3</v>
      </c>
      <c r="H1740" s="3">
        <v>378.29032080278438</v>
      </c>
      <c r="I1740" s="3">
        <v>6.304838680046406</v>
      </c>
      <c r="J1740" s="3">
        <v>0.1050806446674401</v>
      </c>
    </row>
    <row r="1741" spans="1:11" x14ac:dyDescent="0.35">
      <c r="A1741">
        <v>1740</v>
      </c>
      <c r="B1741" t="s">
        <v>2</v>
      </c>
      <c r="C1741" t="s">
        <v>136</v>
      </c>
      <c r="D1741" t="s">
        <v>140</v>
      </c>
      <c r="E1741" s="2">
        <v>44207.35396990741</v>
      </c>
      <c r="F1741" s="2">
        <v>44207.363125000003</v>
      </c>
      <c r="G1741" s="3">
        <v>9.1550925935734995E-3</v>
      </c>
      <c r="H1741" s="3">
        <v>795.81820180576312</v>
      </c>
      <c r="I1741" s="3">
        <v>13.263636696762719</v>
      </c>
      <c r="J1741" s="3">
        <v>0.22106061161271198</v>
      </c>
      <c r="K1741" t="s">
        <v>90</v>
      </c>
    </row>
    <row r="1742" spans="1:11" x14ac:dyDescent="0.35">
      <c r="A1742">
        <v>1741</v>
      </c>
      <c r="B1742" t="s">
        <v>11</v>
      </c>
      <c r="C1742" t="s">
        <v>11</v>
      </c>
      <c r="D1742" t="s">
        <v>140</v>
      </c>
      <c r="E1742" s="2">
        <v>44207.363275462965</v>
      </c>
      <c r="F1742" s="2">
        <v>44207.371458333335</v>
      </c>
      <c r="G1742" s="3">
        <v>8.182870369637385E-3</v>
      </c>
      <c r="H1742" s="3">
        <v>711.30653421743602</v>
      </c>
      <c r="I1742" s="3">
        <v>11.855108903623934</v>
      </c>
      <c r="J1742" s="3">
        <v>0.19758514839373223</v>
      </c>
    </row>
    <row r="1743" spans="1:11" x14ac:dyDescent="0.35">
      <c r="A1743">
        <v>1742</v>
      </c>
      <c r="B1743" t="s">
        <v>2</v>
      </c>
      <c r="C1743" t="s">
        <v>96</v>
      </c>
      <c r="D1743" t="s">
        <v>140</v>
      </c>
      <c r="E1743" s="2">
        <v>44207.371608796297</v>
      </c>
      <c r="F1743" s="2">
        <v>44207.385810185187</v>
      </c>
      <c r="G1743" s="3">
        <v>1.4201388890796807E-2</v>
      </c>
      <c r="H1743" s="3">
        <v>1234.4739995477057</v>
      </c>
      <c r="I1743" s="3">
        <v>20.574566659128429</v>
      </c>
      <c r="J1743" s="3">
        <v>0.34290944431880716</v>
      </c>
    </row>
    <row r="1744" spans="1:11" x14ac:dyDescent="0.35">
      <c r="A1744">
        <v>1743</v>
      </c>
      <c r="B1744" t="s">
        <v>2</v>
      </c>
      <c r="C1744" t="s">
        <v>96</v>
      </c>
      <c r="D1744" t="s">
        <v>140</v>
      </c>
      <c r="E1744" s="2">
        <v>44207.386087962965</v>
      </c>
      <c r="F1744" s="2">
        <v>44207.393043981479</v>
      </c>
      <c r="G1744" s="3">
        <v>6.956018514756579E-3</v>
      </c>
      <c r="H1744" s="3">
        <v>604.66085837591959</v>
      </c>
      <c r="I1744" s="3">
        <v>10.077680972931994</v>
      </c>
      <c r="J1744" s="3">
        <v>0.16796134954886657</v>
      </c>
    </row>
    <row r="1745" spans="1:11" x14ac:dyDescent="0.35">
      <c r="A1745">
        <v>1744</v>
      </c>
      <c r="B1745" t="s">
        <v>2</v>
      </c>
      <c r="C1745" t="s">
        <v>96</v>
      </c>
      <c r="D1745" t="s">
        <v>140</v>
      </c>
      <c r="E1745" s="2">
        <v>44207.39340277778</v>
      </c>
      <c r="F1745" s="2">
        <v>44207.421076388891</v>
      </c>
      <c r="G1745" s="3">
        <v>2.7673611111822538E-2</v>
      </c>
      <c r="H1745" s="3">
        <v>2405.564248246048</v>
      </c>
      <c r="I1745" s="3">
        <v>40.092737470767467</v>
      </c>
      <c r="J1745" s="3">
        <v>0.6682122911794578</v>
      </c>
    </row>
    <row r="1746" spans="1:11" x14ac:dyDescent="0.35">
      <c r="A1746">
        <v>1745</v>
      </c>
      <c r="B1746" t="s">
        <v>16</v>
      </c>
      <c r="C1746" t="s">
        <v>16</v>
      </c>
      <c r="D1746" t="s">
        <v>140</v>
      </c>
      <c r="E1746" s="2">
        <v>44207.421238425923</v>
      </c>
      <c r="F1746" s="2">
        <v>44207.42465277778</v>
      </c>
      <c r="G1746" s="3">
        <v>3.4143518569180742E-3</v>
      </c>
      <c r="H1746" s="3">
        <v>296.79692775713437</v>
      </c>
      <c r="I1746" s="3">
        <v>4.9466154626189063</v>
      </c>
      <c r="J1746" s="3">
        <v>8.2443591043648443E-2</v>
      </c>
    </row>
    <row r="1747" spans="1:11" x14ac:dyDescent="0.35">
      <c r="A1747">
        <v>1746</v>
      </c>
      <c r="B1747" t="s">
        <v>2</v>
      </c>
      <c r="C1747" t="s">
        <v>96</v>
      </c>
      <c r="D1747" t="s">
        <v>140</v>
      </c>
      <c r="E1747" s="2">
        <v>44207.425069444442</v>
      </c>
      <c r="F1747" s="2">
        <v>44207.42633101852</v>
      </c>
      <c r="G1747" s="3">
        <v>1.2615740779438056E-3</v>
      </c>
      <c r="H1747" s="3">
        <v>109.66394975172162</v>
      </c>
      <c r="I1747" s="3">
        <v>1.8277324958620269</v>
      </c>
      <c r="J1747" s="3">
        <v>3.0462208264367116E-2</v>
      </c>
    </row>
    <row r="1748" spans="1:11" x14ac:dyDescent="0.35">
      <c r="A1748">
        <v>1747</v>
      </c>
      <c r="B1748" t="s">
        <v>2</v>
      </c>
      <c r="C1748" t="s">
        <v>136</v>
      </c>
      <c r="D1748" t="s">
        <v>140</v>
      </c>
      <c r="E1748" s="2">
        <v>44207.426527777781</v>
      </c>
      <c r="F1748" s="2">
        <v>44207.429143518515</v>
      </c>
      <c r="G1748" s="3">
        <v>2.6157407337450422E-3</v>
      </c>
      <c r="H1748" s="3">
        <v>227.37662845488893</v>
      </c>
      <c r="I1748" s="3">
        <v>3.7896104742481489</v>
      </c>
      <c r="J1748" s="3">
        <v>6.3160174570802488E-2</v>
      </c>
      <c r="K1748" t="s">
        <v>90</v>
      </c>
    </row>
    <row r="1749" spans="1:11" x14ac:dyDescent="0.35">
      <c r="A1749">
        <v>1748</v>
      </c>
      <c r="B1749" t="s">
        <v>2</v>
      </c>
      <c r="C1749" t="s">
        <v>96</v>
      </c>
      <c r="D1749" t="s">
        <v>140</v>
      </c>
      <c r="E1749" s="2">
        <v>44207.429456018515</v>
      </c>
      <c r="F1749" s="2">
        <v>44207.456111111111</v>
      </c>
      <c r="G1749" s="3">
        <v>2.6655092595319729E-2</v>
      </c>
      <c r="H1749" s="3">
        <v>2317.0282158657624</v>
      </c>
      <c r="I1749" s="3">
        <v>38.617136931096042</v>
      </c>
      <c r="J1749" s="3">
        <v>0.64361894885160065</v>
      </c>
    </row>
    <row r="1750" spans="1:11" x14ac:dyDescent="0.35">
      <c r="A1750">
        <v>1749</v>
      </c>
      <c r="B1750" t="s">
        <v>2</v>
      </c>
      <c r="C1750" t="s">
        <v>96</v>
      </c>
      <c r="D1750" t="s">
        <v>140</v>
      </c>
      <c r="E1750" s="2">
        <v>44207.456307870372</v>
      </c>
      <c r="F1750" s="2">
        <v>44207.45988425926</v>
      </c>
      <c r="G1750" s="3">
        <v>3.5763888881774619E-3</v>
      </c>
      <c r="H1750" s="3">
        <v>310.88220516146225</v>
      </c>
      <c r="I1750" s="3">
        <v>5.181370086024371</v>
      </c>
      <c r="J1750" s="3">
        <v>8.635616810040618E-2</v>
      </c>
    </row>
    <row r="1751" spans="1:11" x14ac:dyDescent="0.35">
      <c r="A1751">
        <v>1750</v>
      </c>
      <c r="B1751" t="s">
        <v>2</v>
      </c>
      <c r="C1751" t="s">
        <v>96</v>
      </c>
      <c r="D1751" t="s">
        <v>140</v>
      </c>
      <c r="E1751" s="2">
        <v>44207.460092592592</v>
      </c>
      <c r="F1751" s="2">
        <v>44207.468553240738</v>
      </c>
      <c r="G1751" s="3">
        <v>8.4606481468654238E-3</v>
      </c>
      <c r="H1751" s="3">
        <v>735.45272486660497</v>
      </c>
      <c r="I1751" s="3">
        <v>12.257545414443417</v>
      </c>
      <c r="J1751" s="3">
        <v>0.20429242357405694</v>
      </c>
    </row>
    <row r="1752" spans="1:11" x14ac:dyDescent="0.35">
      <c r="A1752">
        <v>1751</v>
      </c>
      <c r="B1752" t="s">
        <v>2</v>
      </c>
      <c r="C1752" t="s">
        <v>96</v>
      </c>
      <c r="D1752" t="s">
        <v>140</v>
      </c>
      <c r="E1752" s="2">
        <v>44207.469178240739</v>
      </c>
      <c r="F1752" s="2">
        <v>44207.477129629631</v>
      </c>
      <c r="G1752" s="3">
        <v>7.9513888922519982E-3</v>
      </c>
      <c r="H1752" s="3">
        <v>691.18470899269801</v>
      </c>
      <c r="I1752" s="3">
        <v>11.5197451498783</v>
      </c>
      <c r="J1752" s="3">
        <v>0.19199575249797168</v>
      </c>
    </row>
    <row r="1753" spans="1:11" x14ac:dyDescent="0.35">
      <c r="A1753">
        <v>1752</v>
      </c>
      <c r="B1753" t="s">
        <v>16</v>
      </c>
      <c r="C1753" t="s">
        <v>16</v>
      </c>
      <c r="D1753" t="s">
        <v>140</v>
      </c>
      <c r="E1753" s="2">
        <v>44207.477349537039</v>
      </c>
      <c r="F1753" s="2">
        <v>44207.504166666666</v>
      </c>
      <c r="G1753" s="3">
        <v>2.6817129626579117E-2</v>
      </c>
      <c r="H1753" s="3">
        <v>2331.1134932700902</v>
      </c>
      <c r="I1753" s="3">
        <v>38.851891554501506</v>
      </c>
      <c r="J1753" s="3">
        <v>0.64753152590835839</v>
      </c>
    </row>
    <row r="1754" spans="1:11" x14ac:dyDescent="0.35">
      <c r="A1754">
        <v>1753</v>
      </c>
      <c r="B1754" t="s">
        <v>2</v>
      </c>
      <c r="C1754" t="s">
        <v>96</v>
      </c>
      <c r="D1754" t="s">
        <v>140</v>
      </c>
      <c r="E1754" s="2">
        <v>44207.504479166666</v>
      </c>
      <c r="F1754" s="2">
        <v>44207.508460648147</v>
      </c>
      <c r="G1754" s="3">
        <v>3.9814814808778465E-3</v>
      </c>
      <c r="H1754" s="3">
        <v>346.09539993722586</v>
      </c>
      <c r="I1754" s="3">
        <v>5.7682566656204308</v>
      </c>
      <c r="J1754" s="3">
        <v>9.6137611093673844E-2</v>
      </c>
    </row>
    <row r="1755" spans="1:11" x14ac:dyDescent="0.35">
      <c r="A1755">
        <v>1754</v>
      </c>
      <c r="B1755" t="s">
        <v>2</v>
      </c>
      <c r="C1755" t="s">
        <v>96</v>
      </c>
      <c r="D1755" t="s">
        <v>140</v>
      </c>
      <c r="E1755" s="2">
        <v>44207.508622685185</v>
      </c>
      <c r="F1755" s="2">
        <v>44207.520995370367</v>
      </c>
      <c r="G1755" s="3">
        <v>1.2372685181617271E-2</v>
      </c>
      <c r="H1755" s="3">
        <v>1075.5115769834206</v>
      </c>
      <c r="I1755" s="3">
        <v>17.925192949723677</v>
      </c>
      <c r="J1755" s="3">
        <v>0.29875321582872794</v>
      </c>
    </row>
    <row r="1756" spans="1:11" x14ac:dyDescent="0.35">
      <c r="A1756">
        <v>1755</v>
      </c>
      <c r="B1756" t="s">
        <v>2</v>
      </c>
      <c r="C1756" t="s">
        <v>96</v>
      </c>
      <c r="D1756" t="s">
        <v>140</v>
      </c>
      <c r="E1756" s="2">
        <v>44207.521145833336</v>
      </c>
      <c r="F1756" s="2">
        <v>44207.564826388887</v>
      </c>
      <c r="G1756" s="3">
        <v>4.3680555550963618E-2</v>
      </c>
      <c r="H1756" s="3">
        <v>3796.9884866971156</v>
      </c>
      <c r="I1756" s="3">
        <v>63.28314144495193</v>
      </c>
      <c r="J1756" s="3">
        <v>1.0547190240825322</v>
      </c>
    </row>
    <row r="1757" spans="1:11" x14ac:dyDescent="0.35">
      <c r="A1757">
        <v>1756</v>
      </c>
      <c r="B1757" t="s">
        <v>2</v>
      </c>
      <c r="C1757" t="s">
        <v>96</v>
      </c>
      <c r="D1757" t="s">
        <v>140</v>
      </c>
      <c r="E1757" s="2">
        <v>44207.564965277779</v>
      </c>
      <c r="F1757" s="2">
        <v>44207.565682870372</v>
      </c>
      <c r="G1757" s="3">
        <v>7.1759259299142286E-4</v>
      </c>
      <c r="H1757" s="3">
        <v>62.377659335137587</v>
      </c>
      <c r="I1757" s="3">
        <v>1.0396276555856265</v>
      </c>
      <c r="J1757" s="3">
        <v>1.7327127593093777E-2</v>
      </c>
    </row>
    <row r="1758" spans="1:11" x14ac:dyDescent="0.35">
      <c r="A1758">
        <v>1757</v>
      </c>
      <c r="B1758" t="s">
        <v>2</v>
      </c>
      <c r="C1758" t="s">
        <v>136</v>
      </c>
      <c r="D1758" t="s">
        <v>140</v>
      </c>
      <c r="E1758" s="2">
        <v>44207.56585648148</v>
      </c>
      <c r="F1758" s="2">
        <v>44207.58153935185</v>
      </c>
      <c r="G1758" s="3">
        <v>1.5682870369346347E-2</v>
      </c>
      <c r="H1758" s="3">
        <v>1363.2536830099396</v>
      </c>
      <c r="I1758" s="3">
        <v>22.720894716832326</v>
      </c>
      <c r="J1758" s="3">
        <v>0.37868157861387208</v>
      </c>
      <c r="K1758" t="s">
        <v>90</v>
      </c>
    </row>
    <row r="1759" spans="1:11" x14ac:dyDescent="0.35">
      <c r="A1759">
        <v>1758</v>
      </c>
      <c r="B1759" t="s">
        <v>2</v>
      </c>
      <c r="C1759" t="s">
        <v>96</v>
      </c>
      <c r="D1759" t="s">
        <v>140</v>
      </c>
      <c r="E1759" s="2">
        <v>44207.581678240742</v>
      </c>
      <c r="F1759" s="2">
        <v>44207.590046296296</v>
      </c>
      <c r="G1759" s="3">
        <v>8.3680555544560775E-3</v>
      </c>
      <c r="H1759" s="3">
        <v>727.40399465021528</v>
      </c>
      <c r="I1759" s="3">
        <v>12.123399910836921</v>
      </c>
      <c r="J1759" s="3">
        <v>0.20205666518061535</v>
      </c>
    </row>
    <row r="1760" spans="1:11" x14ac:dyDescent="0.35">
      <c r="A1760">
        <v>1759</v>
      </c>
      <c r="B1760" t="s">
        <v>2</v>
      </c>
      <c r="C1760" t="s">
        <v>96</v>
      </c>
      <c r="D1760" t="s">
        <v>140</v>
      </c>
      <c r="E1760" s="2">
        <v>44207.590173611112</v>
      </c>
      <c r="F1760" s="2">
        <v>44207.603842592594</v>
      </c>
      <c r="G1760" s="3">
        <v>1.3668981482624076E-2</v>
      </c>
      <c r="H1760" s="3">
        <v>1188.1938006453472</v>
      </c>
      <c r="I1760" s="3">
        <v>19.803230010755787</v>
      </c>
      <c r="J1760" s="3">
        <v>0.33005383351259643</v>
      </c>
    </row>
    <row r="1761" spans="1:11" x14ac:dyDescent="0.35">
      <c r="A1761">
        <v>1760</v>
      </c>
      <c r="B1761" t="s">
        <v>2</v>
      </c>
      <c r="C1761" t="s">
        <v>96</v>
      </c>
      <c r="D1761" t="s">
        <v>140</v>
      </c>
      <c r="E1761" s="2">
        <v>44207.603935185187</v>
      </c>
      <c r="F1761" s="2">
        <v>44207.60664351852</v>
      </c>
      <c r="G1761" s="3">
        <v>2.7083333334303461E-3</v>
      </c>
      <c r="H1761" s="3">
        <v>235.42535930375053</v>
      </c>
      <c r="I1761" s="3">
        <v>3.9237559883958419</v>
      </c>
      <c r="J1761" s="3">
        <v>6.5395933139930695E-2</v>
      </c>
    </row>
    <row r="1762" spans="1:11" x14ac:dyDescent="0.35">
      <c r="A1762">
        <v>1761</v>
      </c>
      <c r="B1762" t="s">
        <v>2</v>
      </c>
      <c r="C1762" t="s">
        <v>96</v>
      </c>
      <c r="D1762" t="s">
        <v>140</v>
      </c>
      <c r="E1762" s="2">
        <v>44207.606874999998</v>
      </c>
      <c r="F1762" s="2">
        <v>44207.610520833332</v>
      </c>
      <c r="G1762" s="3">
        <v>3.645833334303461E-3</v>
      </c>
      <c r="H1762" s="3">
        <v>316.91875298187244</v>
      </c>
      <c r="I1762" s="3">
        <v>5.2819792163645412</v>
      </c>
      <c r="J1762" s="3">
        <v>8.8032986939409016E-2</v>
      </c>
    </row>
    <row r="1763" spans="1:11" x14ac:dyDescent="0.35">
      <c r="A1763">
        <v>1762</v>
      </c>
      <c r="B1763" t="s">
        <v>16</v>
      </c>
      <c r="C1763" t="s">
        <v>16</v>
      </c>
      <c r="D1763" t="s">
        <v>140</v>
      </c>
      <c r="E1763" s="2">
        <v>44207.610625000001</v>
      </c>
      <c r="F1763" s="2">
        <v>44207.621064814812</v>
      </c>
      <c r="G1763" s="3">
        <v>1.0439814810524695E-2</v>
      </c>
      <c r="H1763" s="3">
        <v>907.49433332099215</v>
      </c>
      <c r="I1763" s="3">
        <v>15.124905555349869</v>
      </c>
      <c r="J1763" s="3">
        <v>0.25208175925583115</v>
      </c>
    </row>
    <row r="1764" spans="1:11" x14ac:dyDescent="0.35">
      <c r="A1764">
        <v>1763</v>
      </c>
      <c r="B1764" t="s">
        <v>2</v>
      </c>
      <c r="C1764" t="s">
        <v>96</v>
      </c>
      <c r="D1764" t="s">
        <v>140</v>
      </c>
      <c r="E1764" s="2">
        <v>44207.621249999997</v>
      </c>
      <c r="F1764" s="2">
        <v>44207.628958333335</v>
      </c>
      <c r="G1764" s="3">
        <v>7.708333338086959E-3</v>
      </c>
      <c r="H1764" s="3">
        <v>670.05679225373422</v>
      </c>
      <c r="I1764" s="3">
        <v>11.167613204228903</v>
      </c>
      <c r="J1764" s="3">
        <v>0.18612688673714839</v>
      </c>
    </row>
    <row r="1765" spans="1:11" x14ac:dyDescent="0.35">
      <c r="A1765">
        <v>1764</v>
      </c>
      <c r="B1765" t="s">
        <v>11</v>
      </c>
      <c r="C1765" t="s">
        <v>11</v>
      </c>
      <c r="D1765" t="s">
        <v>140</v>
      </c>
      <c r="E1765" s="2">
        <v>44207.62908564815</v>
      </c>
      <c r="F1765" s="2">
        <v>44207.631053240744</v>
      </c>
      <c r="G1765" s="3">
        <v>1.9675925941555761E-3</v>
      </c>
      <c r="H1765" s="3">
        <v>171.03551757263352</v>
      </c>
      <c r="I1765" s="3">
        <v>2.850591959543892</v>
      </c>
      <c r="J1765" s="3">
        <v>4.7509865992398197E-2</v>
      </c>
    </row>
    <row r="1766" spans="1:11" x14ac:dyDescent="0.35">
      <c r="A1766">
        <v>1765</v>
      </c>
      <c r="B1766" t="s">
        <v>2</v>
      </c>
      <c r="C1766" t="s">
        <v>136</v>
      </c>
      <c r="D1766" t="s">
        <v>140</v>
      </c>
      <c r="E1766" s="2">
        <v>44207.631296296298</v>
      </c>
      <c r="F1766" s="2">
        <v>44207.634872685187</v>
      </c>
      <c r="G1766" s="3">
        <v>3.5763888881774619E-3</v>
      </c>
      <c r="H1766" s="3">
        <v>310.88220516146225</v>
      </c>
      <c r="I1766" s="3">
        <v>5.181370086024371</v>
      </c>
      <c r="J1766" s="3">
        <v>8.635616810040618E-2</v>
      </c>
      <c r="K1766" t="s">
        <v>90</v>
      </c>
    </row>
    <row r="1767" spans="1:11" x14ac:dyDescent="0.35">
      <c r="A1767">
        <v>1766</v>
      </c>
      <c r="B1767" t="s">
        <v>2</v>
      </c>
      <c r="C1767" t="s">
        <v>96</v>
      </c>
      <c r="D1767" t="s">
        <v>140</v>
      </c>
      <c r="E1767" s="2">
        <v>44207.635150462964</v>
      </c>
      <c r="F1767" s="2">
        <v>44207.63925925926</v>
      </c>
      <c r="G1767" s="3">
        <v>4.1087962963501923E-3</v>
      </c>
      <c r="H1767" s="3">
        <v>357.16240406382059</v>
      </c>
      <c r="I1767" s="3">
        <v>5.9527067343970099</v>
      </c>
      <c r="J1767" s="3">
        <v>9.9211778906616838E-2</v>
      </c>
    </row>
    <row r="1768" spans="1:11" x14ac:dyDescent="0.35">
      <c r="A1768">
        <v>1767</v>
      </c>
      <c r="B1768" t="s">
        <v>2</v>
      </c>
      <c r="C1768" t="s">
        <v>96</v>
      </c>
      <c r="D1768" t="s">
        <v>140</v>
      </c>
      <c r="E1768" s="2">
        <v>44207.639363425929</v>
      </c>
      <c r="F1768" s="2">
        <v>44207.651655092595</v>
      </c>
      <c r="G1768" s="3">
        <v>1.2291666665987577E-2</v>
      </c>
      <c r="H1768" s="3">
        <v>1068.4689382812567</v>
      </c>
      <c r="I1768" s="3">
        <v>17.807815638020944</v>
      </c>
      <c r="J1768" s="3">
        <v>0.29679692730034907</v>
      </c>
    </row>
    <row r="1769" spans="1:11" x14ac:dyDescent="0.35">
      <c r="A1769">
        <v>1768</v>
      </c>
      <c r="B1769" t="s">
        <v>2</v>
      </c>
      <c r="C1769" t="s">
        <v>96</v>
      </c>
      <c r="D1769" t="s">
        <v>140</v>
      </c>
      <c r="E1769" s="2">
        <v>44207.651863425926</v>
      </c>
      <c r="F1769" s="2">
        <v>44207.663854166669</v>
      </c>
      <c r="G1769" s="3">
        <v>1.1990740742476191E-2</v>
      </c>
      <c r="H1769" s="3">
        <v>1042.3105652361085</v>
      </c>
      <c r="I1769" s="3">
        <v>17.371842753935141</v>
      </c>
      <c r="J1769" s="3">
        <v>0.28953071256558566</v>
      </c>
    </row>
    <row r="1770" spans="1:11" x14ac:dyDescent="0.35">
      <c r="A1770">
        <v>1769</v>
      </c>
      <c r="B1770" t="s">
        <v>2</v>
      </c>
      <c r="C1770" t="s">
        <v>136</v>
      </c>
      <c r="D1770" t="s">
        <v>140</v>
      </c>
      <c r="E1770" s="2">
        <v>44207.664143518516</v>
      </c>
      <c r="F1770" s="2">
        <v>44207.700682870367</v>
      </c>
      <c r="G1770" s="3">
        <v>3.6539351851388346E-2</v>
      </c>
      <c r="H1770" s="3">
        <v>3176.2301678884164</v>
      </c>
      <c r="I1770" s="3">
        <v>52.937169464806942</v>
      </c>
      <c r="J1770" s="3">
        <v>0.88228615774678232</v>
      </c>
      <c r="K1770" t="s">
        <v>90</v>
      </c>
    </row>
    <row r="1771" spans="1:11" x14ac:dyDescent="0.35">
      <c r="A1771">
        <v>1770</v>
      </c>
      <c r="B1771" t="s">
        <v>2</v>
      </c>
      <c r="C1771" t="s">
        <v>96</v>
      </c>
      <c r="D1771" t="s">
        <v>140</v>
      </c>
      <c r="E1771" s="2">
        <v>44207.70108796296</v>
      </c>
      <c r="F1771" s="2">
        <v>44207.713182870371</v>
      </c>
      <c r="G1771" s="3">
        <v>1.209490741166519E-2</v>
      </c>
      <c r="H1771" s="3">
        <v>1051.3653869667237</v>
      </c>
      <c r="I1771" s="3">
        <v>17.522756449445396</v>
      </c>
      <c r="J1771" s="3">
        <v>0.29204594082408991</v>
      </c>
    </row>
    <row r="1772" spans="1:11" x14ac:dyDescent="0.35">
      <c r="A1772">
        <v>1771</v>
      </c>
      <c r="B1772" t="s">
        <v>2</v>
      </c>
      <c r="C1772" t="s">
        <v>96</v>
      </c>
      <c r="D1772" t="s">
        <v>140</v>
      </c>
      <c r="E1772" s="2">
        <v>44207.765138888892</v>
      </c>
      <c r="F1772" s="2">
        <v>44207.77579861111</v>
      </c>
      <c r="G1772" s="3">
        <v>1.0659722218406387E-2</v>
      </c>
      <c r="H1772" s="3">
        <v>926.61006766397657</v>
      </c>
      <c r="I1772" s="3">
        <v>15.443501127732942</v>
      </c>
      <c r="J1772" s="3">
        <v>0.25739168546221569</v>
      </c>
    </row>
    <row r="1773" spans="1:11" x14ac:dyDescent="0.35">
      <c r="A1773">
        <v>1772</v>
      </c>
      <c r="B1773" t="s">
        <v>11</v>
      </c>
      <c r="C1773" t="s">
        <v>11</v>
      </c>
      <c r="D1773" t="s">
        <v>140</v>
      </c>
      <c r="E1773" s="2">
        <v>44207.833854166667</v>
      </c>
      <c r="F1773" s="2">
        <v>44207.875023148146</v>
      </c>
      <c r="G1773" s="3">
        <v>4.1168981479131617E-2</v>
      </c>
      <c r="H1773" s="3">
        <v>3578.6666793403697</v>
      </c>
      <c r="I1773" s="3">
        <v>59.644444655672828</v>
      </c>
      <c r="J1773" s="3">
        <v>0.99407407759454713</v>
      </c>
    </row>
    <row r="1774" spans="1:11" x14ac:dyDescent="0.35">
      <c r="A1774">
        <v>1773</v>
      </c>
      <c r="B1774" t="s">
        <v>11</v>
      </c>
      <c r="C1774" t="s">
        <v>11</v>
      </c>
      <c r="D1774" t="s">
        <v>140</v>
      </c>
      <c r="E1774" s="2">
        <v>44208.28670138889</v>
      </c>
      <c r="F1774" s="2">
        <v>44208.307719907411</v>
      </c>
      <c r="G1774" s="3">
        <v>2.1018518520577345E-2</v>
      </c>
      <c r="H1774" s="3">
        <v>1827.0617629152769</v>
      </c>
      <c r="I1774" s="3">
        <v>30.451029381921281</v>
      </c>
      <c r="J1774" s="3">
        <v>0.50751715636535466</v>
      </c>
    </row>
    <row r="1775" spans="1:11" x14ac:dyDescent="0.35">
      <c r="A1775">
        <v>1774</v>
      </c>
      <c r="B1775" t="s">
        <v>11</v>
      </c>
      <c r="C1775" t="s">
        <v>11</v>
      </c>
      <c r="D1775" t="s">
        <v>140</v>
      </c>
      <c r="E1775" s="2">
        <v>44208.32267361111</v>
      </c>
      <c r="F1775" s="2">
        <v>44208.325300925928</v>
      </c>
      <c r="G1775" s="3">
        <v>2.6273148178006522E-3</v>
      </c>
      <c r="H1775" s="3">
        <v>228.38272060158658</v>
      </c>
      <c r="I1775" s="3">
        <v>3.8063786766931096</v>
      </c>
      <c r="J1775" s="3">
        <v>6.3439644611551826E-2</v>
      </c>
    </row>
    <row r="1776" spans="1:11" x14ac:dyDescent="0.35">
      <c r="A1776">
        <v>1775</v>
      </c>
      <c r="B1776" t="s">
        <v>2</v>
      </c>
      <c r="C1776" t="s">
        <v>96</v>
      </c>
      <c r="D1776" t="s">
        <v>140</v>
      </c>
      <c r="E1776" s="2">
        <v>44208.325555555559</v>
      </c>
      <c r="F1776" s="2">
        <v>44208.330104166664</v>
      </c>
      <c r="G1776" s="3">
        <v>4.5486111048376188E-3</v>
      </c>
      <c r="H1776" s="3">
        <v>395.3938721173173</v>
      </c>
      <c r="I1776" s="3">
        <v>6.5898978686219554</v>
      </c>
      <c r="J1776" s="3">
        <v>0.10983163114369926</v>
      </c>
    </row>
    <row r="1777" spans="1:11" x14ac:dyDescent="0.35">
      <c r="A1777">
        <v>1776</v>
      </c>
      <c r="B1777" t="s">
        <v>11</v>
      </c>
      <c r="C1777" t="s">
        <v>11</v>
      </c>
      <c r="D1777" t="s">
        <v>140</v>
      </c>
      <c r="E1777" s="2">
        <v>44208.33021990741</v>
      </c>
      <c r="F1777" s="2">
        <v>44208.333229166667</v>
      </c>
      <c r="G1777" s="3">
        <v>3.009259256941732E-3</v>
      </c>
      <c r="H1777" s="3">
        <v>261.58373234889882</v>
      </c>
      <c r="I1777" s="3">
        <v>4.3597288724816474</v>
      </c>
      <c r="J1777" s="3">
        <v>7.2662147874694119E-2</v>
      </c>
    </row>
    <row r="1778" spans="1:11" x14ac:dyDescent="0.35">
      <c r="A1778">
        <v>1777</v>
      </c>
      <c r="B1778" t="s">
        <v>11</v>
      </c>
      <c r="C1778" t="s">
        <v>11</v>
      </c>
      <c r="D1778" t="s">
        <v>140</v>
      </c>
      <c r="E1778" s="2">
        <v>44208.333356481482</v>
      </c>
      <c r="F1778" s="2">
        <v>44208.334351851852</v>
      </c>
      <c r="G1778" s="3">
        <v>9.9537037021946162E-4</v>
      </c>
      <c r="H1778" s="3">
        <v>86.523849984306466</v>
      </c>
      <c r="I1778" s="3">
        <v>1.4420641664051077</v>
      </c>
      <c r="J1778" s="3">
        <v>2.4034402773418461E-2</v>
      </c>
    </row>
    <row r="1779" spans="1:11" x14ac:dyDescent="0.35">
      <c r="A1779">
        <v>1778</v>
      </c>
      <c r="B1779" t="s">
        <v>2</v>
      </c>
      <c r="C1779" t="s">
        <v>72</v>
      </c>
      <c r="D1779" t="s">
        <v>140</v>
      </c>
      <c r="E1779" s="2">
        <v>44208.334444444445</v>
      </c>
      <c r="F1779" s="2">
        <v>44208.371805555558</v>
      </c>
      <c r="G1779" s="3">
        <v>3.7361111113568768E-2</v>
      </c>
      <c r="H1779" s="3">
        <v>3247.6626489541695</v>
      </c>
      <c r="I1779" s="3">
        <v>54.127710815902823</v>
      </c>
      <c r="J1779" s="3">
        <v>0.90212851359838042</v>
      </c>
      <c r="K1779" t="s">
        <v>73</v>
      </c>
    </row>
    <row r="1780" spans="1:11" x14ac:dyDescent="0.35">
      <c r="A1780">
        <v>1779</v>
      </c>
      <c r="B1780" t="s">
        <v>2</v>
      </c>
      <c r="C1780" t="s">
        <v>96</v>
      </c>
      <c r="D1780" t="s">
        <v>140</v>
      </c>
      <c r="E1780" s="2">
        <v>44208.371932870374</v>
      </c>
      <c r="F1780" s="2">
        <v>44208.376504629632</v>
      </c>
      <c r="G1780" s="3">
        <v>4.5717592583969235E-3</v>
      </c>
      <c r="H1780" s="3">
        <v>397.40605514576873</v>
      </c>
      <c r="I1780" s="3">
        <v>6.6234342524294787</v>
      </c>
      <c r="J1780" s="3">
        <v>0.11039057087382464</v>
      </c>
    </row>
    <row r="1781" spans="1:11" x14ac:dyDescent="0.35">
      <c r="A1781">
        <v>1780</v>
      </c>
      <c r="B1781" t="s">
        <v>2</v>
      </c>
      <c r="C1781" t="s">
        <v>132</v>
      </c>
      <c r="D1781" t="s">
        <v>140</v>
      </c>
      <c r="E1781" s="2">
        <v>44208.376805555556</v>
      </c>
      <c r="F1781" s="2">
        <v>44208.378263888888</v>
      </c>
      <c r="G1781" s="3">
        <v>1.4583333322661929E-3</v>
      </c>
      <c r="H1781" s="3">
        <v>126.7675010662546</v>
      </c>
      <c r="I1781" s="3">
        <v>2.1127916844375765</v>
      </c>
      <c r="J1781" s="3">
        <v>3.5213194740626272E-2</v>
      </c>
      <c r="K1781" t="s">
        <v>86</v>
      </c>
    </row>
    <row r="1782" spans="1:11" x14ac:dyDescent="0.35">
      <c r="A1782">
        <v>1781</v>
      </c>
      <c r="B1782" t="s">
        <v>2</v>
      </c>
      <c r="C1782" t="s">
        <v>132</v>
      </c>
      <c r="D1782" t="s">
        <v>140</v>
      </c>
      <c r="E1782" s="2">
        <v>44208.378541666665</v>
      </c>
      <c r="F1782" s="2">
        <v>44208.379108796296</v>
      </c>
      <c r="G1782" s="3">
        <v>5.671296312357299E-4</v>
      </c>
      <c r="H1782" s="3">
        <v>49.298472812563446</v>
      </c>
      <c r="I1782" s="3">
        <v>0.82164121354272412</v>
      </c>
      <c r="J1782" s="3">
        <v>1.3694020225712068E-2</v>
      </c>
      <c r="K1782" t="s">
        <v>86</v>
      </c>
    </row>
    <row r="1783" spans="1:11" x14ac:dyDescent="0.35">
      <c r="A1783">
        <v>1782</v>
      </c>
      <c r="B1783" t="s">
        <v>2</v>
      </c>
      <c r="C1783" t="s">
        <v>132</v>
      </c>
      <c r="D1783" t="s">
        <v>140</v>
      </c>
      <c r="E1783" s="2">
        <v>44208.379363425927</v>
      </c>
      <c r="F1783" s="2">
        <v>44208.382708333331</v>
      </c>
      <c r="G1783" s="3">
        <v>3.3449074035161175E-3</v>
      </c>
      <c r="H1783" s="3">
        <v>290.76037930425218</v>
      </c>
      <c r="I1783" s="3">
        <v>4.8460063217375362</v>
      </c>
      <c r="J1783" s="3">
        <v>8.0766772028958933E-2</v>
      </c>
      <c r="K1783" t="s">
        <v>86</v>
      </c>
    </row>
    <row r="1784" spans="1:11" x14ac:dyDescent="0.35">
      <c r="A1784">
        <v>1783</v>
      </c>
      <c r="B1784" t="s">
        <v>2</v>
      </c>
      <c r="C1784" t="s">
        <v>96</v>
      </c>
      <c r="D1784" t="s">
        <v>140</v>
      </c>
      <c r="E1784" s="2">
        <v>44208.382835648146</v>
      </c>
      <c r="F1784" s="2">
        <v>44208.384351851855</v>
      </c>
      <c r="G1784" s="3">
        <v>1.5162037088884972E-3</v>
      </c>
      <c r="H1784" s="3">
        <v>131.7979580049111</v>
      </c>
      <c r="I1784" s="3">
        <v>2.1966326334151849</v>
      </c>
      <c r="J1784" s="3">
        <v>3.6610543890253082E-2</v>
      </c>
    </row>
    <row r="1785" spans="1:11" x14ac:dyDescent="0.35">
      <c r="A1785">
        <v>1784</v>
      </c>
      <c r="B1785" t="s">
        <v>16</v>
      </c>
      <c r="C1785" t="s">
        <v>16</v>
      </c>
      <c r="D1785" t="s">
        <v>140</v>
      </c>
      <c r="E1785" s="2">
        <v>44208.384444444448</v>
      </c>
      <c r="F1785" s="2">
        <v>44208.395451388889</v>
      </c>
      <c r="G1785" s="3">
        <v>1.1006944441760425E-2</v>
      </c>
      <c r="H1785" s="3">
        <v>956.79280613355559</v>
      </c>
      <c r="I1785" s="3">
        <v>15.946546768892594</v>
      </c>
      <c r="J1785" s="3">
        <v>0.26577577948154324</v>
      </c>
    </row>
    <row r="1786" spans="1:11" x14ac:dyDescent="0.35">
      <c r="A1786">
        <v>1785</v>
      </c>
      <c r="B1786" t="s">
        <v>2</v>
      </c>
      <c r="C1786" t="s">
        <v>132</v>
      </c>
      <c r="D1786" t="s">
        <v>140</v>
      </c>
      <c r="E1786" s="2">
        <v>44208.395775462966</v>
      </c>
      <c r="F1786" s="2">
        <v>44208.40457175926</v>
      </c>
      <c r="G1786" s="3">
        <v>8.7962962934398092E-3</v>
      </c>
      <c r="H1786" s="3">
        <v>764.62937182195833</v>
      </c>
      <c r="I1786" s="3">
        <v>12.743822863699306</v>
      </c>
      <c r="J1786" s="3">
        <v>0.21239704772832177</v>
      </c>
      <c r="K1786" t="s">
        <v>86</v>
      </c>
    </row>
    <row r="1787" spans="1:11" x14ac:dyDescent="0.35">
      <c r="A1787">
        <v>1786</v>
      </c>
      <c r="B1787" t="s">
        <v>2</v>
      </c>
      <c r="C1787" t="s">
        <v>96</v>
      </c>
      <c r="D1787" t="s">
        <v>140</v>
      </c>
      <c r="E1787" s="2">
        <v>44208.404745370368</v>
      </c>
      <c r="F1787" s="2">
        <v>44208.4216087963</v>
      </c>
      <c r="G1787" s="3">
        <v>1.6863425931660458E-2</v>
      </c>
      <c r="H1787" s="3">
        <v>1465.8749940594973</v>
      </c>
      <c r="I1787" s="3">
        <v>24.431249900991624</v>
      </c>
      <c r="J1787" s="3">
        <v>0.4071874983498604</v>
      </c>
    </row>
    <row r="1788" spans="1:11" x14ac:dyDescent="0.35">
      <c r="A1788">
        <v>1787</v>
      </c>
      <c r="B1788" t="s">
        <v>16</v>
      </c>
      <c r="C1788" t="s">
        <v>16</v>
      </c>
      <c r="D1788" t="s">
        <v>140</v>
      </c>
      <c r="E1788" s="2">
        <v>44208.421736111108</v>
      </c>
      <c r="F1788" s="2">
        <v>44208.424375000002</v>
      </c>
      <c r="G1788" s="3">
        <v>2.6388888945803046E-3</v>
      </c>
      <c r="H1788" s="3">
        <v>229.38881211581227</v>
      </c>
      <c r="I1788" s="3">
        <v>3.8231468685968713</v>
      </c>
      <c r="J1788" s="3">
        <v>6.3719114476614519E-2</v>
      </c>
    </row>
    <row r="1789" spans="1:11" x14ac:dyDescent="0.35">
      <c r="A1789">
        <v>1788</v>
      </c>
      <c r="B1789" t="s">
        <v>2</v>
      </c>
      <c r="C1789" t="s">
        <v>72</v>
      </c>
      <c r="D1789" t="s">
        <v>140</v>
      </c>
      <c r="E1789" s="2">
        <v>44208.424618055556</v>
      </c>
      <c r="F1789" s="2">
        <v>44208.427256944444</v>
      </c>
      <c r="G1789" s="3">
        <v>2.638888887304347E-3</v>
      </c>
      <c r="H1789" s="3">
        <v>229.38881148334031</v>
      </c>
      <c r="I1789" s="3">
        <v>3.8231468580556718</v>
      </c>
      <c r="J1789" s="3">
        <v>6.3719114300927859E-2</v>
      </c>
      <c r="K1789" t="s">
        <v>73</v>
      </c>
    </row>
    <row r="1790" spans="1:11" x14ac:dyDescent="0.35">
      <c r="A1790">
        <v>1789</v>
      </c>
      <c r="B1790" t="s">
        <v>2</v>
      </c>
      <c r="C1790" t="s">
        <v>72</v>
      </c>
      <c r="D1790" t="s">
        <v>140</v>
      </c>
      <c r="E1790" s="2">
        <v>44208.427430555559</v>
      </c>
      <c r="F1790" s="2">
        <v>44208.444155092591</v>
      </c>
      <c r="G1790" s="3">
        <v>1.6724537032132503E-2</v>
      </c>
      <c r="H1790" s="3">
        <v>1453.801897786205</v>
      </c>
      <c r="I1790" s="3">
        <v>24.230031629770085</v>
      </c>
      <c r="J1790" s="3">
        <v>0.4038338604961681</v>
      </c>
      <c r="K1790" t="s">
        <v>73</v>
      </c>
    </row>
    <row r="1791" spans="1:11" x14ac:dyDescent="0.35">
      <c r="A1791">
        <v>1790</v>
      </c>
      <c r="B1791" t="s">
        <v>11</v>
      </c>
      <c r="C1791" t="s">
        <v>11</v>
      </c>
      <c r="D1791" t="s">
        <v>140</v>
      </c>
      <c r="E1791" s="2">
        <v>44208.444282407407</v>
      </c>
      <c r="F1791" s="2">
        <v>44208.478877314818</v>
      </c>
      <c r="G1791" s="3">
        <v>3.4594907410792075E-2</v>
      </c>
      <c r="H1791" s="3">
        <v>3007.2068333442344</v>
      </c>
      <c r="I1791" s="3">
        <v>50.120113889070574</v>
      </c>
      <c r="J1791" s="3">
        <v>0.83533523148450961</v>
      </c>
    </row>
    <row r="1792" spans="1:11" x14ac:dyDescent="0.35">
      <c r="A1792">
        <v>1791</v>
      </c>
      <c r="B1792" t="s">
        <v>16</v>
      </c>
      <c r="C1792" t="s">
        <v>16</v>
      </c>
      <c r="D1792" t="s">
        <v>140</v>
      </c>
      <c r="E1792" s="2">
        <v>44208.479004629633</v>
      </c>
      <c r="F1792" s="2">
        <v>44208.496967592589</v>
      </c>
      <c r="G1792" s="3">
        <v>1.7962962956517003E-2</v>
      </c>
      <c r="H1792" s="3">
        <v>1561.4536645094752</v>
      </c>
      <c r="I1792" s="3">
        <v>26.024227741824586</v>
      </c>
      <c r="J1792" s="3">
        <v>0.43373712903040978</v>
      </c>
    </row>
    <row r="1793" spans="1:11" x14ac:dyDescent="0.35">
      <c r="A1793">
        <v>1792</v>
      </c>
      <c r="B1793" t="s">
        <v>2</v>
      </c>
      <c r="C1793" t="s">
        <v>132</v>
      </c>
      <c r="D1793" t="s">
        <v>140</v>
      </c>
      <c r="E1793" s="2">
        <v>44208.497349537036</v>
      </c>
      <c r="F1793" s="2">
        <v>44208.498124999998</v>
      </c>
      <c r="G1793" s="3">
        <v>7.7546296233776957E-4</v>
      </c>
      <c r="H1793" s="3">
        <v>67.408115641322112</v>
      </c>
      <c r="I1793" s="3">
        <v>1.1234685940220352</v>
      </c>
      <c r="J1793" s="3">
        <v>1.872447656703392E-2</v>
      </c>
      <c r="K1793" t="s">
        <v>40</v>
      </c>
    </row>
    <row r="1794" spans="1:11" x14ac:dyDescent="0.35">
      <c r="A1794">
        <v>1793</v>
      </c>
      <c r="B1794" t="s">
        <v>2</v>
      </c>
      <c r="C1794" t="s">
        <v>96</v>
      </c>
      <c r="D1794" t="s">
        <v>140</v>
      </c>
      <c r="E1794" s="2">
        <v>44208.49832175926</v>
      </c>
      <c r="F1794" s="2">
        <v>44208.500763888886</v>
      </c>
      <c r="G1794" s="3">
        <v>2.4421296257060021E-3</v>
      </c>
      <c r="H1794" s="3">
        <v>212.28525953633536</v>
      </c>
      <c r="I1794" s="3">
        <v>3.5380876589389225</v>
      </c>
      <c r="J1794" s="3">
        <v>5.8968127648982044E-2</v>
      </c>
    </row>
    <row r="1795" spans="1:11" x14ac:dyDescent="0.35">
      <c r="A1795">
        <v>1794</v>
      </c>
      <c r="B1795" t="s">
        <v>2</v>
      </c>
      <c r="C1795" t="s">
        <v>132</v>
      </c>
      <c r="D1795" t="s">
        <v>140</v>
      </c>
      <c r="E1795" s="2">
        <v>44208.500914351855</v>
      </c>
      <c r="F1795" s="2">
        <v>44208.530104166668</v>
      </c>
      <c r="G1795" s="3">
        <v>2.9189814813435078E-2</v>
      </c>
      <c r="H1795" s="3">
        <v>2537.3622056184872</v>
      </c>
      <c r="I1795" s="3">
        <v>42.289370093641452</v>
      </c>
      <c r="J1795" s="3">
        <v>0.7048228348940242</v>
      </c>
      <c r="K1795" t="s">
        <v>40</v>
      </c>
    </row>
    <row r="1796" spans="1:11" x14ac:dyDescent="0.35">
      <c r="A1796">
        <v>1795</v>
      </c>
      <c r="B1796" t="s">
        <v>2</v>
      </c>
      <c r="C1796" t="s">
        <v>96</v>
      </c>
      <c r="D1796" t="s">
        <v>140</v>
      </c>
      <c r="E1796" s="2">
        <v>44208.530347222222</v>
      </c>
      <c r="F1796" s="2">
        <v>44208.534479166665</v>
      </c>
      <c r="G1796" s="3">
        <v>4.1319444426335394E-3</v>
      </c>
      <c r="H1796" s="3">
        <v>359.17458645980003</v>
      </c>
      <c r="I1796" s="3">
        <v>5.9862431076633333</v>
      </c>
      <c r="J1796" s="3">
        <v>9.9770718461055549E-2</v>
      </c>
    </row>
    <row r="1797" spans="1:11" x14ac:dyDescent="0.35">
      <c r="A1797">
        <v>1796</v>
      </c>
      <c r="B1797" t="s">
        <v>2</v>
      </c>
      <c r="C1797" t="s">
        <v>96</v>
      </c>
      <c r="D1797" t="s">
        <v>140</v>
      </c>
      <c r="E1797" s="2">
        <v>44208.534629629627</v>
      </c>
      <c r="F1797" s="2">
        <v>44208.535590277781</v>
      </c>
      <c r="G1797" s="3">
        <v>9.6064815443241969E-4</v>
      </c>
      <c r="H1797" s="3">
        <v>83.505576706573336</v>
      </c>
      <c r="I1797" s="3">
        <v>1.3917596117762223</v>
      </c>
      <c r="J1797" s="3">
        <v>2.3195993529603706E-2</v>
      </c>
    </row>
    <row r="1798" spans="1:11" x14ac:dyDescent="0.35">
      <c r="A1798">
        <v>1797</v>
      </c>
      <c r="B1798" t="s">
        <v>2</v>
      </c>
      <c r="C1798" t="s">
        <v>132</v>
      </c>
      <c r="D1798" t="s">
        <v>140</v>
      </c>
      <c r="E1798" s="2">
        <v>44208.535775462966</v>
      </c>
      <c r="F1798" s="2">
        <v>44208.538831018515</v>
      </c>
      <c r="G1798" s="3">
        <v>3.0555555495084263E-3</v>
      </c>
      <c r="H1798" s="3">
        <v>265.60809714085764</v>
      </c>
      <c r="I1798" s="3">
        <v>4.4268016190142943</v>
      </c>
      <c r="J1798" s="3">
        <v>7.378002698357157E-2</v>
      </c>
      <c r="K1798" t="s">
        <v>40</v>
      </c>
    </row>
    <row r="1799" spans="1:11" x14ac:dyDescent="0.35">
      <c r="A1799">
        <v>1798</v>
      </c>
      <c r="B1799" t="s">
        <v>2</v>
      </c>
      <c r="C1799" t="s">
        <v>96</v>
      </c>
      <c r="D1799" t="s">
        <v>140</v>
      </c>
      <c r="E1799" s="2">
        <v>44208.538969907408</v>
      </c>
      <c r="F1799" s="2">
        <v>44208.54210648148</v>
      </c>
      <c r="G1799" s="3">
        <v>3.1365740724140778E-3</v>
      </c>
      <c r="H1799" s="3">
        <v>272.65073647549355</v>
      </c>
      <c r="I1799" s="3">
        <v>4.5441789412582256</v>
      </c>
      <c r="J1799" s="3">
        <v>7.5736315687637099E-2</v>
      </c>
    </row>
    <row r="1800" spans="1:11" x14ac:dyDescent="0.35">
      <c r="A1800">
        <v>1799</v>
      </c>
      <c r="B1800" t="s">
        <v>2</v>
      </c>
      <c r="C1800" t="s">
        <v>96</v>
      </c>
      <c r="D1800" t="s">
        <v>140</v>
      </c>
      <c r="E1800" s="2">
        <v>44208.543564814812</v>
      </c>
      <c r="F1800" s="2">
        <v>44208.552777777775</v>
      </c>
      <c r="G1800" s="3">
        <v>9.2129629629198462E-3</v>
      </c>
      <c r="H1800" s="3">
        <v>800.84865811194766</v>
      </c>
      <c r="I1800" s="3">
        <v>13.347477635199128</v>
      </c>
      <c r="J1800" s="3">
        <v>0.22245796058665215</v>
      </c>
    </row>
    <row r="1801" spans="1:11" x14ac:dyDescent="0.35">
      <c r="A1801">
        <v>1800</v>
      </c>
      <c r="B1801" t="s">
        <v>2</v>
      </c>
      <c r="C1801" t="s">
        <v>96</v>
      </c>
      <c r="D1801" t="s">
        <v>140</v>
      </c>
      <c r="E1801" s="2">
        <v>44208.55296296296</v>
      </c>
      <c r="F1801" s="2">
        <v>44208.570011574076</v>
      </c>
      <c r="G1801" s="3">
        <v>1.7048611116479151E-2</v>
      </c>
      <c r="H1801" s="3">
        <v>1481.9724544922767</v>
      </c>
      <c r="I1801" s="3">
        <v>24.699540908204611</v>
      </c>
      <c r="J1801" s="3">
        <v>0.41165901513674352</v>
      </c>
    </row>
    <row r="1802" spans="1:11" x14ac:dyDescent="0.35">
      <c r="A1802">
        <v>1801</v>
      </c>
      <c r="B1802" t="s">
        <v>11</v>
      </c>
      <c r="C1802" t="s">
        <v>11</v>
      </c>
      <c r="D1802" t="s">
        <v>140</v>
      </c>
      <c r="E1802" s="2">
        <v>44208.570081018515</v>
      </c>
      <c r="F1802" s="2">
        <v>44208.582708333335</v>
      </c>
      <c r="G1802" s="3">
        <v>1.262731481983792E-2</v>
      </c>
      <c r="H1802" s="3">
        <v>1097.645585869082</v>
      </c>
      <c r="I1802" s="3">
        <v>18.294093097818031</v>
      </c>
      <c r="J1802" s="3">
        <v>0.30490155163030053</v>
      </c>
    </row>
    <row r="1803" spans="1:11" x14ac:dyDescent="0.35">
      <c r="A1803">
        <v>1802</v>
      </c>
      <c r="B1803" t="s">
        <v>2</v>
      </c>
      <c r="C1803" t="s">
        <v>96</v>
      </c>
      <c r="D1803" t="s">
        <v>140</v>
      </c>
      <c r="E1803" s="2">
        <v>44208.582800925928</v>
      </c>
      <c r="F1803" s="2">
        <v>44208.631064814814</v>
      </c>
      <c r="G1803" s="3">
        <v>4.8263888886140194E-2</v>
      </c>
      <c r="H1803" s="3">
        <v>4195.4006333571097</v>
      </c>
      <c r="I1803" s="3">
        <v>69.923343889285164</v>
      </c>
      <c r="J1803" s="3">
        <v>1.1653890648214194</v>
      </c>
    </row>
    <row r="1804" spans="1:11" x14ac:dyDescent="0.35">
      <c r="A1804">
        <v>1803</v>
      </c>
      <c r="B1804" t="s">
        <v>11</v>
      </c>
      <c r="C1804" t="s">
        <v>11</v>
      </c>
      <c r="D1804" t="s">
        <v>140</v>
      </c>
      <c r="E1804" s="2">
        <v>44208.631284722222</v>
      </c>
      <c r="F1804" s="2">
        <v>44208.646793981483</v>
      </c>
      <c r="G1804" s="3">
        <v>1.5509259261307307E-2</v>
      </c>
      <c r="H1804" s="3">
        <v>1348.1623140913862</v>
      </c>
      <c r="I1804" s="3">
        <v>22.469371901523104</v>
      </c>
      <c r="J1804" s="3">
        <v>0.37448953169205174</v>
      </c>
    </row>
    <row r="1805" spans="1:11" x14ac:dyDescent="0.35">
      <c r="A1805">
        <v>1804</v>
      </c>
      <c r="B1805" t="s">
        <v>16</v>
      </c>
      <c r="C1805" t="s">
        <v>16</v>
      </c>
      <c r="D1805" t="s">
        <v>140</v>
      </c>
      <c r="E1805" s="2">
        <v>44208.646898148145</v>
      </c>
      <c r="F1805" s="2">
        <v>44208.653333333335</v>
      </c>
      <c r="G1805" s="3">
        <v>6.4351851906394586E-3</v>
      </c>
      <c r="H1805" s="3">
        <v>559.38675162025891</v>
      </c>
      <c r="I1805" s="3">
        <v>9.3231125270043158</v>
      </c>
      <c r="J1805" s="3">
        <v>0.15538520878340525</v>
      </c>
    </row>
    <row r="1806" spans="1:11" x14ac:dyDescent="0.35">
      <c r="A1806">
        <v>1805</v>
      </c>
      <c r="B1806" t="s">
        <v>2</v>
      </c>
      <c r="C1806" t="s">
        <v>96</v>
      </c>
      <c r="D1806" t="s">
        <v>140</v>
      </c>
      <c r="E1806" s="2">
        <v>44208.653495370374</v>
      </c>
      <c r="F1806" s="2">
        <v>44208.655358796299</v>
      </c>
      <c r="G1806" s="3">
        <v>1.8634259249665774E-3</v>
      </c>
      <c r="H1806" s="3">
        <v>161.98069584201821</v>
      </c>
      <c r="I1806" s="3">
        <v>2.6996782640336368</v>
      </c>
      <c r="J1806" s="3">
        <v>4.4994637733893943E-2</v>
      </c>
    </row>
    <row r="1807" spans="1:11" x14ac:dyDescent="0.35">
      <c r="A1807">
        <v>1806</v>
      </c>
      <c r="B1807" t="s">
        <v>2</v>
      </c>
      <c r="C1807" t="s">
        <v>96</v>
      </c>
      <c r="D1807" t="s">
        <v>140</v>
      </c>
      <c r="E1807" s="2">
        <v>44208.655497685184</v>
      </c>
      <c r="F1807" s="2">
        <v>44208.662974537037</v>
      </c>
      <c r="G1807" s="3">
        <v>7.4768518534256145E-3</v>
      </c>
      <c r="H1807" s="3">
        <v>649.93496639652415</v>
      </c>
      <c r="I1807" s="3">
        <v>10.832249439942069</v>
      </c>
      <c r="J1807" s="3">
        <v>0.18053749066570116</v>
      </c>
    </row>
    <row r="1808" spans="1:11" x14ac:dyDescent="0.35">
      <c r="A1808">
        <v>1807</v>
      </c>
      <c r="B1808" t="s">
        <v>2</v>
      </c>
      <c r="C1808" t="s">
        <v>96</v>
      </c>
      <c r="D1808" t="s">
        <v>140</v>
      </c>
      <c r="E1808" s="2">
        <v>44208.663217592592</v>
      </c>
      <c r="F1808" s="2">
        <v>44208.680868055555</v>
      </c>
      <c r="G1808" s="3">
        <v>1.7650462963501923E-2</v>
      </c>
      <c r="H1808" s="3">
        <v>1534.2892005825731</v>
      </c>
      <c r="I1808" s="3">
        <v>25.571486676376217</v>
      </c>
      <c r="J1808" s="3">
        <v>0.42619144460627029</v>
      </c>
    </row>
    <row r="1809" spans="1:11" x14ac:dyDescent="0.35">
      <c r="A1809">
        <v>1808</v>
      </c>
      <c r="B1809" t="s">
        <v>2</v>
      </c>
      <c r="C1809" t="s">
        <v>132</v>
      </c>
      <c r="D1809" t="s">
        <v>140</v>
      </c>
      <c r="E1809" s="2">
        <v>44208.682314814818</v>
      </c>
      <c r="F1809" s="2">
        <v>44208.691041666665</v>
      </c>
      <c r="G1809" s="3">
        <v>8.7268518473138101E-3</v>
      </c>
      <c r="H1809" s="3">
        <v>758.59282400154814</v>
      </c>
      <c r="I1809" s="3">
        <v>12.643213733359136</v>
      </c>
      <c r="J1809" s="3">
        <v>0.21072022888931893</v>
      </c>
      <c r="K1809" t="s">
        <v>86</v>
      </c>
    </row>
    <row r="1810" spans="1:11" x14ac:dyDescent="0.35">
      <c r="A1810">
        <v>1809</v>
      </c>
      <c r="B1810" t="s">
        <v>11</v>
      </c>
      <c r="C1810" t="s">
        <v>11</v>
      </c>
      <c r="D1810" t="s">
        <v>140</v>
      </c>
      <c r="E1810" s="2">
        <v>44208.691365740742</v>
      </c>
      <c r="F1810" s="2">
        <v>44208.700902777775</v>
      </c>
      <c r="G1810" s="3">
        <v>9.5370370327145793E-3</v>
      </c>
      <c r="H1810" s="3">
        <v>829.01921355307536</v>
      </c>
      <c r="I1810" s="3">
        <v>13.816986892551256</v>
      </c>
      <c r="J1810" s="3">
        <v>0.23028311487585426</v>
      </c>
    </row>
    <row r="1811" spans="1:11" x14ac:dyDescent="0.35">
      <c r="A1811">
        <v>1810</v>
      </c>
      <c r="B1811" t="s">
        <v>2</v>
      </c>
      <c r="C1811" t="s">
        <v>96</v>
      </c>
      <c r="D1811" t="s">
        <v>140</v>
      </c>
      <c r="E1811" s="2">
        <v>44208.703958333332</v>
      </c>
      <c r="F1811" s="2">
        <v>44208.706875000003</v>
      </c>
      <c r="G1811" s="3">
        <v>2.9166666718083434E-3</v>
      </c>
      <c r="H1811" s="3">
        <v>253.53500276498116</v>
      </c>
      <c r="I1811" s="3">
        <v>4.2255833794163529</v>
      </c>
      <c r="J1811" s="3">
        <v>7.0426389656939217E-2</v>
      </c>
    </row>
    <row r="1812" spans="1:11" x14ac:dyDescent="0.35">
      <c r="A1812">
        <v>1811</v>
      </c>
      <c r="B1812" t="s">
        <v>2</v>
      </c>
      <c r="C1812" t="s">
        <v>96</v>
      </c>
      <c r="D1812" t="s">
        <v>140</v>
      </c>
      <c r="E1812" s="2">
        <v>44208.707083333335</v>
      </c>
      <c r="F1812" s="2">
        <v>44208.714826388888</v>
      </c>
      <c r="G1812" s="3">
        <v>7.7430555538740009E-3</v>
      </c>
      <c r="H1812" s="3">
        <v>673.07506553146732</v>
      </c>
      <c r="I1812" s="3">
        <v>11.217917758857789</v>
      </c>
      <c r="J1812" s="3">
        <v>0.18696529598096315</v>
      </c>
    </row>
    <row r="1813" spans="1:11" x14ac:dyDescent="0.35">
      <c r="A1813">
        <v>1812</v>
      </c>
      <c r="B1813" t="s">
        <v>11</v>
      </c>
      <c r="C1813" t="s">
        <v>11</v>
      </c>
      <c r="D1813" t="s">
        <v>140</v>
      </c>
      <c r="E1813" s="2">
        <v>44208.71497685185</v>
      </c>
      <c r="F1813" s="2">
        <v>44208.792488425926</v>
      </c>
      <c r="G1813" s="3">
        <v>7.7511574076197576E-2</v>
      </c>
      <c r="H1813" s="3">
        <v>6737.7932959142536</v>
      </c>
      <c r="I1813" s="3">
        <v>112.29655493190423</v>
      </c>
      <c r="J1813" s="3">
        <v>1.8716092488650704</v>
      </c>
    </row>
    <row r="1814" spans="1:11" x14ac:dyDescent="0.35">
      <c r="A1814">
        <v>1813</v>
      </c>
      <c r="B1814" t="s">
        <v>2</v>
      </c>
      <c r="C1814" t="s">
        <v>96</v>
      </c>
      <c r="D1814" t="s">
        <v>140</v>
      </c>
      <c r="E1814" s="2">
        <v>44208.861979166664</v>
      </c>
      <c r="F1814" s="2">
        <v>44208.887997685182</v>
      </c>
      <c r="G1814" s="3">
        <v>2.6018518517958E-2</v>
      </c>
      <c r="H1814" s="3">
        <v>2261.6931952327886</v>
      </c>
      <c r="I1814" s="3">
        <v>37.694886587213141</v>
      </c>
      <c r="J1814" s="3">
        <v>0.62824810978688572</v>
      </c>
    </row>
    <row r="1815" spans="1:11" x14ac:dyDescent="0.35">
      <c r="A1815">
        <v>1814</v>
      </c>
      <c r="B1815" t="s">
        <v>11</v>
      </c>
      <c r="C1815" t="s">
        <v>11</v>
      </c>
      <c r="D1815" t="s">
        <v>140</v>
      </c>
      <c r="E1815" s="2">
        <v>44208.888333333336</v>
      </c>
      <c r="F1815" s="2">
        <v>44208.928379629629</v>
      </c>
      <c r="G1815" s="3">
        <v>4.0046296293439809E-2</v>
      </c>
      <c r="H1815" s="3">
        <v>3481.0758252294686</v>
      </c>
      <c r="I1815" s="3">
        <v>58.01793042049114</v>
      </c>
      <c r="J1815" s="3">
        <v>0.96696550700818562</v>
      </c>
    </row>
    <row r="1816" spans="1:11" x14ac:dyDescent="0.35">
      <c r="A1816">
        <v>1815</v>
      </c>
      <c r="B1816" t="s">
        <v>2</v>
      </c>
      <c r="C1816" t="s">
        <v>72</v>
      </c>
      <c r="D1816" t="s">
        <v>140</v>
      </c>
      <c r="E1816" s="2">
        <v>44209.331099537034</v>
      </c>
      <c r="F1816" s="2">
        <v>44209.35659722222</v>
      </c>
      <c r="G1816" s="3">
        <v>2.5497685186564922E-2</v>
      </c>
      <c r="H1816" s="3">
        <v>2216.4190878446557</v>
      </c>
      <c r="I1816" s="3">
        <v>36.940318130744259</v>
      </c>
      <c r="J1816" s="3">
        <v>0.6156719688457376</v>
      </c>
      <c r="K1816" t="s">
        <v>73</v>
      </c>
    </row>
    <row r="1817" spans="1:11" x14ac:dyDescent="0.35">
      <c r="A1817">
        <v>1816</v>
      </c>
      <c r="B1817" t="s">
        <v>11</v>
      </c>
      <c r="C1817" t="s">
        <v>11</v>
      </c>
      <c r="D1817" t="s">
        <v>140</v>
      </c>
      <c r="E1817" s="2">
        <v>44209.356770833336</v>
      </c>
      <c r="F1817" s="2">
        <v>44209.361597222225</v>
      </c>
      <c r="G1817" s="3">
        <v>4.8263888893416151E-3</v>
      </c>
      <c r="H1817" s="3">
        <v>419.54006339895818</v>
      </c>
      <c r="I1817" s="3">
        <v>6.992334389982636</v>
      </c>
      <c r="J1817" s="3">
        <v>0.1165389064997106</v>
      </c>
    </row>
    <row r="1818" spans="1:11" x14ac:dyDescent="0.35">
      <c r="A1818">
        <v>1817</v>
      </c>
      <c r="B1818" t="s">
        <v>11</v>
      </c>
      <c r="C1818" t="s">
        <v>11</v>
      </c>
      <c r="D1818" t="s">
        <v>140</v>
      </c>
      <c r="E1818" s="2">
        <v>44209.361701388887</v>
      </c>
      <c r="F1818" s="2">
        <v>44209.37027777778</v>
      </c>
      <c r="G1818" s="3">
        <v>8.5763888928340748E-3</v>
      </c>
      <c r="H1818" s="3">
        <v>745.51363811144597</v>
      </c>
      <c r="I1818" s="3">
        <v>12.425227301857433</v>
      </c>
      <c r="J1818" s="3">
        <v>0.20708712169762389</v>
      </c>
    </row>
    <row r="1819" spans="1:11" x14ac:dyDescent="0.35">
      <c r="A1819">
        <v>1818</v>
      </c>
      <c r="B1819" t="s">
        <v>2</v>
      </c>
      <c r="C1819" t="s">
        <v>96</v>
      </c>
      <c r="D1819" t="s">
        <v>140</v>
      </c>
      <c r="E1819" s="2">
        <v>44209.370405092595</v>
      </c>
      <c r="F1819" s="2">
        <v>44209.373217592591</v>
      </c>
      <c r="G1819" s="3">
        <v>2.8124999953433871E-3</v>
      </c>
      <c r="H1819" s="3">
        <v>244.48018040189385</v>
      </c>
      <c r="I1819" s="3">
        <v>4.0746696733648973</v>
      </c>
      <c r="J1819" s="3">
        <v>6.791116122274829E-2</v>
      </c>
    </row>
    <row r="1820" spans="1:11" x14ac:dyDescent="0.35">
      <c r="A1820">
        <v>1819</v>
      </c>
      <c r="B1820" t="s">
        <v>2</v>
      </c>
      <c r="C1820" t="s">
        <v>96</v>
      </c>
      <c r="D1820" t="s">
        <v>140</v>
      </c>
      <c r="E1820" s="2">
        <v>44209.373344907406</v>
      </c>
      <c r="F1820" s="2">
        <v>44209.386018518519</v>
      </c>
      <c r="G1820" s="3">
        <v>1.2673611112404615E-2</v>
      </c>
      <c r="H1820" s="3">
        <v>1101.669950661041</v>
      </c>
      <c r="I1820" s="3">
        <v>18.361165844350683</v>
      </c>
      <c r="J1820" s="3">
        <v>0.30601943073917803</v>
      </c>
    </row>
    <row r="1821" spans="1:11" x14ac:dyDescent="0.35">
      <c r="A1821">
        <v>1820</v>
      </c>
      <c r="B1821" t="s">
        <v>11</v>
      </c>
      <c r="C1821" t="s">
        <v>11</v>
      </c>
      <c r="D1821" t="s">
        <v>140</v>
      </c>
      <c r="E1821" s="2">
        <v>44209.386076388888</v>
      </c>
      <c r="F1821" s="2">
        <v>44209.388159722221</v>
      </c>
      <c r="G1821" s="3">
        <v>2.0833333328482695E-3</v>
      </c>
      <c r="H1821" s="3">
        <v>181.09643018500256</v>
      </c>
      <c r="I1821" s="3">
        <v>3.0182738364167094</v>
      </c>
      <c r="J1821" s="3">
        <v>5.0304563940278491E-2</v>
      </c>
    </row>
    <row r="1822" spans="1:11" x14ac:dyDescent="0.35">
      <c r="A1822">
        <v>1821</v>
      </c>
      <c r="B1822" t="s">
        <v>2</v>
      </c>
      <c r="C1822" t="s">
        <v>96</v>
      </c>
      <c r="D1822" t="s">
        <v>140</v>
      </c>
      <c r="E1822" s="2">
        <v>44209.388310185182</v>
      </c>
      <c r="F1822" s="2">
        <v>44209.400439814817</v>
      </c>
      <c r="G1822" s="3">
        <v>1.212962963472819E-2</v>
      </c>
      <c r="H1822" s="3">
        <v>1054.3836608769288</v>
      </c>
      <c r="I1822" s="3">
        <v>17.57306101461548</v>
      </c>
      <c r="J1822" s="3">
        <v>0.29288435024359133</v>
      </c>
    </row>
    <row r="1823" spans="1:11" x14ac:dyDescent="0.35">
      <c r="A1823">
        <v>1822</v>
      </c>
      <c r="B1823" t="s">
        <v>2</v>
      </c>
      <c r="C1823" t="s">
        <v>96</v>
      </c>
      <c r="D1823" t="s">
        <v>140</v>
      </c>
      <c r="E1823" s="2">
        <v>44209.400601851848</v>
      </c>
      <c r="F1823" s="2">
        <v>44209.427118055559</v>
      </c>
      <c r="G1823" s="3">
        <v>2.6516203710343689E-2</v>
      </c>
      <c r="H1823" s="3">
        <v>2304.9551208574139</v>
      </c>
      <c r="I1823" s="3">
        <v>38.415918680956899</v>
      </c>
      <c r="J1823" s="3">
        <v>0.64026531134928166</v>
      </c>
    </row>
    <row r="1824" spans="1:11" x14ac:dyDescent="0.35">
      <c r="A1824">
        <v>1823</v>
      </c>
      <c r="B1824" t="s">
        <v>16</v>
      </c>
      <c r="C1824" t="s">
        <v>16</v>
      </c>
      <c r="D1824" t="s">
        <v>140</v>
      </c>
      <c r="E1824" s="2">
        <v>44209.427233796298</v>
      </c>
      <c r="F1824" s="2">
        <v>44209.429456018515</v>
      </c>
      <c r="G1824" s="3">
        <v>2.2222222178243101E-3</v>
      </c>
      <c r="H1824" s="3">
        <v>193.16952519335101</v>
      </c>
      <c r="I1824" s="3">
        <v>3.2194920865558503</v>
      </c>
      <c r="J1824" s="3">
        <v>5.3658201442597503E-2</v>
      </c>
    </row>
    <row r="1825" spans="1:11" x14ac:dyDescent="0.35">
      <c r="A1825">
        <v>1824</v>
      </c>
      <c r="B1825" t="s">
        <v>2</v>
      </c>
      <c r="C1825" t="s">
        <v>96</v>
      </c>
      <c r="D1825" t="s">
        <v>140</v>
      </c>
      <c r="E1825" s="2">
        <v>44209.429618055554</v>
      </c>
      <c r="F1825" s="2">
        <v>44209.449513888889</v>
      </c>
      <c r="G1825" s="3">
        <v>1.9895833334885538E-2</v>
      </c>
      <c r="H1825" s="3">
        <v>1729.4709088043755</v>
      </c>
      <c r="I1825" s="3">
        <v>28.824515146739593</v>
      </c>
      <c r="J1825" s="3">
        <v>0.4804085857789932</v>
      </c>
    </row>
    <row r="1826" spans="1:11" x14ac:dyDescent="0.35">
      <c r="A1826">
        <v>1825</v>
      </c>
      <c r="B1826" t="s">
        <v>2</v>
      </c>
      <c r="C1826" t="s">
        <v>132</v>
      </c>
      <c r="D1826" t="s">
        <v>140</v>
      </c>
      <c r="E1826" s="2">
        <v>44209.449803240743</v>
      </c>
      <c r="F1826" s="2">
        <v>44209.459537037037</v>
      </c>
      <c r="G1826" s="3">
        <v>9.7337962943129241E-3</v>
      </c>
      <c r="H1826" s="3">
        <v>846.12276550008028</v>
      </c>
      <c r="I1826" s="3">
        <v>14.102046091668004</v>
      </c>
      <c r="J1826" s="3">
        <v>0.23503410152780008</v>
      </c>
      <c r="K1826" t="s">
        <v>86</v>
      </c>
    </row>
    <row r="1827" spans="1:11" x14ac:dyDescent="0.35">
      <c r="A1827">
        <v>1826</v>
      </c>
      <c r="B1827" t="s">
        <v>11</v>
      </c>
      <c r="C1827" t="s">
        <v>11</v>
      </c>
      <c r="D1827" t="s">
        <v>140</v>
      </c>
      <c r="E1827" s="2">
        <v>44209.459629629629</v>
      </c>
      <c r="F1827" s="2">
        <v>44209.468449074076</v>
      </c>
      <c r="G1827" s="3">
        <v>8.819444446999114E-3</v>
      </c>
      <c r="H1827" s="3">
        <v>766.64155485040976</v>
      </c>
      <c r="I1827" s="3">
        <v>12.77735924750683</v>
      </c>
      <c r="J1827" s="3">
        <v>0.21295598745844715</v>
      </c>
    </row>
    <row r="1828" spans="1:11" x14ac:dyDescent="0.35">
      <c r="A1828">
        <v>1827</v>
      </c>
      <c r="B1828" t="s">
        <v>11</v>
      </c>
      <c r="C1828" t="s">
        <v>11</v>
      </c>
      <c r="D1828" t="s">
        <v>140</v>
      </c>
      <c r="E1828" s="2">
        <v>44209.468599537038</v>
      </c>
      <c r="F1828" s="2">
        <v>44209.470590277779</v>
      </c>
      <c r="G1828" s="3">
        <v>1.9907407404389232E-3</v>
      </c>
      <c r="H1828" s="3">
        <v>173.04769996861293</v>
      </c>
      <c r="I1828" s="3">
        <v>2.8841283328102154</v>
      </c>
      <c r="J1828" s="3">
        <v>4.8068805546836922E-2</v>
      </c>
    </row>
    <row r="1829" spans="1:11" x14ac:dyDescent="0.35">
      <c r="A1829">
        <v>1828</v>
      </c>
      <c r="B1829" t="s">
        <v>2</v>
      </c>
      <c r="C1829" t="s">
        <v>96</v>
      </c>
      <c r="D1829" t="s">
        <v>140</v>
      </c>
      <c r="E1829" s="2">
        <v>44209.470914351848</v>
      </c>
      <c r="F1829" s="2">
        <v>44209.478125000001</v>
      </c>
      <c r="G1829" s="3">
        <v>7.2106481529772282E-3</v>
      </c>
      <c r="H1829" s="3">
        <v>626.79486726158098</v>
      </c>
      <c r="I1829" s="3">
        <v>10.44658112102635</v>
      </c>
      <c r="J1829" s="3">
        <v>0.17410968535043916</v>
      </c>
    </row>
    <row r="1830" spans="1:11" x14ac:dyDescent="0.35">
      <c r="A1830">
        <v>1829</v>
      </c>
      <c r="B1830" t="s">
        <v>2</v>
      </c>
      <c r="C1830" t="s">
        <v>96</v>
      </c>
      <c r="D1830" t="s">
        <v>140</v>
      </c>
      <c r="E1830" s="2">
        <v>44209.478263888886</v>
      </c>
      <c r="F1830" s="2">
        <v>44209.492291666669</v>
      </c>
      <c r="G1830" s="3">
        <v>1.4027777782757767E-2</v>
      </c>
      <c r="H1830" s="3">
        <v>1219.3826306291521</v>
      </c>
      <c r="I1830" s="3">
        <v>20.323043843819203</v>
      </c>
      <c r="J1830" s="3">
        <v>0.3387173973969867</v>
      </c>
    </row>
    <row r="1831" spans="1:11" x14ac:dyDescent="0.35">
      <c r="A1831">
        <v>1830</v>
      </c>
      <c r="B1831" t="s">
        <v>16</v>
      </c>
      <c r="C1831" t="s">
        <v>16</v>
      </c>
      <c r="D1831" t="s">
        <v>140</v>
      </c>
      <c r="E1831" s="2">
        <v>44209.4924537037</v>
      </c>
      <c r="F1831" s="2">
        <v>44209.521655092591</v>
      </c>
      <c r="G1831" s="3">
        <v>2.920138889021473E-2</v>
      </c>
      <c r="H1831" s="3">
        <v>2538.368297132713</v>
      </c>
      <c r="I1831" s="3">
        <v>42.306138285545217</v>
      </c>
      <c r="J1831" s="3">
        <v>0.70510230475908697</v>
      </c>
    </row>
    <row r="1832" spans="1:11" x14ac:dyDescent="0.35">
      <c r="A1832">
        <v>1831</v>
      </c>
      <c r="B1832" t="s">
        <v>11</v>
      </c>
      <c r="C1832" t="s">
        <v>11</v>
      </c>
      <c r="D1832" t="s">
        <v>140</v>
      </c>
      <c r="E1832" s="2">
        <v>44209.521863425929</v>
      </c>
      <c r="F1832" s="2">
        <v>44209.523425925923</v>
      </c>
      <c r="G1832" s="3">
        <v>1.5624999941792339E-3</v>
      </c>
      <c r="H1832" s="3">
        <v>135.82232216439795</v>
      </c>
      <c r="I1832" s="3">
        <v>2.2637053694066323</v>
      </c>
      <c r="J1832" s="3">
        <v>3.7728422823443873E-2</v>
      </c>
    </row>
    <row r="1833" spans="1:11" x14ac:dyDescent="0.35">
      <c r="A1833">
        <v>1832</v>
      </c>
      <c r="B1833" t="s">
        <v>2</v>
      </c>
      <c r="C1833" t="s">
        <v>132</v>
      </c>
      <c r="D1833" t="s">
        <v>140</v>
      </c>
      <c r="E1833" s="2">
        <v>44209.523692129631</v>
      </c>
      <c r="F1833" s="2">
        <v>44209.542824074073</v>
      </c>
      <c r="G1833" s="3">
        <v>1.9131944442051463E-2</v>
      </c>
      <c r="H1833" s="3">
        <v>1663.0688840448072</v>
      </c>
      <c r="I1833" s="3">
        <v>27.717814734080118</v>
      </c>
      <c r="J1833" s="3">
        <v>0.46196357890133533</v>
      </c>
      <c r="K1833" t="s">
        <v>86</v>
      </c>
    </row>
    <row r="1834" spans="1:11" x14ac:dyDescent="0.35">
      <c r="A1834">
        <v>1833</v>
      </c>
      <c r="B1834" t="s">
        <v>2</v>
      </c>
      <c r="C1834" t="s">
        <v>96</v>
      </c>
      <c r="D1834" t="s">
        <v>140</v>
      </c>
      <c r="E1834" s="2">
        <v>44209.543356481481</v>
      </c>
      <c r="F1834" s="2">
        <v>44209.559583333335</v>
      </c>
      <c r="G1834" s="3">
        <v>1.6226851854298729E-2</v>
      </c>
      <c r="H1834" s="3">
        <v>1410.5399734265236</v>
      </c>
      <c r="I1834" s="3">
        <v>23.508999557108726</v>
      </c>
      <c r="J1834" s="3">
        <v>0.39181665928514542</v>
      </c>
    </row>
    <row r="1835" spans="1:11" x14ac:dyDescent="0.35">
      <c r="A1835">
        <v>1834</v>
      </c>
      <c r="B1835" t="s">
        <v>2</v>
      </c>
      <c r="C1835" t="s">
        <v>136</v>
      </c>
      <c r="D1835" t="s">
        <v>140</v>
      </c>
      <c r="E1835" s="2">
        <v>44209.560057870367</v>
      </c>
      <c r="F1835" s="2">
        <v>44209.587442129632</v>
      </c>
      <c r="G1835" s="3">
        <v>2.7384259265090805E-2</v>
      </c>
      <c r="H1835" s="3">
        <v>2380.4119667151253</v>
      </c>
      <c r="I1835" s="3">
        <v>39.673532778585425</v>
      </c>
      <c r="J1835" s="3">
        <v>0.66122554630975705</v>
      </c>
      <c r="K1835" t="s">
        <v>90</v>
      </c>
    </row>
    <row r="1836" spans="1:11" x14ac:dyDescent="0.35">
      <c r="A1836">
        <v>1835</v>
      </c>
      <c r="B1836" t="s">
        <v>11</v>
      </c>
      <c r="C1836" t="s">
        <v>11</v>
      </c>
      <c r="D1836" t="s">
        <v>140</v>
      </c>
      <c r="E1836" s="2">
        <v>44209.587638888886</v>
      </c>
      <c r="F1836" s="2">
        <v>44209.600752314815</v>
      </c>
      <c r="G1836" s="3">
        <v>1.3113425928167999E-2</v>
      </c>
      <c r="H1836" s="3">
        <v>1139.9014193470096</v>
      </c>
      <c r="I1836" s="3">
        <v>18.998356989116825</v>
      </c>
      <c r="J1836" s="3">
        <v>0.31663928315194706</v>
      </c>
    </row>
    <row r="1837" spans="1:11" x14ac:dyDescent="0.35">
      <c r="A1837">
        <v>1836</v>
      </c>
      <c r="B1837" t="s">
        <v>2</v>
      </c>
      <c r="C1837" t="s">
        <v>96</v>
      </c>
      <c r="D1837" t="s">
        <v>140</v>
      </c>
      <c r="E1837" s="2">
        <v>44209.600937499999</v>
      </c>
      <c r="F1837" s="2">
        <v>44209.621076388888</v>
      </c>
      <c r="G1837" s="3">
        <v>2.0138888889050577E-2</v>
      </c>
      <c r="H1837" s="3">
        <v>1750.5988255433394</v>
      </c>
      <c r="I1837" s="3">
        <v>29.17664709238899</v>
      </c>
      <c r="J1837" s="3">
        <v>0.4862774515398165</v>
      </c>
    </row>
    <row r="1838" spans="1:11" x14ac:dyDescent="0.35">
      <c r="A1838">
        <v>1837</v>
      </c>
      <c r="B1838" t="s">
        <v>2</v>
      </c>
      <c r="C1838" t="s">
        <v>72</v>
      </c>
      <c r="D1838" t="s">
        <v>140</v>
      </c>
      <c r="E1838" s="2">
        <v>44209.621354166666</v>
      </c>
      <c r="F1838" s="2">
        <v>44209.66778935185</v>
      </c>
      <c r="G1838" s="3">
        <v>4.6435185184236616E-2</v>
      </c>
      <c r="H1838" s="3">
        <v>4036.4382114252967</v>
      </c>
      <c r="I1838" s="3">
        <v>67.273970190421608</v>
      </c>
      <c r="J1838" s="3">
        <v>1.1212328365070268</v>
      </c>
      <c r="K1838" t="s">
        <v>73</v>
      </c>
    </row>
    <row r="1839" spans="1:11" x14ac:dyDescent="0.35">
      <c r="A1839">
        <v>1838</v>
      </c>
      <c r="B1839" t="s">
        <v>2</v>
      </c>
      <c r="C1839" t="s">
        <v>96</v>
      </c>
      <c r="D1839" t="s">
        <v>140</v>
      </c>
      <c r="E1839" s="2">
        <v>44209.667928240742</v>
      </c>
      <c r="F1839" s="2">
        <v>44209.692303240743</v>
      </c>
      <c r="G1839" s="3">
        <v>2.4375000000873115E-2</v>
      </c>
      <c r="H1839" s="3">
        <v>2118.8282337337546</v>
      </c>
      <c r="I1839" s="3">
        <v>35.313803895562579</v>
      </c>
      <c r="J1839" s="3">
        <v>0.58856339825937631</v>
      </c>
    </row>
    <row r="1840" spans="1:11" x14ac:dyDescent="0.35">
      <c r="A1840">
        <v>1839</v>
      </c>
      <c r="B1840" t="s">
        <v>2</v>
      </c>
      <c r="C1840" t="s">
        <v>96</v>
      </c>
      <c r="D1840" t="s">
        <v>140</v>
      </c>
      <c r="E1840" s="2">
        <v>44209.719386574077</v>
      </c>
      <c r="F1840" s="2">
        <v>44209.726053240738</v>
      </c>
      <c r="G1840" s="3">
        <v>6.6666666607488878E-3</v>
      </c>
      <c r="H1840" s="3">
        <v>579.50857621252499</v>
      </c>
      <c r="I1840" s="3">
        <v>9.6584762702087499</v>
      </c>
      <c r="J1840" s="3">
        <v>0.16097460450347917</v>
      </c>
    </row>
    <row r="1841" spans="1:11" x14ac:dyDescent="0.35">
      <c r="A1841">
        <v>1840</v>
      </c>
      <c r="B1841" t="s">
        <v>2</v>
      </c>
      <c r="C1841" t="s">
        <v>96</v>
      </c>
      <c r="D1841" t="s">
        <v>140</v>
      </c>
      <c r="E1841" s="2">
        <v>44209.726412037038</v>
      </c>
      <c r="F1841" s="2">
        <v>44209.746249999997</v>
      </c>
      <c r="G1841" s="3">
        <v>1.9837962958263233E-2</v>
      </c>
      <c r="H1841" s="3">
        <v>1724.4404518657191</v>
      </c>
      <c r="I1841" s="3">
        <v>28.740674197761983</v>
      </c>
      <c r="J1841" s="3">
        <v>0.4790112366293664</v>
      </c>
    </row>
    <row r="1842" spans="1:11" x14ac:dyDescent="0.35">
      <c r="A1842">
        <v>1841</v>
      </c>
      <c r="B1842" t="s">
        <v>11</v>
      </c>
      <c r="C1842" t="s">
        <v>11</v>
      </c>
      <c r="D1842" t="s">
        <v>140</v>
      </c>
      <c r="E1842" s="2">
        <v>44209.803495370368</v>
      </c>
      <c r="F1842" s="2">
        <v>44209.945729166669</v>
      </c>
      <c r="G1842" s="3">
        <v>0.14223379630129784</v>
      </c>
      <c r="H1842" s="3">
        <v>12363.855728555098</v>
      </c>
      <c r="I1842" s="3">
        <v>206.06426214258497</v>
      </c>
      <c r="J1842" s="3">
        <v>3.4344043690430825</v>
      </c>
    </row>
    <row r="1843" spans="1:11" x14ac:dyDescent="0.35">
      <c r="A1843">
        <v>1842</v>
      </c>
      <c r="B1843" t="s">
        <v>11</v>
      </c>
      <c r="C1843" t="s">
        <v>11</v>
      </c>
      <c r="D1843" t="s">
        <v>140</v>
      </c>
      <c r="E1843" s="2">
        <v>44210.335578703707</v>
      </c>
      <c r="F1843" s="2">
        <v>44210.33966435185</v>
      </c>
      <c r="G1843" s="3">
        <v>4.0856481427908875E-3</v>
      </c>
      <c r="H1843" s="3">
        <v>355.15022103536921</v>
      </c>
      <c r="I1843" s="3">
        <v>5.9191703505894866</v>
      </c>
      <c r="J1843" s="3">
        <v>9.8652839176491439E-2</v>
      </c>
    </row>
    <row r="1844" spans="1:11" x14ac:dyDescent="0.35">
      <c r="A1844">
        <v>1843</v>
      </c>
      <c r="B1844" t="s">
        <v>2</v>
      </c>
      <c r="C1844" t="s">
        <v>132</v>
      </c>
      <c r="D1844" t="s">
        <v>140</v>
      </c>
      <c r="E1844" s="2">
        <v>44210.339814814812</v>
      </c>
      <c r="F1844" s="2">
        <v>44210.341909722221</v>
      </c>
      <c r="G1844" s="3">
        <v>2.0949074096279219E-3</v>
      </c>
      <c r="H1844" s="3">
        <v>182.10252169922825</v>
      </c>
      <c r="I1844" s="3">
        <v>3.0350420283204707</v>
      </c>
      <c r="J1844" s="3">
        <v>5.0584033805341176E-2</v>
      </c>
      <c r="K1844" t="s">
        <v>41</v>
      </c>
    </row>
    <row r="1845" spans="1:11" x14ac:dyDescent="0.35">
      <c r="A1845">
        <v>1844</v>
      </c>
      <c r="B1845" t="s">
        <v>11</v>
      </c>
      <c r="C1845" t="s">
        <v>11</v>
      </c>
      <c r="D1845" t="s">
        <v>140</v>
      </c>
      <c r="E1845" s="2">
        <v>44210.342291666668</v>
      </c>
      <c r="F1845" s="2">
        <v>44210.352777777778</v>
      </c>
      <c r="G1845" s="3">
        <v>1.0486111110367347E-2</v>
      </c>
      <c r="H1845" s="3">
        <v>911.51869874542297</v>
      </c>
      <c r="I1845" s="3">
        <v>15.191978312423716</v>
      </c>
      <c r="J1845" s="3">
        <v>0.25319963854039529</v>
      </c>
    </row>
    <row r="1846" spans="1:11" x14ac:dyDescent="0.35">
      <c r="A1846">
        <v>1845</v>
      </c>
      <c r="B1846" t="s">
        <v>2</v>
      </c>
      <c r="C1846" t="s">
        <v>136</v>
      </c>
      <c r="D1846" t="s">
        <v>140</v>
      </c>
      <c r="E1846" s="2">
        <v>44210.352962962963</v>
      </c>
      <c r="F1846" s="2">
        <v>44210.398495370369</v>
      </c>
      <c r="G1846" s="3">
        <v>4.5532407406426501E-2</v>
      </c>
      <c r="H1846" s="3">
        <v>3957.9630916573797</v>
      </c>
      <c r="I1846" s="3">
        <v>65.966051527622994</v>
      </c>
      <c r="J1846" s="3">
        <v>1.0994341921270498</v>
      </c>
      <c r="K1846" t="s">
        <v>90</v>
      </c>
    </row>
    <row r="1847" spans="1:11" x14ac:dyDescent="0.35">
      <c r="A1847">
        <v>1846</v>
      </c>
      <c r="B1847" t="s">
        <v>2</v>
      </c>
      <c r="C1847" t="s">
        <v>96</v>
      </c>
      <c r="D1847" t="s">
        <v>140</v>
      </c>
      <c r="E1847" s="2">
        <v>44210.398622685185</v>
      </c>
      <c r="F1847" s="2">
        <v>44210.412789351853</v>
      </c>
      <c r="G1847" s="3">
        <v>1.4166666667733807E-2</v>
      </c>
      <c r="H1847" s="3">
        <v>1231.4557256375006</v>
      </c>
      <c r="I1847" s="3">
        <v>20.524262093958342</v>
      </c>
      <c r="J1847" s="3">
        <v>0.34207103489930568</v>
      </c>
    </row>
    <row r="1848" spans="1:11" x14ac:dyDescent="0.35">
      <c r="A1848">
        <v>1847</v>
      </c>
      <c r="B1848" t="s">
        <v>2</v>
      </c>
      <c r="C1848" t="s">
        <v>96</v>
      </c>
      <c r="D1848" t="s">
        <v>140</v>
      </c>
      <c r="E1848" s="2">
        <v>44210.412939814814</v>
      </c>
      <c r="F1848" s="2">
        <v>44210.415289351855</v>
      </c>
      <c r="G1848" s="3">
        <v>2.3495370405726135E-3</v>
      </c>
      <c r="H1848" s="3">
        <v>204.2365299524177</v>
      </c>
      <c r="I1848" s="3">
        <v>3.4039421658736284</v>
      </c>
      <c r="J1848" s="3">
        <v>5.6732369431227142E-2</v>
      </c>
    </row>
    <row r="1849" spans="1:11" x14ac:dyDescent="0.35">
      <c r="A1849">
        <v>1848</v>
      </c>
      <c r="B1849" t="s">
        <v>2</v>
      </c>
      <c r="C1849" t="s">
        <v>96</v>
      </c>
      <c r="D1849" t="s">
        <v>140</v>
      </c>
      <c r="E1849" s="2">
        <v>44210.415486111109</v>
      </c>
      <c r="F1849" s="2">
        <v>44210.419363425928</v>
      </c>
      <c r="G1849" s="3">
        <v>3.8773148189648055E-3</v>
      </c>
      <c r="H1849" s="3">
        <v>337.04057883908251</v>
      </c>
      <c r="I1849" s="3">
        <v>5.6173429806513751</v>
      </c>
      <c r="J1849" s="3">
        <v>9.362238301085625E-2</v>
      </c>
    </row>
    <row r="1850" spans="1:11" x14ac:dyDescent="0.35">
      <c r="A1850">
        <v>1849</v>
      </c>
      <c r="B1850" t="s">
        <v>11</v>
      </c>
      <c r="C1850" t="s">
        <v>11</v>
      </c>
      <c r="D1850" t="s">
        <v>140</v>
      </c>
      <c r="E1850" s="2">
        <v>44210.41946759259</v>
      </c>
      <c r="F1850" s="2">
        <v>44210.420914351853</v>
      </c>
      <c r="G1850" s="3">
        <v>1.4467592627624981E-3</v>
      </c>
      <c r="H1850" s="3">
        <v>125.76141018450087</v>
      </c>
      <c r="I1850" s="3">
        <v>2.0960235030750147</v>
      </c>
      <c r="J1850" s="3">
        <v>3.4933725051250246E-2</v>
      </c>
    </row>
    <row r="1851" spans="1:11" x14ac:dyDescent="0.35">
      <c r="A1851">
        <v>1850</v>
      </c>
      <c r="B1851" t="s">
        <v>2</v>
      </c>
      <c r="C1851" t="s">
        <v>96</v>
      </c>
      <c r="D1851" t="s">
        <v>140</v>
      </c>
      <c r="E1851" s="2">
        <v>44210.421087962961</v>
      </c>
      <c r="F1851" s="2">
        <v>44210.431446759256</v>
      </c>
      <c r="G1851" s="3">
        <v>1.0358796294895001E-2</v>
      </c>
      <c r="H1851" s="3">
        <v>900.45169461882824</v>
      </c>
      <c r="I1851" s="3">
        <v>15.007528243647137</v>
      </c>
      <c r="J1851" s="3">
        <v>0.25012547072745228</v>
      </c>
    </row>
    <row r="1852" spans="1:11" x14ac:dyDescent="0.35">
      <c r="A1852">
        <v>1851</v>
      </c>
      <c r="B1852" t="s">
        <v>2</v>
      </c>
      <c r="C1852" t="s">
        <v>96</v>
      </c>
      <c r="D1852" t="s">
        <v>140</v>
      </c>
      <c r="E1852" s="2">
        <v>44210.431620370371</v>
      </c>
      <c r="F1852" s="2">
        <v>44210.434421296297</v>
      </c>
      <c r="G1852" s="3">
        <v>2.8009259258396924E-3</v>
      </c>
      <c r="H1852" s="3">
        <v>243.47408952014015</v>
      </c>
      <c r="I1852" s="3">
        <v>4.057901492002336</v>
      </c>
      <c r="J1852" s="3">
        <v>6.7631691533372271E-2</v>
      </c>
    </row>
    <row r="1853" spans="1:11" x14ac:dyDescent="0.35">
      <c r="A1853">
        <v>1852</v>
      </c>
      <c r="B1853" t="s">
        <v>2</v>
      </c>
      <c r="C1853" t="s">
        <v>132</v>
      </c>
      <c r="D1853" t="s">
        <v>140</v>
      </c>
      <c r="E1853" s="2">
        <v>44210.434502314813</v>
      </c>
      <c r="F1853" s="2">
        <v>44210.453668981485</v>
      </c>
      <c r="G1853" s="3">
        <v>1.916666667239042E-2</v>
      </c>
      <c r="H1853" s="3">
        <v>1666.0871585874843</v>
      </c>
      <c r="I1853" s="3">
        <v>27.768119309791405</v>
      </c>
      <c r="J1853" s="3">
        <v>0.46280198849652343</v>
      </c>
      <c r="K1853" t="s">
        <v>64</v>
      </c>
    </row>
    <row r="1854" spans="1:11" x14ac:dyDescent="0.35">
      <c r="A1854">
        <v>1853</v>
      </c>
      <c r="B1854" t="s">
        <v>2</v>
      </c>
      <c r="C1854" t="s">
        <v>96</v>
      </c>
      <c r="D1854" t="s">
        <v>140</v>
      </c>
      <c r="E1854" s="2">
        <v>44210.454050925924</v>
      </c>
      <c r="F1854" s="2">
        <v>44210.479618055557</v>
      </c>
      <c r="G1854" s="3">
        <v>2.5567129632690921E-2</v>
      </c>
      <c r="H1854" s="3">
        <v>2222.455635665066</v>
      </c>
      <c r="I1854" s="3">
        <v>37.040927261084434</v>
      </c>
      <c r="J1854" s="3">
        <v>0.61734878768474055</v>
      </c>
    </row>
    <row r="1855" spans="1:11" x14ac:dyDescent="0.35">
      <c r="A1855">
        <v>1854</v>
      </c>
      <c r="B1855" t="s">
        <v>11</v>
      </c>
      <c r="C1855" t="s">
        <v>11</v>
      </c>
      <c r="D1855" t="s">
        <v>140</v>
      </c>
      <c r="E1855" s="2">
        <v>44210.479722222219</v>
      </c>
      <c r="F1855" s="2">
        <v>44210.48636574074</v>
      </c>
      <c r="G1855" s="3">
        <v>6.6435185217414983E-3</v>
      </c>
      <c r="H1855" s="3">
        <v>577.49639444901754</v>
      </c>
      <c r="I1855" s="3">
        <v>9.6249399074836255</v>
      </c>
      <c r="J1855" s="3">
        <v>0.1604156651247271</v>
      </c>
    </row>
    <row r="1856" spans="1:11" x14ac:dyDescent="0.35">
      <c r="A1856">
        <v>1855</v>
      </c>
      <c r="B1856" t="s">
        <v>16</v>
      </c>
      <c r="C1856" t="s">
        <v>16</v>
      </c>
      <c r="D1856" t="s">
        <v>140</v>
      </c>
      <c r="E1856" s="2">
        <v>44210.486481481479</v>
      </c>
      <c r="F1856" s="2">
        <v>44210.518287037034</v>
      </c>
      <c r="G1856" s="3">
        <v>3.1805555554456078E-2</v>
      </c>
      <c r="H1856" s="3">
        <v>2764.7388347058481</v>
      </c>
      <c r="I1856" s="3">
        <v>46.078980578430802</v>
      </c>
      <c r="J1856" s="3">
        <v>0.76798300964051336</v>
      </c>
    </row>
    <row r="1857" spans="1:11" x14ac:dyDescent="0.35">
      <c r="A1857">
        <v>1856</v>
      </c>
      <c r="B1857" t="s">
        <v>11</v>
      </c>
      <c r="C1857" t="s">
        <v>11</v>
      </c>
      <c r="D1857" t="s">
        <v>140</v>
      </c>
      <c r="E1857" s="2">
        <v>44210.518483796295</v>
      </c>
      <c r="F1857" s="2">
        <v>44210.520868055559</v>
      </c>
      <c r="G1857" s="3">
        <v>2.384259263635613E-3</v>
      </c>
      <c r="H1857" s="3">
        <v>207.25480386262282</v>
      </c>
      <c r="I1857" s="3">
        <v>3.4542467310437135</v>
      </c>
      <c r="J1857" s="3">
        <v>5.757077885072856E-2</v>
      </c>
    </row>
    <row r="1858" spans="1:11" x14ac:dyDescent="0.35">
      <c r="A1858">
        <v>1857</v>
      </c>
      <c r="B1858" t="s">
        <v>2</v>
      </c>
      <c r="C1858" t="s">
        <v>132</v>
      </c>
      <c r="D1858" t="s">
        <v>140</v>
      </c>
      <c r="E1858" s="2">
        <v>44210.520983796298</v>
      </c>
      <c r="F1858" s="2">
        <v>44210.526539351849</v>
      </c>
      <c r="G1858" s="3">
        <v>5.5555555518367328E-3</v>
      </c>
      <c r="H1858" s="3">
        <v>482.9238136158495</v>
      </c>
      <c r="I1858" s="3">
        <v>8.0487302269308252</v>
      </c>
      <c r="J1858" s="3">
        <v>0.13414550378218043</v>
      </c>
      <c r="K1858" t="s">
        <v>40</v>
      </c>
    </row>
    <row r="1859" spans="1:11" x14ac:dyDescent="0.35">
      <c r="A1859">
        <v>1858</v>
      </c>
      <c r="B1859" t="s">
        <v>2</v>
      </c>
      <c r="C1859" t="s">
        <v>96</v>
      </c>
      <c r="D1859" t="s">
        <v>140</v>
      </c>
      <c r="E1859" s="2">
        <v>44210.527083333334</v>
      </c>
      <c r="F1859" s="2">
        <v>44210.57402777778</v>
      </c>
      <c r="G1859" s="3">
        <v>4.6944444446125999E-2</v>
      </c>
      <c r="H1859" s="3">
        <v>4080.7062279316756</v>
      </c>
      <c r="I1859" s="3">
        <v>68.011770465527931</v>
      </c>
      <c r="J1859" s="3">
        <v>1.1335295077587988</v>
      </c>
    </row>
    <row r="1860" spans="1:11" x14ac:dyDescent="0.35">
      <c r="A1860">
        <v>1859</v>
      </c>
      <c r="B1860" t="s">
        <v>2</v>
      </c>
      <c r="C1860" t="s">
        <v>96</v>
      </c>
      <c r="D1860" t="s">
        <v>140</v>
      </c>
      <c r="E1860" s="2">
        <v>44210.574201388888</v>
      </c>
      <c r="F1860" s="2">
        <v>44210.588912037034</v>
      </c>
      <c r="G1860" s="3">
        <v>1.4710648145410232E-2</v>
      </c>
      <c r="H1860" s="3">
        <v>1278.7420154216127</v>
      </c>
      <c r="I1860" s="3">
        <v>21.312366923693546</v>
      </c>
      <c r="J1860" s="3">
        <v>0.35520611539489244</v>
      </c>
    </row>
    <row r="1861" spans="1:11" x14ac:dyDescent="0.35">
      <c r="A1861">
        <v>1860</v>
      </c>
      <c r="B1861" t="s">
        <v>16</v>
      </c>
      <c r="C1861" t="s">
        <v>16</v>
      </c>
      <c r="D1861" t="s">
        <v>140</v>
      </c>
      <c r="E1861" s="2">
        <v>44210.589085648149</v>
      </c>
      <c r="F1861" s="2">
        <v>44210.600914351853</v>
      </c>
      <c r="G1861" s="3">
        <v>1.1828703703940846E-2</v>
      </c>
      <c r="H1861" s="3">
        <v>1028.2252871993085</v>
      </c>
      <c r="I1861" s="3">
        <v>17.137088119988473</v>
      </c>
      <c r="J1861" s="3">
        <v>0.28561813533314123</v>
      </c>
    </row>
    <row r="1862" spans="1:11" x14ac:dyDescent="0.35">
      <c r="A1862">
        <v>1861</v>
      </c>
      <c r="B1862" t="s">
        <v>11</v>
      </c>
      <c r="C1862" t="s">
        <v>11</v>
      </c>
      <c r="D1862" t="s">
        <v>140</v>
      </c>
      <c r="E1862" s="2">
        <v>44210.601087962961</v>
      </c>
      <c r="F1862" s="2">
        <v>44210.607303240744</v>
      </c>
      <c r="G1862" s="3">
        <v>6.2152777827577665E-3</v>
      </c>
      <c r="H1862" s="3">
        <v>540.2710172772745</v>
      </c>
      <c r="I1862" s="3">
        <v>9.0045169546212414</v>
      </c>
      <c r="J1862" s="3">
        <v>0.15007528257702069</v>
      </c>
    </row>
    <row r="1863" spans="1:11" x14ac:dyDescent="0.35">
      <c r="A1863">
        <v>1862</v>
      </c>
      <c r="B1863" t="s">
        <v>2</v>
      </c>
      <c r="C1863" t="s">
        <v>96</v>
      </c>
      <c r="D1863" t="s">
        <v>140</v>
      </c>
      <c r="E1863" s="2">
        <v>44210.607581018521</v>
      </c>
      <c r="F1863" s="2">
        <v>44210.619409722225</v>
      </c>
      <c r="G1863" s="3">
        <v>1.1828703703940846E-2</v>
      </c>
      <c r="H1863" s="3">
        <v>1028.2252871993085</v>
      </c>
      <c r="I1863" s="3">
        <v>17.137088119988473</v>
      </c>
      <c r="J1863" s="3">
        <v>0.28561813533314123</v>
      </c>
    </row>
    <row r="1864" spans="1:11" x14ac:dyDescent="0.35">
      <c r="A1864">
        <v>1863</v>
      </c>
      <c r="B1864" t="s">
        <v>2</v>
      </c>
      <c r="C1864" t="s">
        <v>96</v>
      </c>
      <c r="D1864" t="s">
        <v>140</v>
      </c>
      <c r="E1864" s="2">
        <v>44210.619618055556</v>
      </c>
      <c r="F1864" s="2">
        <v>44210.632650462961</v>
      </c>
      <c r="G1864" s="3">
        <v>1.3032407405262347E-2</v>
      </c>
      <c r="H1864" s="3">
        <v>1132.8587800123737</v>
      </c>
      <c r="I1864" s="3">
        <v>18.880979666872896</v>
      </c>
      <c r="J1864" s="3">
        <v>0.31468299444788161</v>
      </c>
    </row>
    <row r="1865" spans="1:11" x14ac:dyDescent="0.35">
      <c r="A1865">
        <v>1864</v>
      </c>
      <c r="B1865" t="s">
        <v>2</v>
      </c>
      <c r="C1865" t="s">
        <v>96</v>
      </c>
      <c r="D1865" t="s">
        <v>140</v>
      </c>
      <c r="E1865" s="2">
        <v>44210.632743055554</v>
      </c>
      <c r="F1865" s="2">
        <v>44210.635405092595</v>
      </c>
      <c r="G1865" s="3">
        <v>2.6620370408636518E-3</v>
      </c>
      <c r="H1865" s="3">
        <v>231.40099451179168</v>
      </c>
      <c r="I1865" s="3">
        <v>3.8566832418631947</v>
      </c>
      <c r="J1865" s="3">
        <v>6.4278054031053244E-2</v>
      </c>
    </row>
    <row r="1866" spans="1:11" x14ac:dyDescent="0.35">
      <c r="A1866">
        <v>1865</v>
      </c>
      <c r="B1866" t="s">
        <v>2</v>
      </c>
      <c r="C1866" t="s">
        <v>96</v>
      </c>
      <c r="D1866" t="s">
        <v>140</v>
      </c>
      <c r="E1866" s="2">
        <v>44210.635497685187</v>
      </c>
      <c r="F1866" s="2">
        <v>44210.640474537038</v>
      </c>
      <c r="G1866" s="3">
        <v>4.9768518510973081E-3</v>
      </c>
      <c r="H1866" s="3">
        <v>432.61924992153234</v>
      </c>
      <c r="I1866" s="3">
        <v>7.2103208320255394</v>
      </c>
      <c r="J1866" s="3">
        <v>0.12017201386709232</v>
      </c>
    </row>
    <row r="1867" spans="1:11" x14ac:dyDescent="0.35">
      <c r="A1867">
        <v>1866</v>
      </c>
      <c r="B1867" t="s">
        <v>11</v>
      </c>
      <c r="C1867" t="s">
        <v>11</v>
      </c>
      <c r="D1867" t="s">
        <v>140</v>
      </c>
      <c r="E1867" s="2">
        <v>44210.659756944442</v>
      </c>
      <c r="F1867" s="2">
        <v>44210.6643287037</v>
      </c>
      <c r="G1867" s="3">
        <v>4.5717592583969235E-3</v>
      </c>
      <c r="H1867" s="3">
        <v>397.40605514576873</v>
      </c>
      <c r="I1867" s="3">
        <v>6.6234342524294787</v>
      </c>
      <c r="J1867" s="3">
        <v>0.11039057087382464</v>
      </c>
    </row>
    <row r="1868" spans="1:11" x14ac:dyDescent="0.35">
      <c r="A1868">
        <v>1867</v>
      </c>
      <c r="B1868" t="s">
        <v>2</v>
      </c>
      <c r="C1868" t="s">
        <v>96</v>
      </c>
      <c r="D1868" t="s">
        <v>140</v>
      </c>
      <c r="E1868" s="2">
        <v>44210.664525462962</v>
      </c>
      <c r="F1868" s="2">
        <v>44210.686886574076</v>
      </c>
      <c r="G1868" s="3">
        <v>2.2361111114150845E-2</v>
      </c>
      <c r="H1868" s="3">
        <v>1943.7683513691622</v>
      </c>
      <c r="I1868" s="3">
        <v>32.396139189486036</v>
      </c>
      <c r="J1868" s="3">
        <v>0.53993565315810055</v>
      </c>
    </row>
    <row r="1869" spans="1:11" x14ac:dyDescent="0.35">
      <c r="A1869">
        <v>1868</v>
      </c>
      <c r="B1869" t="s">
        <v>2</v>
      </c>
      <c r="C1869" t="s">
        <v>132</v>
      </c>
      <c r="D1869" t="s">
        <v>140</v>
      </c>
      <c r="E1869" s="2">
        <v>44210.687048611115</v>
      </c>
      <c r="F1869" s="2">
        <v>44210.68787037037</v>
      </c>
      <c r="G1869" s="3">
        <v>8.2175925490446389E-4</v>
      </c>
      <c r="H1869" s="3">
        <v>71.432480433280929</v>
      </c>
      <c r="I1869" s="3">
        <v>1.1905413405546821</v>
      </c>
      <c r="J1869" s="3">
        <v>1.9842355675911368E-2</v>
      </c>
      <c r="K1869" t="s">
        <v>41</v>
      </c>
    </row>
    <row r="1870" spans="1:11" x14ac:dyDescent="0.35">
      <c r="A1870">
        <v>1869</v>
      </c>
      <c r="B1870" t="s">
        <v>2</v>
      </c>
      <c r="C1870" t="s">
        <v>96</v>
      </c>
      <c r="D1870" t="s">
        <v>140</v>
      </c>
      <c r="E1870" s="2">
        <v>44210.688020833331</v>
      </c>
      <c r="F1870" s="2">
        <v>44210.690810185188</v>
      </c>
      <c r="G1870" s="3">
        <v>2.7893518563359976E-3</v>
      </c>
      <c r="H1870" s="3">
        <v>242.46799863838643</v>
      </c>
      <c r="I1870" s="3">
        <v>4.0411333106397738</v>
      </c>
      <c r="J1870" s="3">
        <v>6.7352221843996224E-2</v>
      </c>
    </row>
    <row r="1871" spans="1:11" x14ac:dyDescent="0.35">
      <c r="A1871">
        <v>1870</v>
      </c>
      <c r="B1871" t="s">
        <v>2</v>
      </c>
      <c r="C1871" t="s">
        <v>132</v>
      </c>
      <c r="D1871" t="s">
        <v>140</v>
      </c>
      <c r="E1871" s="2">
        <v>44210.690937500003</v>
      </c>
      <c r="F1871" s="2">
        <v>44210.695104166669</v>
      </c>
      <c r="G1871" s="3">
        <v>4.166666665696539E-3</v>
      </c>
      <c r="H1871" s="3">
        <v>362.19286037000512</v>
      </c>
      <c r="I1871" s="3">
        <v>6.0365476728334189</v>
      </c>
      <c r="J1871" s="3">
        <v>0.10060912788055698</v>
      </c>
      <c r="K1871" t="s">
        <v>41</v>
      </c>
    </row>
    <row r="1872" spans="1:11" x14ac:dyDescent="0.35">
      <c r="A1872">
        <v>1871</v>
      </c>
      <c r="B1872" t="s">
        <v>2</v>
      </c>
      <c r="C1872" t="s">
        <v>96</v>
      </c>
      <c r="D1872" t="s">
        <v>140</v>
      </c>
      <c r="E1872" s="2">
        <v>44210.695277777777</v>
      </c>
      <c r="F1872" s="2">
        <v>44210.710069444445</v>
      </c>
      <c r="G1872" s="3">
        <v>1.4791666668315884E-2</v>
      </c>
      <c r="H1872" s="3">
        <v>1285.7846547562485</v>
      </c>
      <c r="I1872" s="3">
        <v>21.429744245937474</v>
      </c>
      <c r="J1872" s="3">
        <v>0.35716240409895789</v>
      </c>
    </row>
    <row r="1873" spans="1:10" x14ac:dyDescent="0.35">
      <c r="A1873">
        <v>1872</v>
      </c>
      <c r="B1873" t="s">
        <v>2</v>
      </c>
      <c r="C1873" t="s">
        <v>96</v>
      </c>
      <c r="D1873" t="s">
        <v>140</v>
      </c>
      <c r="E1873" s="2">
        <v>44210.710324074076</v>
      </c>
      <c r="F1873" s="2">
        <v>44210.717175925929</v>
      </c>
      <c r="G1873" s="3">
        <v>6.8518518528435379E-3</v>
      </c>
      <c r="H1873" s="3">
        <v>595.60603727777618</v>
      </c>
      <c r="I1873" s="3">
        <v>9.9267672879629369</v>
      </c>
      <c r="J1873" s="3">
        <v>0.16544612146604895</v>
      </c>
    </row>
    <row r="1874" spans="1:10" x14ac:dyDescent="0.35">
      <c r="A1874">
        <v>1873</v>
      </c>
      <c r="B1874" t="s">
        <v>11</v>
      </c>
      <c r="C1874" t="s">
        <v>11</v>
      </c>
      <c r="D1874" t="s">
        <v>140</v>
      </c>
      <c r="E1874" s="2">
        <v>44211.335127314815</v>
      </c>
      <c r="F1874" s="2">
        <v>44211.345231481479</v>
      </c>
      <c r="G1874" s="3">
        <v>1.0104166663950309E-2</v>
      </c>
      <c r="H1874" s="3">
        <v>878.31768636563879</v>
      </c>
      <c r="I1874" s="3">
        <v>14.63862810609398</v>
      </c>
      <c r="J1874" s="3">
        <v>0.24397713510156635</v>
      </c>
    </row>
    <row r="1875" spans="1:10" x14ac:dyDescent="0.35">
      <c r="A1875">
        <v>1874</v>
      </c>
      <c r="B1875" t="s">
        <v>16</v>
      </c>
      <c r="C1875" t="s">
        <v>16</v>
      </c>
      <c r="D1875" t="s">
        <v>140</v>
      </c>
      <c r="E1875" s="2">
        <v>44211.345324074071</v>
      </c>
      <c r="F1875" s="2">
        <v>44211.345972222225</v>
      </c>
      <c r="G1875" s="3">
        <v>6.4814815414138138E-4</v>
      </c>
      <c r="H1875" s="3">
        <v>56.341112147199354</v>
      </c>
      <c r="I1875" s="3">
        <v>0.93901853578665595</v>
      </c>
      <c r="J1875" s="3">
        <v>1.56503089297776E-2</v>
      </c>
    </row>
    <row r="1876" spans="1:10" x14ac:dyDescent="0.35">
      <c r="A1876">
        <v>1875</v>
      </c>
      <c r="B1876" t="s">
        <v>11</v>
      </c>
      <c r="C1876" t="s">
        <v>11</v>
      </c>
      <c r="D1876" t="s">
        <v>140</v>
      </c>
      <c r="E1876" s="2">
        <v>44211.346053240741</v>
      </c>
      <c r="F1876" s="2">
        <v>44211.349629629629</v>
      </c>
      <c r="G1876" s="3">
        <v>3.5763888881774619E-3</v>
      </c>
      <c r="H1876" s="3">
        <v>310.88220516146225</v>
      </c>
      <c r="I1876" s="3">
        <v>5.181370086024371</v>
      </c>
      <c r="J1876" s="3">
        <v>8.635616810040618E-2</v>
      </c>
    </row>
    <row r="1877" spans="1:10" x14ac:dyDescent="0.35">
      <c r="A1877">
        <v>1876</v>
      </c>
      <c r="B1877" t="s">
        <v>2</v>
      </c>
      <c r="C1877" t="s">
        <v>96</v>
      </c>
      <c r="D1877" t="s">
        <v>140</v>
      </c>
      <c r="E1877" s="2">
        <v>44211.349756944444</v>
      </c>
      <c r="F1877" s="2">
        <v>44211.375509259262</v>
      </c>
      <c r="G1877" s="3">
        <v>2.5752314817509614E-2</v>
      </c>
      <c r="H1877" s="3">
        <v>2238.5530960978454</v>
      </c>
      <c r="I1877" s="3">
        <v>37.309218268297421</v>
      </c>
      <c r="J1877" s="3">
        <v>0.62182030447162373</v>
      </c>
    </row>
    <row r="1878" spans="1:10" x14ac:dyDescent="0.35">
      <c r="A1878">
        <v>1877</v>
      </c>
      <c r="B1878" t="s">
        <v>16</v>
      </c>
      <c r="C1878" t="s">
        <v>16</v>
      </c>
      <c r="D1878" t="s">
        <v>140</v>
      </c>
      <c r="E1878" s="2">
        <v>44211.375636574077</v>
      </c>
      <c r="F1878" s="2">
        <v>44211.379305555558</v>
      </c>
      <c r="G1878" s="3">
        <v>3.6689814805868082E-3</v>
      </c>
      <c r="H1878" s="3">
        <v>318.93093537785188</v>
      </c>
      <c r="I1878" s="3">
        <v>5.3155155896308646</v>
      </c>
      <c r="J1878" s="3">
        <v>8.8591926493847742E-2</v>
      </c>
    </row>
    <row r="1879" spans="1:10" x14ac:dyDescent="0.35">
      <c r="A1879">
        <v>1878</v>
      </c>
      <c r="B1879" t="s">
        <v>2</v>
      </c>
      <c r="C1879" t="s">
        <v>96</v>
      </c>
      <c r="D1879" t="s">
        <v>140</v>
      </c>
      <c r="E1879" s="2">
        <v>44211.379513888889</v>
      </c>
      <c r="F1879" s="2">
        <v>44211.384884259256</v>
      </c>
      <c r="G1879" s="3">
        <v>5.3703703670180403E-3</v>
      </c>
      <c r="H1879" s="3">
        <v>466.82635318307024</v>
      </c>
      <c r="I1879" s="3">
        <v>7.7804392197178371</v>
      </c>
      <c r="J1879" s="3">
        <v>0.12967398699529728</v>
      </c>
    </row>
    <row r="1880" spans="1:10" x14ac:dyDescent="0.35">
      <c r="A1880">
        <v>1879</v>
      </c>
      <c r="B1880" t="s">
        <v>16</v>
      </c>
      <c r="C1880" t="s">
        <v>16</v>
      </c>
      <c r="D1880" t="s">
        <v>140</v>
      </c>
      <c r="E1880" s="2">
        <v>44211.385011574072</v>
      </c>
      <c r="F1880" s="2">
        <v>44211.386469907404</v>
      </c>
      <c r="G1880" s="3">
        <v>1.4583333322661929E-3</v>
      </c>
      <c r="H1880" s="3">
        <v>126.7675010662546</v>
      </c>
      <c r="I1880" s="3">
        <v>2.1127916844375765</v>
      </c>
      <c r="J1880" s="3">
        <v>3.5213194740626272E-2</v>
      </c>
    </row>
    <row r="1881" spans="1:10" x14ac:dyDescent="0.35">
      <c r="A1881">
        <v>1880</v>
      </c>
      <c r="B1881" t="s">
        <v>2</v>
      </c>
      <c r="C1881" t="s">
        <v>96</v>
      </c>
      <c r="D1881" t="s">
        <v>140</v>
      </c>
      <c r="E1881" s="2">
        <v>44211.386608796296</v>
      </c>
      <c r="F1881" s="2">
        <v>44211.391655092593</v>
      </c>
      <c r="G1881" s="3">
        <v>5.0462962972233072E-3</v>
      </c>
      <c r="H1881" s="3">
        <v>438.65579774194254</v>
      </c>
      <c r="I1881" s="3">
        <v>7.3109299623657087</v>
      </c>
      <c r="J1881" s="3">
        <v>0.12184883270609514</v>
      </c>
    </row>
    <row r="1882" spans="1:10" x14ac:dyDescent="0.35">
      <c r="A1882">
        <v>1881</v>
      </c>
      <c r="B1882" t="s">
        <v>11</v>
      </c>
      <c r="C1882" t="s">
        <v>11</v>
      </c>
      <c r="D1882" t="s">
        <v>140</v>
      </c>
      <c r="E1882" s="2">
        <v>44211.391724537039</v>
      </c>
      <c r="F1882" s="2">
        <v>44211.39271990741</v>
      </c>
      <c r="G1882" s="3">
        <v>9.9537037021946162E-4</v>
      </c>
      <c r="H1882" s="3">
        <v>86.523849984306466</v>
      </c>
      <c r="I1882" s="3">
        <v>1.4420641664051077</v>
      </c>
      <c r="J1882" s="3">
        <v>2.4034402773418461E-2</v>
      </c>
    </row>
    <row r="1883" spans="1:10" x14ac:dyDescent="0.35">
      <c r="A1883">
        <v>1882</v>
      </c>
      <c r="B1883" t="s">
        <v>2</v>
      </c>
      <c r="C1883" t="s">
        <v>96</v>
      </c>
      <c r="D1883" t="s">
        <v>140</v>
      </c>
      <c r="E1883" s="2">
        <v>44211.392812500002</v>
      </c>
      <c r="F1883" s="2">
        <v>44211.403819444444</v>
      </c>
      <c r="G1883" s="3">
        <v>1.1006944441760425E-2</v>
      </c>
      <c r="H1883" s="3">
        <v>956.79280613355559</v>
      </c>
      <c r="I1883" s="3">
        <v>15.946546768892594</v>
      </c>
      <c r="J1883" s="3">
        <v>0.26577577948154324</v>
      </c>
    </row>
    <row r="1884" spans="1:10" x14ac:dyDescent="0.35">
      <c r="A1884">
        <v>1883</v>
      </c>
      <c r="B1884" t="s">
        <v>2</v>
      </c>
      <c r="C1884" t="s">
        <v>96</v>
      </c>
      <c r="D1884" t="s">
        <v>140</v>
      </c>
      <c r="E1884" s="2">
        <v>44211.404097222221</v>
      </c>
      <c r="F1884" s="2">
        <v>44211.406053240738</v>
      </c>
      <c r="G1884" s="3">
        <v>1.9560185173759237E-3</v>
      </c>
      <c r="H1884" s="3">
        <v>170.02942605840784</v>
      </c>
      <c r="I1884" s="3">
        <v>2.8338237676401308</v>
      </c>
      <c r="J1884" s="3">
        <v>4.7230396127335511E-2</v>
      </c>
    </row>
    <row r="1885" spans="1:10" x14ac:dyDescent="0.35">
      <c r="A1885">
        <v>1884</v>
      </c>
      <c r="B1885" t="s">
        <v>2</v>
      </c>
      <c r="C1885" t="s">
        <v>96</v>
      </c>
      <c r="D1885" t="s">
        <v>140</v>
      </c>
      <c r="E1885" s="2">
        <v>44211.40625</v>
      </c>
      <c r="F1885" s="2">
        <v>44211.419317129628</v>
      </c>
      <c r="G1885" s="3">
        <v>1.3067129628325347E-2</v>
      </c>
      <c r="H1885" s="3">
        <v>1135.8770539225789</v>
      </c>
      <c r="I1885" s="3">
        <v>18.93128423204298</v>
      </c>
      <c r="J1885" s="3">
        <v>0.31552140386738298</v>
      </c>
    </row>
    <row r="1886" spans="1:10" x14ac:dyDescent="0.35">
      <c r="A1886">
        <v>1885</v>
      </c>
      <c r="B1886" t="s">
        <v>2</v>
      </c>
      <c r="C1886" t="s">
        <v>96</v>
      </c>
      <c r="D1886" t="s">
        <v>140</v>
      </c>
      <c r="E1886" s="2">
        <v>44211.419537037036</v>
      </c>
      <c r="F1886" s="2">
        <v>44211.424988425926</v>
      </c>
      <c r="G1886" s="3">
        <v>5.4513888899236917E-3</v>
      </c>
      <c r="H1886" s="3">
        <v>473.86899251770615</v>
      </c>
      <c r="I1886" s="3">
        <v>7.8978165419617694</v>
      </c>
      <c r="J1886" s="3">
        <v>0.13163027569936284</v>
      </c>
    </row>
    <row r="1887" spans="1:10" x14ac:dyDescent="0.35">
      <c r="A1887">
        <v>1886</v>
      </c>
      <c r="B1887" t="s">
        <v>16</v>
      </c>
      <c r="C1887" t="s">
        <v>16</v>
      </c>
      <c r="D1887" t="s">
        <v>140</v>
      </c>
      <c r="E1887" s="2">
        <v>44211.425104166665</v>
      </c>
      <c r="F1887" s="2">
        <v>44211.427152777775</v>
      </c>
      <c r="G1887" s="3">
        <v>2.0486111097852699E-3</v>
      </c>
      <c r="H1887" s="3">
        <v>178.07815627479744</v>
      </c>
      <c r="I1887" s="3">
        <v>2.9679692712466239</v>
      </c>
      <c r="J1887" s="3">
        <v>4.9466154520777066E-2</v>
      </c>
    </row>
    <row r="1888" spans="1:10" x14ac:dyDescent="0.35">
      <c r="A1888">
        <v>1887</v>
      </c>
      <c r="B1888" t="s">
        <v>2</v>
      </c>
      <c r="C1888" t="s">
        <v>96</v>
      </c>
      <c r="D1888" t="s">
        <v>140</v>
      </c>
      <c r="E1888" s="2">
        <v>44211.427337962959</v>
      </c>
      <c r="F1888" s="2">
        <v>44211.435185185182</v>
      </c>
      <c r="G1888" s="3">
        <v>7.8472222230629995E-3</v>
      </c>
      <c r="H1888" s="3">
        <v>682.12988726208266</v>
      </c>
      <c r="I1888" s="3">
        <v>11.368831454368044</v>
      </c>
      <c r="J1888" s="3">
        <v>0.1894805242394674</v>
      </c>
    </row>
    <row r="1889" spans="1:11" x14ac:dyDescent="0.35">
      <c r="A1889">
        <v>1888</v>
      </c>
      <c r="B1889" t="s">
        <v>2</v>
      </c>
      <c r="C1889" t="s">
        <v>96</v>
      </c>
      <c r="D1889" t="s">
        <v>140</v>
      </c>
      <c r="E1889" s="2">
        <v>44211.435300925928</v>
      </c>
      <c r="F1889" s="2">
        <v>44211.453148148146</v>
      </c>
      <c r="G1889" s="3">
        <v>1.784722221782431E-2</v>
      </c>
      <c r="H1889" s="3">
        <v>1551.3927518971061</v>
      </c>
      <c r="I1889" s="3">
        <v>25.856545864951769</v>
      </c>
      <c r="J1889" s="3">
        <v>0.4309424310825295</v>
      </c>
    </row>
    <row r="1890" spans="1:11" x14ac:dyDescent="0.35">
      <c r="A1890">
        <v>1889</v>
      </c>
      <c r="B1890" t="s">
        <v>2</v>
      </c>
      <c r="C1890" t="s">
        <v>96</v>
      </c>
      <c r="D1890" t="s">
        <v>140</v>
      </c>
      <c r="E1890" s="2">
        <v>44211.453263888892</v>
      </c>
      <c r="F1890" s="2">
        <v>44211.458460648151</v>
      </c>
      <c r="G1890" s="3">
        <v>5.1967592589790002E-3</v>
      </c>
      <c r="H1890" s="3">
        <v>451.7349842645167</v>
      </c>
      <c r="I1890" s="3">
        <v>7.5289164044086112</v>
      </c>
      <c r="J1890" s="3">
        <v>0.12548194007347685</v>
      </c>
    </row>
    <row r="1891" spans="1:11" x14ac:dyDescent="0.35">
      <c r="A1891">
        <v>1890</v>
      </c>
      <c r="B1891" t="s">
        <v>2</v>
      </c>
      <c r="C1891" t="s">
        <v>132</v>
      </c>
      <c r="D1891" t="s">
        <v>140</v>
      </c>
      <c r="E1891" s="2">
        <v>44211.458657407406</v>
      </c>
      <c r="F1891" s="2">
        <v>44211.46261574074</v>
      </c>
      <c r="G1891" s="3">
        <v>3.9583333345944993E-3</v>
      </c>
      <c r="H1891" s="3">
        <v>344.08321754124643</v>
      </c>
      <c r="I1891" s="3">
        <v>5.7347202923541074</v>
      </c>
      <c r="J1891" s="3">
        <v>9.5578671539235119E-2</v>
      </c>
      <c r="K1891" t="s">
        <v>40</v>
      </c>
    </row>
    <row r="1892" spans="1:11" x14ac:dyDescent="0.35">
      <c r="A1892">
        <v>1891</v>
      </c>
      <c r="B1892" t="s">
        <v>11</v>
      </c>
      <c r="C1892" t="s">
        <v>11</v>
      </c>
      <c r="D1892" t="s">
        <v>140</v>
      </c>
      <c r="E1892" s="2">
        <v>44211.462800925925</v>
      </c>
      <c r="F1892" s="2">
        <v>44211.465983796297</v>
      </c>
      <c r="G1892" s="3">
        <v>3.1828703722567298E-3</v>
      </c>
      <c r="H1892" s="3">
        <v>276.67510189992436</v>
      </c>
      <c r="I1892" s="3">
        <v>4.6112516983320724</v>
      </c>
      <c r="J1892" s="3">
        <v>7.6854194972201209E-2</v>
      </c>
    </row>
    <row r="1893" spans="1:11" x14ac:dyDescent="0.35">
      <c r="A1893">
        <v>1892</v>
      </c>
      <c r="B1893" t="s">
        <v>2</v>
      </c>
      <c r="C1893" t="s">
        <v>96</v>
      </c>
      <c r="D1893" t="s">
        <v>140</v>
      </c>
      <c r="E1893" s="2">
        <v>44211.466180555559</v>
      </c>
      <c r="F1893" s="2">
        <v>44211.467731481483</v>
      </c>
      <c r="G1893" s="3">
        <v>1.5509259246755391E-3</v>
      </c>
      <c r="H1893" s="3">
        <v>134.81623128264422</v>
      </c>
      <c r="I1893" s="3">
        <v>2.2469371880440705</v>
      </c>
      <c r="J1893" s="3">
        <v>3.744895313406784E-2</v>
      </c>
    </row>
    <row r="1894" spans="1:11" x14ac:dyDescent="0.35">
      <c r="A1894">
        <v>1893</v>
      </c>
      <c r="B1894" t="s">
        <v>11</v>
      </c>
      <c r="C1894" t="s">
        <v>11</v>
      </c>
      <c r="D1894" t="s">
        <v>140</v>
      </c>
      <c r="E1894" s="2">
        <v>44211.467939814815</v>
      </c>
      <c r="F1894" s="2">
        <v>44211.482673611114</v>
      </c>
      <c r="G1894" s="3">
        <v>1.4733796298969537E-2</v>
      </c>
      <c r="H1894" s="3">
        <v>1280.754198450064</v>
      </c>
      <c r="I1894" s="3">
        <v>21.345903307501068</v>
      </c>
      <c r="J1894" s="3">
        <v>0.35576505512501783</v>
      </c>
    </row>
    <row r="1895" spans="1:11" x14ac:dyDescent="0.35">
      <c r="A1895">
        <v>1894</v>
      </c>
      <c r="B1895" t="s">
        <v>16</v>
      </c>
      <c r="C1895" t="s">
        <v>16</v>
      </c>
      <c r="D1895" t="s">
        <v>140</v>
      </c>
      <c r="E1895" s="2">
        <v>44211.482766203706</v>
      </c>
      <c r="F1895" s="2">
        <v>44211.516122685185</v>
      </c>
      <c r="G1895" s="3">
        <v>3.3356481479131617E-2</v>
      </c>
      <c r="H1895" s="3">
        <v>2899.5550659884921</v>
      </c>
      <c r="I1895" s="3">
        <v>48.325917766474866</v>
      </c>
      <c r="J1895" s="3">
        <v>0.80543196277458107</v>
      </c>
    </row>
    <row r="1896" spans="1:11" x14ac:dyDescent="0.35">
      <c r="A1896">
        <v>1895</v>
      </c>
      <c r="B1896" t="s">
        <v>11</v>
      </c>
      <c r="C1896" t="s">
        <v>11</v>
      </c>
      <c r="D1896" t="s">
        <v>140</v>
      </c>
      <c r="E1896" s="2">
        <v>44211.516296296293</v>
      </c>
      <c r="F1896" s="2">
        <v>44211.51866898148</v>
      </c>
      <c r="G1896" s="3">
        <v>2.3726851868559606E-3</v>
      </c>
      <c r="H1896" s="3">
        <v>206.24871234839713</v>
      </c>
      <c r="I1896" s="3">
        <v>3.4374785391399523</v>
      </c>
      <c r="J1896" s="3">
        <v>5.7291308985665874E-2</v>
      </c>
    </row>
    <row r="1897" spans="1:11" x14ac:dyDescent="0.35">
      <c r="A1897">
        <v>1896</v>
      </c>
      <c r="B1897" t="s">
        <v>2</v>
      </c>
      <c r="C1897" t="s">
        <v>96</v>
      </c>
      <c r="D1897" t="s">
        <v>140</v>
      </c>
      <c r="E1897" s="2">
        <v>44211.518877314818</v>
      </c>
      <c r="F1897" s="2">
        <v>44211.53328703704</v>
      </c>
      <c r="G1897" s="3">
        <v>1.4409722221898846E-2</v>
      </c>
      <c r="H1897" s="3">
        <v>1252.5836423764642</v>
      </c>
      <c r="I1897" s="3">
        <v>20.876394039607739</v>
      </c>
      <c r="J1897" s="3">
        <v>0.34793990066012898</v>
      </c>
    </row>
    <row r="1898" spans="1:11" x14ac:dyDescent="0.35">
      <c r="A1898">
        <v>1897</v>
      </c>
      <c r="B1898" t="s">
        <v>11</v>
      </c>
      <c r="C1898" t="s">
        <v>11</v>
      </c>
      <c r="D1898" t="s">
        <v>140</v>
      </c>
      <c r="E1898" s="2">
        <v>44211.533576388887</v>
      </c>
      <c r="F1898" s="2">
        <v>44211.539976851855</v>
      </c>
      <c r="G1898" s="3">
        <v>6.4004629675764591E-3</v>
      </c>
      <c r="H1898" s="3">
        <v>556.36847771005375</v>
      </c>
      <c r="I1898" s="3">
        <v>9.2728079618342285</v>
      </c>
      <c r="J1898" s="3">
        <v>0.15454679936390381</v>
      </c>
    </row>
    <row r="1899" spans="1:11" x14ac:dyDescent="0.35">
      <c r="A1899">
        <v>1898</v>
      </c>
      <c r="B1899" t="s">
        <v>2</v>
      </c>
      <c r="C1899" t="s">
        <v>96</v>
      </c>
      <c r="D1899" t="s">
        <v>140</v>
      </c>
      <c r="E1899" s="2">
        <v>44211.54011574074</v>
      </c>
      <c r="F1899" s="2">
        <v>44211.548125000001</v>
      </c>
      <c r="G1899" s="3">
        <v>8.0092592615983449E-3</v>
      </c>
      <c r="H1899" s="3">
        <v>696.21516529888254</v>
      </c>
      <c r="I1899" s="3">
        <v>11.603586088314708</v>
      </c>
      <c r="J1899" s="3">
        <v>0.1933931014719118</v>
      </c>
    </row>
    <row r="1900" spans="1:11" x14ac:dyDescent="0.35">
      <c r="A1900">
        <v>1899</v>
      </c>
      <c r="B1900" t="s">
        <v>11</v>
      </c>
      <c r="C1900" t="s">
        <v>11</v>
      </c>
      <c r="D1900" t="s">
        <v>140</v>
      </c>
      <c r="E1900" s="2">
        <v>44211.548275462963</v>
      </c>
      <c r="F1900" s="2">
        <v>44211.559513888889</v>
      </c>
      <c r="G1900" s="3">
        <v>1.1238425926421769E-2</v>
      </c>
      <c r="H1900" s="3">
        <v>976.91463199076566</v>
      </c>
      <c r="I1900" s="3">
        <v>16.281910533179428</v>
      </c>
      <c r="J1900" s="3">
        <v>0.27136517555299045</v>
      </c>
    </row>
    <row r="1901" spans="1:11" x14ac:dyDescent="0.35">
      <c r="A1901">
        <v>1900</v>
      </c>
      <c r="B1901" t="s">
        <v>2</v>
      </c>
      <c r="C1901" t="s">
        <v>136</v>
      </c>
      <c r="D1901" t="s">
        <v>140</v>
      </c>
      <c r="E1901" s="2">
        <v>44211.560057870367</v>
      </c>
      <c r="F1901" s="2">
        <v>44211.564965277779</v>
      </c>
      <c r="G1901" s="3">
        <v>4.9074074122472666E-3</v>
      </c>
      <c r="H1901" s="3">
        <v>426.58270273359409</v>
      </c>
      <c r="I1901" s="3">
        <v>7.1097117122265683</v>
      </c>
      <c r="J1901" s="3">
        <v>0.11849519520377613</v>
      </c>
      <c r="K1901" t="s">
        <v>90</v>
      </c>
    </row>
    <row r="1902" spans="1:11" x14ac:dyDescent="0.35">
      <c r="A1902">
        <v>1901</v>
      </c>
      <c r="B1902" t="s">
        <v>2</v>
      </c>
      <c r="C1902" t="s">
        <v>96</v>
      </c>
      <c r="D1902" t="s">
        <v>140</v>
      </c>
      <c r="E1902" s="2">
        <v>44211.565069444441</v>
      </c>
      <c r="F1902" s="2">
        <v>44211.590833333335</v>
      </c>
      <c r="G1902" s="3">
        <v>2.5763888894289266E-2</v>
      </c>
      <c r="H1902" s="3">
        <v>2239.5591876120711</v>
      </c>
      <c r="I1902" s="3">
        <v>37.325986460201186</v>
      </c>
      <c r="J1902" s="3">
        <v>0.6220997743366864</v>
      </c>
    </row>
    <row r="1903" spans="1:11" x14ac:dyDescent="0.35">
      <c r="A1903">
        <v>1902</v>
      </c>
      <c r="B1903" t="s">
        <v>2</v>
      </c>
      <c r="C1903" t="s">
        <v>96</v>
      </c>
      <c r="D1903" t="s">
        <v>140</v>
      </c>
      <c r="E1903" s="2">
        <v>44211.590960648151</v>
      </c>
      <c r="F1903" s="2">
        <v>44211.597974537035</v>
      </c>
      <c r="G1903" s="3">
        <v>7.0138888841029257E-3</v>
      </c>
      <c r="H1903" s="3">
        <v>609.69131468210412</v>
      </c>
      <c r="I1903" s="3">
        <v>10.161521911368402</v>
      </c>
      <c r="J1903" s="3">
        <v>0.16935869852280669</v>
      </c>
    </row>
    <row r="1904" spans="1:11" x14ac:dyDescent="0.35">
      <c r="A1904">
        <v>1903</v>
      </c>
      <c r="B1904" t="s">
        <v>2</v>
      </c>
      <c r="C1904" t="s">
        <v>96</v>
      </c>
      <c r="D1904" t="s">
        <v>140</v>
      </c>
      <c r="E1904" s="2">
        <v>44211.598113425927</v>
      </c>
      <c r="F1904" s="2">
        <v>44211.602337962962</v>
      </c>
      <c r="G1904" s="3">
        <v>4.2245370350428857E-3</v>
      </c>
      <c r="H1904" s="3">
        <v>367.22331667618965</v>
      </c>
      <c r="I1904" s="3">
        <v>6.1203886112698278</v>
      </c>
      <c r="J1904" s="3">
        <v>0.10200647685449712</v>
      </c>
    </row>
    <row r="1905" spans="1:11" x14ac:dyDescent="0.35">
      <c r="A1905">
        <v>1904</v>
      </c>
      <c r="B1905" t="s">
        <v>2</v>
      </c>
      <c r="C1905" t="s">
        <v>96</v>
      </c>
      <c r="D1905" t="s">
        <v>140</v>
      </c>
      <c r="E1905" s="2">
        <v>44211.602766203701</v>
      </c>
      <c r="F1905" s="2">
        <v>44211.608981481484</v>
      </c>
      <c r="G1905" s="3">
        <v>6.2152777827577665E-3</v>
      </c>
      <c r="H1905" s="3">
        <v>540.2710172772745</v>
      </c>
      <c r="I1905" s="3">
        <v>9.0045169546212414</v>
      </c>
      <c r="J1905" s="3">
        <v>0.15007528257702069</v>
      </c>
    </row>
    <row r="1906" spans="1:11" x14ac:dyDescent="0.35">
      <c r="A1906">
        <v>1905</v>
      </c>
      <c r="B1906" t="s">
        <v>11</v>
      </c>
      <c r="C1906" t="s">
        <v>11</v>
      </c>
      <c r="D1906" t="s">
        <v>140</v>
      </c>
      <c r="E1906" s="2">
        <v>44211.609074074076</v>
      </c>
      <c r="F1906" s="2">
        <v>44211.618333333332</v>
      </c>
      <c r="G1906" s="3">
        <v>9.2592592554865405E-3</v>
      </c>
      <c r="H1906" s="3">
        <v>804.87302290390642</v>
      </c>
      <c r="I1906" s="3">
        <v>13.414550381731773</v>
      </c>
      <c r="J1906" s="3">
        <v>0.22357583969552955</v>
      </c>
    </row>
    <row r="1907" spans="1:11" x14ac:dyDescent="0.35">
      <c r="A1907">
        <v>1906</v>
      </c>
      <c r="B1907" t="s">
        <v>16</v>
      </c>
      <c r="C1907" t="s">
        <v>16</v>
      </c>
      <c r="D1907" t="s">
        <v>140</v>
      </c>
      <c r="E1907" s="2">
        <v>44211.618449074071</v>
      </c>
      <c r="F1907" s="2">
        <v>44211.630208333336</v>
      </c>
      <c r="G1907" s="3">
        <v>1.1759259265090805E-2</v>
      </c>
      <c r="H1907" s="3">
        <v>1022.1887400113703</v>
      </c>
      <c r="I1907" s="3">
        <v>17.036479000189505</v>
      </c>
      <c r="J1907" s="3">
        <v>0.28394131666982508</v>
      </c>
    </row>
    <row r="1908" spans="1:11" x14ac:dyDescent="0.35">
      <c r="A1908">
        <v>1907</v>
      </c>
      <c r="B1908" t="s">
        <v>2</v>
      </c>
      <c r="C1908" t="s">
        <v>96</v>
      </c>
      <c r="D1908" t="s">
        <v>140</v>
      </c>
      <c r="E1908" s="2">
        <v>44211.630335648151</v>
      </c>
      <c r="F1908" s="2">
        <v>44211.639513888891</v>
      </c>
      <c r="G1908" s="3">
        <v>9.1782407398568466E-3</v>
      </c>
      <c r="H1908" s="3">
        <v>797.8303842017425</v>
      </c>
      <c r="I1908" s="3">
        <v>13.297173070029041</v>
      </c>
      <c r="J1908" s="3">
        <v>0.22161955116715068</v>
      </c>
    </row>
    <row r="1909" spans="1:11" x14ac:dyDescent="0.35">
      <c r="A1909">
        <v>1908</v>
      </c>
      <c r="B1909" t="s">
        <v>2</v>
      </c>
      <c r="C1909" t="s">
        <v>96</v>
      </c>
      <c r="D1909" t="s">
        <v>140</v>
      </c>
      <c r="E1909" s="2">
        <v>44211.63962962963</v>
      </c>
      <c r="F1909" s="2">
        <v>44211.645370370374</v>
      </c>
      <c r="G1909" s="3">
        <v>5.7407407439313829E-3</v>
      </c>
      <c r="H1909" s="3">
        <v>499.02127468110069</v>
      </c>
      <c r="I1909" s="3">
        <v>8.3170212446850122</v>
      </c>
      <c r="J1909" s="3">
        <v>0.13861702074475021</v>
      </c>
    </row>
    <row r="1910" spans="1:11" x14ac:dyDescent="0.35">
      <c r="A1910">
        <v>1909</v>
      </c>
      <c r="B1910" t="s">
        <v>2</v>
      </c>
      <c r="C1910" t="s">
        <v>96</v>
      </c>
      <c r="D1910" t="s">
        <v>140</v>
      </c>
      <c r="E1910" s="2">
        <v>44211.645543981482</v>
      </c>
      <c r="F1910" s="2">
        <v>44211.666319444441</v>
      </c>
      <c r="G1910" s="3">
        <v>2.0775462959136348E-2</v>
      </c>
      <c r="H1910" s="3">
        <v>1805.933845543841</v>
      </c>
      <c r="I1910" s="3">
        <v>30.098897425730684</v>
      </c>
      <c r="J1910" s="3">
        <v>0.50164829042884473</v>
      </c>
    </row>
    <row r="1911" spans="1:11" x14ac:dyDescent="0.35">
      <c r="A1911">
        <v>1910</v>
      </c>
      <c r="B1911" t="s">
        <v>11</v>
      </c>
      <c r="C1911" t="s">
        <v>11</v>
      </c>
      <c r="D1911" t="s">
        <v>140</v>
      </c>
      <c r="E1911" s="2">
        <v>44211.666620370372</v>
      </c>
      <c r="F1911" s="2">
        <v>44211.668182870373</v>
      </c>
      <c r="G1911" s="3">
        <v>1.5625000014551915E-3</v>
      </c>
      <c r="H1911" s="3">
        <v>135.82232279686991</v>
      </c>
      <c r="I1911" s="3">
        <v>2.2637053799478317</v>
      </c>
      <c r="J1911" s="3">
        <v>3.7728422999130526E-2</v>
      </c>
    </row>
    <row r="1912" spans="1:11" x14ac:dyDescent="0.35">
      <c r="A1912">
        <v>1911</v>
      </c>
      <c r="B1912" t="s">
        <v>11</v>
      </c>
      <c r="C1912" t="s">
        <v>11</v>
      </c>
      <c r="D1912" t="s">
        <v>140</v>
      </c>
      <c r="E1912" s="2">
        <v>44212.450023148151</v>
      </c>
      <c r="F1912" s="2">
        <v>44212.488113425927</v>
      </c>
      <c r="G1912" s="3">
        <v>3.8090277776063886E-2</v>
      </c>
      <c r="H1912" s="3">
        <v>3311.0463991710608</v>
      </c>
      <c r="I1912" s="3">
        <v>55.184106652851014</v>
      </c>
      <c r="J1912" s="3">
        <v>0.91973511088085025</v>
      </c>
    </row>
    <row r="1913" spans="1:11" x14ac:dyDescent="0.35">
      <c r="A1913">
        <v>1912</v>
      </c>
      <c r="B1913" t="s">
        <v>11</v>
      </c>
      <c r="C1913" t="s">
        <v>11</v>
      </c>
      <c r="D1913" t="s">
        <v>140</v>
      </c>
      <c r="E1913" s="2">
        <v>44212.505428240744</v>
      </c>
      <c r="F1913" s="2">
        <v>44212.601087962961</v>
      </c>
      <c r="G1913" s="3">
        <v>9.5659722217533272E-2</v>
      </c>
      <c r="H1913" s="3">
        <v>8315.344420856507</v>
      </c>
      <c r="I1913" s="3">
        <v>138.58907368094179</v>
      </c>
      <c r="J1913" s="3">
        <v>2.3098178946823631</v>
      </c>
    </row>
    <row r="1914" spans="1:11" x14ac:dyDescent="0.35">
      <c r="A1914">
        <v>1913</v>
      </c>
      <c r="B1914" t="s">
        <v>11</v>
      </c>
      <c r="C1914" t="s">
        <v>11</v>
      </c>
      <c r="D1914" t="s">
        <v>140</v>
      </c>
      <c r="E1914" s="2">
        <v>44213.49931712963</v>
      </c>
      <c r="F1914" s="2">
        <v>44213.642361111109</v>
      </c>
      <c r="G1914" s="3">
        <v>0.14304398147942265</v>
      </c>
      <c r="H1914" s="3">
        <v>12434.282117474153</v>
      </c>
      <c r="I1914" s="3">
        <v>207.23803529123589</v>
      </c>
      <c r="J1914" s="3">
        <v>3.4539672548539313</v>
      </c>
    </row>
    <row r="1915" spans="1:11" x14ac:dyDescent="0.35">
      <c r="A1915">
        <v>1914</v>
      </c>
      <c r="B1915" t="s">
        <v>11</v>
      </c>
      <c r="C1915" t="s">
        <v>11</v>
      </c>
      <c r="D1915" t="s">
        <v>140</v>
      </c>
      <c r="E1915" s="2">
        <v>44213.742592592593</v>
      </c>
      <c r="F1915" s="2">
        <v>44213.756689814814</v>
      </c>
      <c r="G1915" s="3">
        <v>1.4097222221607808E-2</v>
      </c>
      <c r="H1915" s="3">
        <v>1225.4191778170903</v>
      </c>
      <c r="I1915" s="3">
        <v>20.423652963618171</v>
      </c>
      <c r="J1915" s="3">
        <v>0.34039421606030285</v>
      </c>
    </row>
    <row r="1916" spans="1:11" x14ac:dyDescent="0.35">
      <c r="A1916">
        <v>1915</v>
      </c>
      <c r="B1916" t="s">
        <v>11</v>
      </c>
      <c r="C1916" t="s">
        <v>11</v>
      </c>
      <c r="D1916" t="s">
        <v>140</v>
      </c>
      <c r="E1916" s="2">
        <v>44213.768738425926</v>
      </c>
      <c r="F1916" s="2">
        <v>44213.773043981484</v>
      </c>
      <c r="G1916" s="3">
        <v>4.3055555579485372E-3</v>
      </c>
      <c r="H1916" s="3">
        <v>374.26595601082556</v>
      </c>
      <c r="I1916" s="3">
        <v>6.2377659335137592</v>
      </c>
      <c r="J1916" s="3">
        <v>0.10396276555856265</v>
      </c>
    </row>
    <row r="1917" spans="1:11" x14ac:dyDescent="0.35">
      <c r="A1917">
        <v>1916</v>
      </c>
      <c r="B1917" t="s">
        <v>11</v>
      </c>
      <c r="C1917" t="s">
        <v>11</v>
      </c>
      <c r="D1917" t="s">
        <v>140</v>
      </c>
      <c r="E1917" s="2">
        <v>44214.340115740742</v>
      </c>
      <c r="F1917" s="2">
        <v>44214.347997685189</v>
      </c>
      <c r="G1917" s="3">
        <v>7.8819444461259991E-3</v>
      </c>
      <c r="H1917" s="3">
        <v>685.14816117228781</v>
      </c>
      <c r="I1917" s="3">
        <v>11.419136019538131</v>
      </c>
      <c r="J1917" s="3">
        <v>0.19031893365896885</v>
      </c>
    </row>
    <row r="1918" spans="1:11" x14ac:dyDescent="0.35">
      <c r="A1918">
        <v>1917</v>
      </c>
      <c r="B1918" t="s">
        <v>2</v>
      </c>
      <c r="C1918" t="s">
        <v>96</v>
      </c>
      <c r="D1918" t="s">
        <v>140</v>
      </c>
      <c r="E1918" s="2">
        <v>44214.348229166666</v>
      </c>
      <c r="F1918" s="2">
        <v>44214.349363425928</v>
      </c>
      <c r="G1918" s="3">
        <v>1.1342592624714598E-3</v>
      </c>
      <c r="H1918" s="3">
        <v>98.596945625126892</v>
      </c>
      <c r="I1918" s="3">
        <v>1.6432824270854482</v>
      </c>
      <c r="J1918" s="3">
        <v>2.7388040451424137E-2</v>
      </c>
    </row>
    <row r="1919" spans="1:11" x14ac:dyDescent="0.35">
      <c r="A1919">
        <v>1918</v>
      </c>
      <c r="B1919" t="s">
        <v>2</v>
      </c>
      <c r="C1919" t="s">
        <v>132</v>
      </c>
      <c r="D1919" t="s">
        <v>140</v>
      </c>
      <c r="E1919" s="2">
        <v>44214.349594907406</v>
      </c>
      <c r="F1919" s="2">
        <v>44214.350486111114</v>
      </c>
      <c r="G1919" s="3">
        <v>8.9120370830642059E-4</v>
      </c>
      <c r="H1919" s="3">
        <v>77.469028886163116</v>
      </c>
      <c r="I1919" s="3">
        <v>1.2911504814360519</v>
      </c>
      <c r="J1919" s="3">
        <v>2.1519174690600867E-2</v>
      </c>
      <c r="K1919" t="s">
        <v>86</v>
      </c>
    </row>
    <row r="1920" spans="1:11" x14ac:dyDescent="0.35">
      <c r="A1920">
        <v>1919</v>
      </c>
      <c r="B1920" t="s">
        <v>2</v>
      </c>
      <c r="C1920" t="s">
        <v>96</v>
      </c>
      <c r="D1920" t="s">
        <v>140</v>
      </c>
      <c r="E1920" s="2">
        <v>44214.350740740738</v>
      </c>
      <c r="F1920" s="2">
        <v>44214.375231481485</v>
      </c>
      <c r="G1920" s="3">
        <v>2.4490740746841766E-2</v>
      </c>
      <c r="H1920" s="3">
        <v>2128.8891469785958</v>
      </c>
      <c r="I1920" s="3">
        <v>35.481485782976598</v>
      </c>
      <c r="J1920" s="3">
        <v>0.59135809638294334</v>
      </c>
    </row>
    <row r="1921" spans="1:11" x14ac:dyDescent="0.35">
      <c r="A1921">
        <v>1920</v>
      </c>
      <c r="B1921" t="s">
        <v>2</v>
      </c>
      <c r="C1921" t="s">
        <v>96</v>
      </c>
      <c r="D1921" t="s">
        <v>140</v>
      </c>
      <c r="E1921" s="2">
        <v>44214.375381944446</v>
      </c>
      <c r="F1921" s="2">
        <v>44214.378738425927</v>
      </c>
      <c r="G1921" s="3">
        <v>3.3564814802957699E-3</v>
      </c>
      <c r="H1921" s="3">
        <v>291.7664708184779</v>
      </c>
      <c r="I1921" s="3">
        <v>4.8627745136412983</v>
      </c>
      <c r="J1921" s="3">
        <v>8.1046241894021639E-2</v>
      </c>
    </row>
    <row r="1922" spans="1:11" x14ac:dyDescent="0.35">
      <c r="A1922">
        <v>1921</v>
      </c>
      <c r="B1922" t="s">
        <v>2</v>
      </c>
      <c r="C1922" t="s">
        <v>96</v>
      </c>
      <c r="D1922" t="s">
        <v>140</v>
      </c>
      <c r="E1922" s="2">
        <v>44214.378842592596</v>
      </c>
      <c r="F1922" s="2">
        <v>44214.41233796296</v>
      </c>
      <c r="G1922" s="3">
        <v>3.3495370364107657E-2</v>
      </c>
      <c r="H1922" s="3">
        <v>2911.6281609968405</v>
      </c>
      <c r="I1922" s="3">
        <v>48.527136016614008</v>
      </c>
      <c r="J1922" s="3">
        <v>0.80878560027690016</v>
      </c>
    </row>
    <row r="1923" spans="1:11" x14ac:dyDescent="0.35">
      <c r="A1923">
        <v>1922</v>
      </c>
      <c r="B1923" t="s">
        <v>16</v>
      </c>
      <c r="C1923" t="s">
        <v>16</v>
      </c>
      <c r="D1923" t="s">
        <v>140</v>
      </c>
      <c r="E1923" s="2">
        <v>44214.412557870368</v>
      </c>
      <c r="F1923" s="2">
        <v>44214.424861111111</v>
      </c>
      <c r="G1923" s="3">
        <v>1.230324074276723E-2</v>
      </c>
      <c r="H1923" s="3">
        <v>1069.4750297954824</v>
      </c>
      <c r="I1923" s="3">
        <v>17.824583829924709</v>
      </c>
      <c r="J1923" s="3">
        <v>0.29707639716541184</v>
      </c>
    </row>
    <row r="1924" spans="1:11" x14ac:dyDescent="0.35">
      <c r="A1924">
        <v>1923</v>
      </c>
      <c r="B1924" t="s">
        <v>2</v>
      </c>
      <c r="C1924" t="s">
        <v>96</v>
      </c>
      <c r="D1924" t="s">
        <v>140</v>
      </c>
      <c r="E1924" s="2">
        <v>44214.42496527778</v>
      </c>
      <c r="F1924" s="2">
        <v>44214.442303240743</v>
      </c>
      <c r="G1924" s="3">
        <v>1.7337962963210884E-2</v>
      </c>
      <c r="H1924" s="3">
        <v>1507.1247360231991</v>
      </c>
      <c r="I1924" s="3">
        <v>25.118745600386653</v>
      </c>
      <c r="J1924" s="3">
        <v>0.41864576000644421</v>
      </c>
    </row>
    <row r="1925" spans="1:11" x14ac:dyDescent="0.35">
      <c r="A1925">
        <v>1924</v>
      </c>
      <c r="B1925" t="s">
        <v>2</v>
      </c>
      <c r="C1925" t="s">
        <v>132</v>
      </c>
      <c r="D1925" t="s">
        <v>140</v>
      </c>
      <c r="E1925" s="2">
        <v>44214.442430555559</v>
      </c>
      <c r="F1925" s="2">
        <v>44214.450428240743</v>
      </c>
      <c r="G1925" s="3">
        <v>7.9976851848186925E-3</v>
      </c>
      <c r="H1925" s="3">
        <v>695.20907378465677</v>
      </c>
      <c r="I1925" s="3">
        <v>11.586817896410945</v>
      </c>
      <c r="J1925" s="3">
        <v>0.19311363160684908</v>
      </c>
      <c r="K1925" t="s">
        <v>85</v>
      </c>
    </row>
    <row r="1926" spans="1:11" x14ac:dyDescent="0.35">
      <c r="A1926">
        <v>1925</v>
      </c>
      <c r="B1926" t="s">
        <v>11</v>
      </c>
      <c r="C1926" t="s">
        <v>11</v>
      </c>
      <c r="D1926" t="s">
        <v>140</v>
      </c>
      <c r="E1926" s="2">
        <v>44214.450497685182</v>
      </c>
      <c r="F1926" s="2">
        <v>44214.452731481484</v>
      </c>
      <c r="G1926" s="3">
        <v>2.2337963018799201E-3</v>
      </c>
      <c r="H1926" s="3">
        <v>194.17561734004866</v>
      </c>
      <c r="I1926" s="3">
        <v>3.236260289000811</v>
      </c>
      <c r="J1926" s="3">
        <v>5.3937671483346848E-2</v>
      </c>
    </row>
    <row r="1927" spans="1:11" x14ac:dyDescent="0.35">
      <c r="A1927">
        <v>1926</v>
      </c>
      <c r="B1927" t="s">
        <v>2</v>
      </c>
      <c r="C1927" t="s">
        <v>96</v>
      </c>
      <c r="D1927" t="s">
        <v>140</v>
      </c>
      <c r="E1927" s="2">
        <v>44214.4528125</v>
      </c>
      <c r="F1927" s="2">
        <v>44214.499976851854</v>
      </c>
      <c r="G1927" s="3">
        <v>4.7164351854007691E-2</v>
      </c>
      <c r="H1927" s="3">
        <v>4099.8219622746601</v>
      </c>
      <c r="I1927" s="3">
        <v>68.330366037911006</v>
      </c>
      <c r="J1927" s="3">
        <v>1.1388394339651835</v>
      </c>
    </row>
    <row r="1928" spans="1:11" x14ac:dyDescent="0.35">
      <c r="A1928">
        <v>1927</v>
      </c>
      <c r="B1928" t="s">
        <v>16</v>
      </c>
      <c r="C1928" t="s">
        <v>16</v>
      </c>
      <c r="D1928" t="s">
        <v>140</v>
      </c>
      <c r="E1928" s="2">
        <v>44214.500057870369</v>
      </c>
      <c r="F1928" s="2">
        <v>44214.518726851849</v>
      </c>
      <c r="G1928" s="3">
        <v>1.8668981480004732E-2</v>
      </c>
      <c r="H1928" s="3">
        <v>1622.825232962859</v>
      </c>
      <c r="I1928" s="3">
        <v>27.04708721604765</v>
      </c>
      <c r="J1928" s="3">
        <v>0.45078478693412749</v>
      </c>
    </row>
    <row r="1929" spans="1:11" x14ac:dyDescent="0.35">
      <c r="A1929">
        <v>1928</v>
      </c>
      <c r="B1929" t="s">
        <v>2</v>
      </c>
      <c r="C1929" t="s">
        <v>96</v>
      </c>
      <c r="D1929" t="s">
        <v>140</v>
      </c>
      <c r="E1929" s="2">
        <v>44214.518819444442</v>
      </c>
      <c r="F1929" s="2">
        <v>44214.631701388891</v>
      </c>
      <c r="G1929" s="3">
        <v>0.11288194444932742</v>
      </c>
      <c r="H1929" s="3">
        <v>9812.4082448998106</v>
      </c>
      <c r="I1929" s="3">
        <v>163.54013741499685</v>
      </c>
      <c r="J1929" s="3">
        <v>2.7256689569166141</v>
      </c>
    </row>
    <row r="1930" spans="1:11" x14ac:dyDescent="0.35">
      <c r="A1930">
        <v>1929</v>
      </c>
      <c r="B1930" t="s">
        <v>16</v>
      </c>
      <c r="C1930" t="s">
        <v>16</v>
      </c>
      <c r="D1930" t="s">
        <v>140</v>
      </c>
      <c r="E1930" s="2">
        <v>44214.631863425922</v>
      </c>
      <c r="F1930" s="2">
        <v>44214.642071759263</v>
      </c>
      <c r="G1930" s="3">
        <v>1.0208333340415265E-2</v>
      </c>
      <c r="H1930" s="3">
        <v>887.37250872872607</v>
      </c>
      <c r="I1930" s="3">
        <v>14.789541812145435</v>
      </c>
      <c r="J1930" s="3">
        <v>0.24649236353575726</v>
      </c>
    </row>
    <row r="1931" spans="1:11" x14ac:dyDescent="0.35">
      <c r="A1931">
        <v>1930</v>
      </c>
      <c r="B1931" t="s">
        <v>2</v>
      </c>
      <c r="C1931" t="s">
        <v>96</v>
      </c>
      <c r="D1931" t="s">
        <v>140</v>
      </c>
      <c r="E1931" s="2">
        <v>44214.642199074071</v>
      </c>
      <c r="F1931" s="2">
        <v>44214.71329861111</v>
      </c>
      <c r="G1931" s="3">
        <v>7.1099537039117422E-2</v>
      </c>
      <c r="H1931" s="3">
        <v>6180.4187273224461</v>
      </c>
      <c r="I1931" s="3">
        <v>103.00697878870743</v>
      </c>
      <c r="J1931" s="3">
        <v>1.7167829798117904</v>
      </c>
    </row>
    <row r="1932" spans="1:11" x14ac:dyDescent="0.35">
      <c r="A1932">
        <v>1931</v>
      </c>
      <c r="B1932" t="s">
        <v>11</v>
      </c>
      <c r="C1932" t="s">
        <v>11</v>
      </c>
      <c r="D1932" t="s">
        <v>140</v>
      </c>
      <c r="E1932" s="2">
        <v>44214.7346875</v>
      </c>
      <c r="F1932" s="2">
        <v>44214.788414351853</v>
      </c>
      <c r="G1932" s="3">
        <v>5.3726851852843538E-2</v>
      </c>
      <c r="H1932" s="3">
        <v>4670.2757173890413</v>
      </c>
      <c r="I1932" s="3">
        <v>77.837928623150688</v>
      </c>
      <c r="J1932" s="3">
        <v>1.2972988103858447</v>
      </c>
    </row>
    <row r="1933" spans="1:11" x14ac:dyDescent="0.35">
      <c r="A1933">
        <v>1932</v>
      </c>
      <c r="B1933" t="s">
        <v>11</v>
      </c>
      <c r="C1933" t="s">
        <v>11</v>
      </c>
      <c r="D1933" t="s">
        <v>140</v>
      </c>
      <c r="E1933" s="2">
        <v>44215.329953703702</v>
      </c>
      <c r="F1933" s="2">
        <v>44215.334548611114</v>
      </c>
      <c r="G1933" s="3">
        <v>4.5949074119562283E-3</v>
      </c>
      <c r="H1933" s="3">
        <v>399.41823817422011</v>
      </c>
      <c r="I1933" s="3">
        <v>6.656970636237002</v>
      </c>
      <c r="J1933" s="3">
        <v>0.11094951060395003</v>
      </c>
    </row>
    <row r="1934" spans="1:11" x14ac:dyDescent="0.35">
      <c r="A1934">
        <v>1933</v>
      </c>
      <c r="B1934" t="s">
        <v>11</v>
      </c>
      <c r="C1934" t="s">
        <v>11</v>
      </c>
      <c r="D1934" t="s">
        <v>140</v>
      </c>
      <c r="E1934" s="2">
        <v>44215.334675925929</v>
      </c>
      <c r="F1934" s="2">
        <v>44215.340358796297</v>
      </c>
      <c r="G1934" s="3">
        <v>5.6828703673090786E-3</v>
      </c>
      <c r="H1934" s="3">
        <v>493.99081774244422</v>
      </c>
      <c r="I1934" s="3">
        <v>8.2331802957074043</v>
      </c>
      <c r="J1934" s="3">
        <v>0.13721967159512341</v>
      </c>
    </row>
    <row r="1935" spans="1:11" x14ac:dyDescent="0.35">
      <c r="A1935">
        <v>1934</v>
      </c>
      <c r="B1935" t="s">
        <v>2</v>
      </c>
      <c r="C1935" t="s">
        <v>136</v>
      </c>
      <c r="D1935" t="s">
        <v>140</v>
      </c>
      <c r="E1935" s="2">
        <v>44215.340624999997</v>
      </c>
      <c r="F1935" s="2">
        <v>44215.354756944442</v>
      </c>
      <c r="G1935" s="3">
        <v>1.4131944444670808E-2</v>
      </c>
      <c r="H1935" s="3">
        <v>1228.4374517272954</v>
      </c>
      <c r="I1935" s="3">
        <v>20.473957528788258</v>
      </c>
      <c r="J1935" s="3">
        <v>0.34123262547980432</v>
      </c>
      <c r="K1935" t="s">
        <v>90</v>
      </c>
    </row>
    <row r="1936" spans="1:11" x14ac:dyDescent="0.35">
      <c r="A1936">
        <v>1935</v>
      </c>
      <c r="B1936" t="s">
        <v>2</v>
      </c>
      <c r="C1936" t="s">
        <v>136</v>
      </c>
      <c r="D1936" t="s">
        <v>140</v>
      </c>
      <c r="E1936" s="2">
        <v>44215.354849537034</v>
      </c>
      <c r="F1936" s="2">
        <v>44215.374942129631</v>
      </c>
      <c r="G1936" s="3">
        <v>2.0092592596483883E-2</v>
      </c>
      <c r="H1936" s="3">
        <v>1746.5744607513805</v>
      </c>
      <c r="I1936" s="3">
        <v>29.109574345856341</v>
      </c>
      <c r="J1936" s="3">
        <v>0.48515957243093905</v>
      </c>
      <c r="K1936" t="s">
        <v>90</v>
      </c>
    </row>
    <row r="1937" spans="1:11" x14ac:dyDescent="0.35">
      <c r="A1937">
        <v>1936</v>
      </c>
      <c r="B1937" t="s">
        <v>2</v>
      </c>
      <c r="C1937" t="s">
        <v>136</v>
      </c>
      <c r="D1937" t="s">
        <v>140</v>
      </c>
      <c r="E1937" s="2">
        <v>44215.375115740739</v>
      </c>
      <c r="F1937" s="2">
        <v>44215.3908912037</v>
      </c>
      <c r="G1937" s="3">
        <v>1.5775462961755693E-2</v>
      </c>
      <c r="H1937" s="3">
        <v>1371.3024132263292</v>
      </c>
      <c r="I1937" s="3">
        <v>22.85504022043882</v>
      </c>
      <c r="J1937" s="3">
        <v>0.38091733700731367</v>
      </c>
      <c r="K1937" t="s">
        <v>90</v>
      </c>
    </row>
    <row r="1938" spans="1:11" x14ac:dyDescent="0.35">
      <c r="A1938">
        <v>1937</v>
      </c>
      <c r="B1938" t="s">
        <v>2</v>
      </c>
      <c r="C1938" t="s">
        <v>96</v>
      </c>
      <c r="D1938" t="s">
        <v>140</v>
      </c>
      <c r="E1938" s="2">
        <v>44215.391006944446</v>
      </c>
      <c r="F1938" s="2">
        <v>44215.43173611111</v>
      </c>
      <c r="G1938" s="3">
        <v>4.0729166663368233E-2</v>
      </c>
      <c r="H1938" s="3">
        <v>3540.4352106544011</v>
      </c>
      <c r="I1938" s="3">
        <v>59.007253510906686</v>
      </c>
      <c r="J1938" s="3">
        <v>0.98345422518177805</v>
      </c>
    </row>
    <row r="1939" spans="1:11" x14ac:dyDescent="0.35">
      <c r="A1939">
        <v>1938</v>
      </c>
      <c r="B1939" t="s">
        <v>16</v>
      </c>
      <c r="C1939" t="s">
        <v>16</v>
      </c>
      <c r="D1939" t="s">
        <v>140</v>
      </c>
      <c r="E1939" s="2">
        <v>44215.431851851848</v>
      </c>
      <c r="F1939" s="2">
        <v>44215.433657407404</v>
      </c>
      <c r="G1939" s="3">
        <v>1.8055555556202307E-3</v>
      </c>
      <c r="H1939" s="3">
        <v>156.95023953583367</v>
      </c>
      <c r="I1939" s="3">
        <v>2.6158373255972278</v>
      </c>
      <c r="J1939" s="3">
        <v>4.3597288759953799E-2</v>
      </c>
    </row>
    <row r="1940" spans="1:11" x14ac:dyDescent="0.35">
      <c r="A1940">
        <v>1939</v>
      </c>
      <c r="B1940" t="s">
        <v>2</v>
      </c>
      <c r="C1940" t="s">
        <v>96</v>
      </c>
      <c r="D1940" t="s">
        <v>140</v>
      </c>
      <c r="E1940" s="2">
        <v>44215.43377314815</v>
      </c>
      <c r="F1940" s="2">
        <v>44215.500451388885</v>
      </c>
      <c r="G1940" s="3">
        <v>6.6678240735200234E-2</v>
      </c>
      <c r="H1940" s="3">
        <v>5796.0918580667794</v>
      </c>
      <c r="I1940" s="3">
        <v>96.601530967779652</v>
      </c>
      <c r="J1940" s="3">
        <v>1.6100255161296608</v>
      </c>
    </row>
    <row r="1941" spans="1:11" x14ac:dyDescent="0.35">
      <c r="A1941">
        <v>1940</v>
      </c>
      <c r="B1941" t="s">
        <v>11</v>
      </c>
      <c r="C1941" t="s">
        <v>11</v>
      </c>
      <c r="D1941" t="s">
        <v>140</v>
      </c>
      <c r="E1941" s="2">
        <v>44215.500601851854</v>
      </c>
      <c r="F1941" s="2">
        <v>44215.504942129628</v>
      </c>
      <c r="G1941" s="3">
        <v>4.3402777737355791E-3</v>
      </c>
      <c r="H1941" s="3">
        <v>377.28422928855866</v>
      </c>
      <c r="I1941" s="3">
        <v>6.2880704881426448</v>
      </c>
      <c r="J1941" s="3">
        <v>0.10480117480237741</v>
      </c>
    </row>
    <row r="1942" spans="1:11" x14ac:dyDescent="0.35">
      <c r="A1942">
        <v>1941</v>
      </c>
      <c r="B1942" t="s">
        <v>2</v>
      </c>
      <c r="C1942" t="s">
        <v>96</v>
      </c>
      <c r="D1942" t="s">
        <v>140</v>
      </c>
      <c r="E1942" s="2">
        <v>44215.505069444444</v>
      </c>
      <c r="F1942" s="2">
        <v>44215.514224537037</v>
      </c>
      <c r="G1942" s="3">
        <v>9.1550925935734995E-3</v>
      </c>
      <c r="H1942" s="3">
        <v>795.81820180576312</v>
      </c>
      <c r="I1942" s="3">
        <v>13.263636696762719</v>
      </c>
      <c r="J1942" s="3">
        <v>0.22106061161271198</v>
      </c>
    </row>
    <row r="1943" spans="1:11" x14ac:dyDescent="0.35">
      <c r="A1943">
        <v>1942</v>
      </c>
      <c r="B1943" t="s">
        <v>16</v>
      </c>
      <c r="C1943" t="s">
        <v>16</v>
      </c>
      <c r="D1943" t="s">
        <v>140</v>
      </c>
      <c r="E1943" s="2">
        <v>44215.514351851853</v>
      </c>
      <c r="F1943" s="2">
        <v>44215.534537037034</v>
      </c>
      <c r="G1943" s="3">
        <v>2.0185185181617271E-2</v>
      </c>
      <c r="H1943" s="3">
        <v>1754.6231903352982</v>
      </c>
      <c r="I1943" s="3">
        <v>29.243719838921638</v>
      </c>
      <c r="J1943" s="3">
        <v>0.48739533064869395</v>
      </c>
    </row>
    <row r="1944" spans="1:11" x14ac:dyDescent="0.35">
      <c r="A1944">
        <v>1943</v>
      </c>
      <c r="B1944" t="s">
        <v>2</v>
      </c>
      <c r="C1944" t="s">
        <v>72</v>
      </c>
      <c r="D1944" t="s">
        <v>140</v>
      </c>
      <c r="E1944" s="2">
        <v>44215.53465277778</v>
      </c>
      <c r="F1944" s="2">
        <v>44215.602314814816</v>
      </c>
      <c r="G1944" s="3">
        <v>6.7662037035916001E-2</v>
      </c>
      <c r="H1944" s="3">
        <v>5881.6096171693325</v>
      </c>
      <c r="I1944" s="3">
        <v>98.026826952822205</v>
      </c>
      <c r="J1944" s="3">
        <v>1.6337804492137034</v>
      </c>
      <c r="K1944" t="s">
        <v>73</v>
      </c>
    </row>
    <row r="1945" spans="1:11" x14ac:dyDescent="0.35">
      <c r="A1945">
        <v>1944</v>
      </c>
      <c r="B1945" t="s">
        <v>11</v>
      </c>
      <c r="C1945" t="s">
        <v>11</v>
      </c>
      <c r="D1945" t="s">
        <v>140</v>
      </c>
      <c r="E1945" s="2">
        <v>44215.602476851855</v>
      </c>
      <c r="F1945" s="2">
        <v>44215.615162037036</v>
      </c>
      <c r="G1945" s="3">
        <v>1.2685185181908309E-2</v>
      </c>
      <c r="H1945" s="3">
        <v>1102.6760415427946</v>
      </c>
      <c r="I1945" s="3">
        <v>18.377934025713241</v>
      </c>
      <c r="J1945" s="3">
        <v>0.30629890042855401</v>
      </c>
    </row>
    <row r="1946" spans="1:11" x14ac:dyDescent="0.35">
      <c r="A1946">
        <v>1945</v>
      </c>
      <c r="B1946" t="s">
        <v>16</v>
      </c>
      <c r="C1946" t="s">
        <v>16</v>
      </c>
      <c r="D1946" t="s">
        <v>140</v>
      </c>
      <c r="E1946" s="2">
        <v>44215.615277777775</v>
      </c>
      <c r="F1946" s="2">
        <v>44215.627708333333</v>
      </c>
      <c r="G1946" s="3">
        <v>1.2430555558239575E-2</v>
      </c>
      <c r="H1946" s="3">
        <v>1080.5420339220771</v>
      </c>
      <c r="I1946" s="3">
        <v>18.009033898701283</v>
      </c>
      <c r="J1946" s="3">
        <v>0.30015056497835474</v>
      </c>
    </row>
    <row r="1947" spans="1:11" x14ac:dyDescent="0.35">
      <c r="A1947">
        <v>1946</v>
      </c>
      <c r="B1947" t="s">
        <v>2</v>
      </c>
      <c r="C1947" t="s">
        <v>96</v>
      </c>
      <c r="D1947" t="s">
        <v>140</v>
      </c>
      <c r="E1947" s="2">
        <v>44215.627962962964</v>
      </c>
      <c r="F1947" s="2">
        <v>44215.632523148146</v>
      </c>
      <c r="G1947" s="3">
        <v>4.5601851816172712E-3</v>
      </c>
      <c r="H1947" s="3">
        <v>396.39996363154302</v>
      </c>
      <c r="I1947" s="3">
        <v>6.6066660605257166</v>
      </c>
      <c r="J1947" s="3">
        <v>0.11011110100876194</v>
      </c>
    </row>
    <row r="1948" spans="1:11" x14ac:dyDescent="0.35">
      <c r="A1948">
        <v>1947</v>
      </c>
      <c r="B1948" t="s">
        <v>2</v>
      </c>
      <c r="C1948" t="s">
        <v>136</v>
      </c>
      <c r="D1948" t="s">
        <v>140</v>
      </c>
      <c r="E1948" s="2">
        <v>44215.632685185185</v>
      </c>
      <c r="F1948" s="2">
        <v>44215.702789351853</v>
      </c>
      <c r="G1948" s="3">
        <v>7.010416666889796E-2</v>
      </c>
      <c r="H1948" s="3">
        <v>6093.8948773381398</v>
      </c>
      <c r="I1948" s="3">
        <v>101.56491462230233</v>
      </c>
      <c r="J1948" s="3">
        <v>1.6927485770383721</v>
      </c>
      <c r="K1948" t="s">
        <v>90</v>
      </c>
    </row>
    <row r="1949" spans="1:11" x14ac:dyDescent="0.35">
      <c r="A1949">
        <v>1948</v>
      </c>
      <c r="B1949" t="s">
        <v>16</v>
      </c>
      <c r="C1949" t="s">
        <v>16</v>
      </c>
      <c r="D1949" t="s">
        <v>140</v>
      </c>
      <c r="E1949" s="2">
        <v>44215.708043981482</v>
      </c>
      <c r="F1949" s="2">
        <v>44215.715254629627</v>
      </c>
      <c r="G1949" s="3">
        <v>7.2106481457012706E-3</v>
      </c>
      <c r="H1949" s="3">
        <v>626.79486662910904</v>
      </c>
      <c r="I1949" s="3">
        <v>10.44658111048515</v>
      </c>
      <c r="J1949" s="3">
        <v>0.1741096851747525</v>
      </c>
    </row>
    <row r="1950" spans="1:11" x14ac:dyDescent="0.35">
      <c r="A1950">
        <v>1949</v>
      </c>
      <c r="B1950" t="s">
        <v>11</v>
      </c>
      <c r="C1950" t="s">
        <v>11</v>
      </c>
      <c r="D1950" t="s">
        <v>140</v>
      </c>
      <c r="E1950" s="2">
        <v>44215.744363425925</v>
      </c>
      <c r="F1950" s="2">
        <v>44215.765925925924</v>
      </c>
      <c r="G1950" s="3">
        <v>2.156249999825377E-2</v>
      </c>
      <c r="H1950" s="3">
        <v>1874.3480526993887</v>
      </c>
      <c r="I1950" s="3">
        <v>31.239134211656481</v>
      </c>
      <c r="J1950" s="3">
        <v>0.52065223686094131</v>
      </c>
    </row>
    <row r="1951" spans="1:11" x14ac:dyDescent="0.35">
      <c r="A1951">
        <v>1950</v>
      </c>
      <c r="B1951" t="s">
        <v>11</v>
      </c>
      <c r="C1951" t="s">
        <v>11</v>
      </c>
      <c r="D1951" t="s">
        <v>140</v>
      </c>
      <c r="E1951" s="2">
        <v>44215.775891203702</v>
      </c>
      <c r="F1951" s="2">
        <v>44215.816516203704</v>
      </c>
      <c r="G1951" s="3">
        <v>4.0625000001455192E-2</v>
      </c>
      <c r="H1951" s="3">
        <v>3531.3803895562578</v>
      </c>
      <c r="I1951" s="3">
        <v>58.856339825937631</v>
      </c>
      <c r="J1951" s="3">
        <v>0.98093899709896049</v>
      </c>
    </row>
    <row r="1952" spans="1:11" x14ac:dyDescent="0.35">
      <c r="A1952">
        <v>1951</v>
      </c>
      <c r="B1952" t="s">
        <v>11</v>
      </c>
      <c r="C1952" t="s">
        <v>11</v>
      </c>
      <c r="D1952" t="s">
        <v>140</v>
      </c>
      <c r="E1952" s="2">
        <v>44216.320740740739</v>
      </c>
      <c r="F1952" s="2">
        <v>44216.331597222219</v>
      </c>
      <c r="G1952" s="3">
        <v>1.0856481480004732E-2</v>
      </c>
      <c r="H1952" s="3">
        <v>943.71361961098148</v>
      </c>
      <c r="I1952" s="3">
        <v>15.728560326849692</v>
      </c>
      <c r="J1952" s="3">
        <v>0.26214267211416153</v>
      </c>
    </row>
    <row r="1953" spans="1:11" x14ac:dyDescent="0.35">
      <c r="A1953">
        <v>1952</v>
      </c>
      <c r="B1953" t="s">
        <v>2</v>
      </c>
      <c r="C1953" t="s">
        <v>72</v>
      </c>
      <c r="D1953" t="s">
        <v>140</v>
      </c>
      <c r="E1953" s="2">
        <v>44216.331817129627</v>
      </c>
      <c r="F1953" s="2">
        <v>44216.345821759256</v>
      </c>
      <c r="G1953" s="3">
        <v>1.4004629629198462E-2</v>
      </c>
      <c r="H1953" s="3">
        <v>1217.3704476007008</v>
      </c>
      <c r="I1953" s="3">
        <v>20.289507460011681</v>
      </c>
      <c r="J1953" s="3">
        <v>0.33815845766686137</v>
      </c>
      <c r="K1953" t="s">
        <v>73</v>
      </c>
    </row>
    <row r="1954" spans="1:11" x14ac:dyDescent="0.35">
      <c r="A1954">
        <v>1953</v>
      </c>
      <c r="B1954" t="s">
        <v>2</v>
      </c>
      <c r="C1954" t="s">
        <v>96</v>
      </c>
      <c r="D1954" t="s">
        <v>140</v>
      </c>
      <c r="E1954" s="2">
        <v>44216.345960648148</v>
      </c>
      <c r="F1954" s="2">
        <v>44216.356458333335</v>
      </c>
      <c r="G1954" s="3">
        <v>1.0497685187146999E-2</v>
      </c>
      <c r="H1954" s="3">
        <v>912.52479025964863</v>
      </c>
      <c r="I1954" s="3">
        <v>15.208746504327477</v>
      </c>
      <c r="J1954" s="3">
        <v>0.25347910840545795</v>
      </c>
    </row>
    <row r="1955" spans="1:11" x14ac:dyDescent="0.35">
      <c r="A1955">
        <v>1954</v>
      </c>
      <c r="B1955" t="s">
        <v>2</v>
      </c>
      <c r="C1955" t="s">
        <v>96</v>
      </c>
      <c r="D1955" t="s">
        <v>140</v>
      </c>
      <c r="E1955" s="2">
        <v>44216.356666666667</v>
      </c>
      <c r="F1955" s="2">
        <v>44216.372754629629</v>
      </c>
      <c r="G1955" s="3">
        <v>1.6087962962046731E-2</v>
      </c>
      <c r="H1955" s="3">
        <v>1398.4668777857032</v>
      </c>
      <c r="I1955" s="3">
        <v>23.307781296428388</v>
      </c>
      <c r="J1955" s="3">
        <v>0.3884630216071398</v>
      </c>
    </row>
    <row r="1956" spans="1:11" x14ac:dyDescent="0.35">
      <c r="A1956">
        <v>1955</v>
      </c>
      <c r="B1956" t="s">
        <v>2</v>
      </c>
      <c r="C1956" t="s">
        <v>96</v>
      </c>
      <c r="D1956" t="s">
        <v>140</v>
      </c>
      <c r="E1956" s="2">
        <v>44216.37300925926</v>
      </c>
      <c r="F1956" s="2">
        <v>44216.382025462961</v>
      </c>
      <c r="G1956" s="3">
        <v>9.0162037013215013E-3</v>
      </c>
      <c r="H1956" s="3">
        <v>783.74510616494274</v>
      </c>
      <c r="I1956" s="3">
        <v>13.062418436082378</v>
      </c>
      <c r="J1956" s="3">
        <v>0.21770697393470631</v>
      </c>
    </row>
    <row r="1957" spans="1:11" x14ac:dyDescent="0.35">
      <c r="A1957">
        <v>1956</v>
      </c>
      <c r="B1957" t="s">
        <v>2</v>
      </c>
      <c r="C1957" t="s">
        <v>96</v>
      </c>
      <c r="D1957" t="s">
        <v>140</v>
      </c>
      <c r="E1957" s="2">
        <v>44216.38212962963</v>
      </c>
      <c r="F1957" s="2">
        <v>44216.385879629626</v>
      </c>
      <c r="G1957" s="3">
        <v>3.749999996216502E-3</v>
      </c>
      <c r="H1957" s="3">
        <v>325.97357408001579</v>
      </c>
      <c r="I1957" s="3">
        <v>5.4328929013335969</v>
      </c>
      <c r="J1957" s="3">
        <v>9.0548215022226611E-2</v>
      </c>
    </row>
    <row r="1958" spans="1:11" x14ac:dyDescent="0.35">
      <c r="A1958">
        <v>1957</v>
      </c>
      <c r="B1958" t="s">
        <v>2</v>
      </c>
      <c r="C1958" t="s">
        <v>96</v>
      </c>
      <c r="D1958" t="s">
        <v>140</v>
      </c>
      <c r="E1958" s="2">
        <v>44216.386099537034</v>
      </c>
      <c r="F1958" s="2">
        <v>44216.400266203702</v>
      </c>
      <c r="G1958" s="3">
        <v>1.4166666667733807E-2</v>
      </c>
      <c r="H1958" s="3">
        <v>1231.4557256375006</v>
      </c>
      <c r="I1958" s="3">
        <v>20.524262093958342</v>
      </c>
      <c r="J1958" s="3">
        <v>0.34207103489930568</v>
      </c>
    </row>
    <row r="1959" spans="1:11" x14ac:dyDescent="0.35">
      <c r="A1959">
        <v>1958</v>
      </c>
      <c r="B1959" t="s">
        <v>2</v>
      </c>
      <c r="C1959" t="s">
        <v>96</v>
      </c>
      <c r="D1959" t="s">
        <v>140</v>
      </c>
      <c r="E1959" s="2">
        <v>44216.40047453704</v>
      </c>
      <c r="F1959" s="2">
        <v>44216.40351851852</v>
      </c>
      <c r="G1959" s="3">
        <v>3.0439814800047316E-3</v>
      </c>
      <c r="H1959" s="3">
        <v>264.60200625910392</v>
      </c>
      <c r="I1959" s="3">
        <v>4.4100334376517321</v>
      </c>
      <c r="J1959" s="3">
        <v>7.3500557294195537E-2</v>
      </c>
    </row>
    <row r="1960" spans="1:11" x14ac:dyDescent="0.35">
      <c r="A1960">
        <v>1959</v>
      </c>
      <c r="B1960" t="s">
        <v>2</v>
      </c>
      <c r="C1960" t="s">
        <v>96</v>
      </c>
      <c r="D1960" t="s">
        <v>140</v>
      </c>
      <c r="E1960" s="2">
        <v>44216.403784722221</v>
      </c>
      <c r="F1960" s="2">
        <v>44216.411516203705</v>
      </c>
      <c r="G1960" s="3">
        <v>7.7314814843703061E-3</v>
      </c>
      <c r="H1960" s="3">
        <v>672.0689746497136</v>
      </c>
      <c r="I1960" s="3">
        <v>11.201149577495226</v>
      </c>
      <c r="J1960" s="3">
        <v>0.18668582629158709</v>
      </c>
    </row>
    <row r="1961" spans="1:11" x14ac:dyDescent="0.35">
      <c r="A1961">
        <v>1960</v>
      </c>
      <c r="B1961" t="s">
        <v>16</v>
      </c>
      <c r="C1961" t="s">
        <v>16</v>
      </c>
      <c r="D1961" t="s">
        <v>140</v>
      </c>
      <c r="E1961" s="2">
        <v>44216.411620370367</v>
      </c>
      <c r="F1961" s="2">
        <v>44216.414363425924</v>
      </c>
      <c r="G1961" s="3">
        <v>2.7430555564933456E-3</v>
      </c>
      <c r="H1961" s="3">
        <v>238.44363321395562</v>
      </c>
      <c r="I1961" s="3">
        <v>3.974060553565927</v>
      </c>
      <c r="J1961" s="3">
        <v>6.6234342559432113E-2</v>
      </c>
    </row>
    <row r="1962" spans="1:11" x14ac:dyDescent="0.35">
      <c r="A1962">
        <v>1961</v>
      </c>
      <c r="B1962" t="s">
        <v>11</v>
      </c>
      <c r="C1962" t="s">
        <v>11</v>
      </c>
      <c r="D1962" t="s">
        <v>140</v>
      </c>
      <c r="E1962" s="2">
        <v>44216.414571759262</v>
      </c>
      <c r="F1962" s="2">
        <v>44216.416365740741</v>
      </c>
      <c r="G1962" s="3">
        <v>1.7939814788405783E-3</v>
      </c>
      <c r="H1962" s="3">
        <v>155.94414802160799</v>
      </c>
      <c r="I1962" s="3">
        <v>2.5990691336934666</v>
      </c>
      <c r="J1962" s="3">
        <v>4.3317818894891107E-2</v>
      </c>
    </row>
    <row r="1963" spans="1:11" x14ac:dyDescent="0.35">
      <c r="A1963">
        <v>1962</v>
      </c>
      <c r="B1963" t="s">
        <v>2</v>
      </c>
      <c r="C1963" t="s">
        <v>136</v>
      </c>
      <c r="D1963" t="s">
        <v>140</v>
      </c>
      <c r="E1963" s="2">
        <v>44216.416608796295</v>
      </c>
      <c r="F1963" s="2">
        <v>44216.448240740741</v>
      </c>
      <c r="G1963" s="3">
        <v>3.1631944446417037E-2</v>
      </c>
      <c r="H1963" s="3">
        <v>2749.6474657872945</v>
      </c>
      <c r="I1963" s="3">
        <v>45.827457763121579</v>
      </c>
      <c r="J1963" s="3">
        <v>0.76379096271869296</v>
      </c>
      <c r="K1963" t="s">
        <v>90</v>
      </c>
    </row>
    <row r="1964" spans="1:11" x14ac:dyDescent="0.35">
      <c r="A1964">
        <v>1963</v>
      </c>
      <c r="B1964" t="s">
        <v>16</v>
      </c>
      <c r="C1964" t="s">
        <v>16</v>
      </c>
      <c r="D1964" t="s">
        <v>140</v>
      </c>
      <c r="E1964" s="2">
        <v>44216.448321759257</v>
      </c>
      <c r="F1964" s="2">
        <v>44216.470879629633</v>
      </c>
      <c r="G1964" s="3">
        <v>2.2557870375749189E-2</v>
      </c>
      <c r="H1964" s="3">
        <v>1960.8719033161672</v>
      </c>
      <c r="I1964" s="3">
        <v>32.681198388602787</v>
      </c>
      <c r="J1964" s="3">
        <v>0.5446866398100465</v>
      </c>
    </row>
    <row r="1965" spans="1:11" x14ac:dyDescent="0.35">
      <c r="A1965">
        <v>1964</v>
      </c>
      <c r="B1965" t="s">
        <v>2</v>
      </c>
      <c r="C1965" t="s">
        <v>136</v>
      </c>
      <c r="D1965" t="s">
        <v>140</v>
      </c>
      <c r="E1965" s="2">
        <v>44216.471122685187</v>
      </c>
      <c r="F1965" s="2">
        <v>44216.49728009259</v>
      </c>
      <c r="G1965" s="3">
        <v>2.6157407402934041E-2</v>
      </c>
      <c r="H1965" s="3">
        <v>2273.7662902411371</v>
      </c>
      <c r="I1965" s="3">
        <v>37.896104837352283</v>
      </c>
      <c r="J1965" s="3">
        <v>0.63160174728920471</v>
      </c>
      <c r="K1965" t="s">
        <v>90</v>
      </c>
    </row>
    <row r="1966" spans="1:11" x14ac:dyDescent="0.35">
      <c r="A1966">
        <v>1965</v>
      </c>
      <c r="B1966" t="s">
        <v>16</v>
      </c>
      <c r="C1966" t="s">
        <v>16</v>
      </c>
      <c r="D1966" t="s">
        <v>140</v>
      </c>
      <c r="E1966" s="2">
        <v>44216.497372685182</v>
      </c>
      <c r="F1966" s="2">
        <v>44216.539189814815</v>
      </c>
      <c r="G1966" s="3">
        <v>4.1817129633272998E-2</v>
      </c>
      <c r="H1966" s="3">
        <v>3635.0077914875692</v>
      </c>
      <c r="I1966" s="3">
        <v>60.583463191459487</v>
      </c>
      <c r="J1966" s="3">
        <v>1.0097243865243248</v>
      </c>
    </row>
    <row r="1967" spans="1:11" x14ac:dyDescent="0.35">
      <c r="A1967">
        <v>1966</v>
      </c>
      <c r="B1967" t="s">
        <v>2</v>
      </c>
      <c r="C1967" t="s">
        <v>136</v>
      </c>
      <c r="D1967" t="s">
        <v>140</v>
      </c>
      <c r="E1967" s="2">
        <v>44216.539918981478</v>
      </c>
      <c r="F1967" s="2">
        <v>44216.606932870367</v>
      </c>
      <c r="G1967" s="3">
        <v>6.7013888889050577E-2</v>
      </c>
      <c r="H1967" s="3">
        <v>5825.2685056546052</v>
      </c>
      <c r="I1967" s="3">
        <v>97.087808427576746</v>
      </c>
      <c r="J1967" s="3">
        <v>1.6181301404596125</v>
      </c>
      <c r="K1967" t="s">
        <v>90</v>
      </c>
    </row>
    <row r="1968" spans="1:11" x14ac:dyDescent="0.35">
      <c r="A1968">
        <v>1967</v>
      </c>
      <c r="B1968" t="s">
        <v>11</v>
      </c>
      <c r="C1968" t="s">
        <v>11</v>
      </c>
      <c r="D1968" t="s">
        <v>140</v>
      </c>
      <c r="E1968" s="2">
        <v>44216.60701388889</v>
      </c>
      <c r="F1968" s="2">
        <v>44216.61959490741</v>
      </c>
      <c r="G1968" s="3">
        <v>1.2581018519995268E-2</v>
      </c>
      <c r="H1968" s="3">
        <v>1093.6212204446513</v>
      </c>
      <c r="I1968" s="3">
        <v>18.227020340744186</v>
      </c>
      <c r="J1968" s="3">
        <v>0.30378367234573644</v>
      </c>
    </row>
    <row r="1969" spans="1:11" x14ac:dyDescent="0.35">
      <c r="A1969">
        <v>1968</v>
      </c>
      <c r="B1969" t="s">
        <v>2</v>
      </c>
      <c r="C1969" t="s">
        <v>136</v>
      </c>
      <c r="D1969" t="s">
        <v>140</v>
      </c>
      <c r="E1969" s="2">
        <v>44216.619814814818</v>
      </c>
      <c r="F1969" s="2">
        <v>44216.650648148148</v>
      </c>
      <c r="G1969" s="3">
        <v>3.0833333330519963E-2</v>
      </c>
      <c r="H1969" s="3">
        <v>2680.2271671175208</v>
      </c>
      <c r="I1969" s="3">
        <v>44.670452785292014</v>
      </c>
      <c r="J1969" s="3">
        <v>0.74450754642153361</v>
      </c>
      <c r="K1969" t="s">
        <v>90</v>
      </c>
    </row>
    <row r="1970" spans="1:11" x14ac:dyDescent="0.35">
      <c r="A1970">
        <v>1969</v>
      </c>
      <c r="B1970" t="s">
        <v>16</v>
      </c>
      <c r="C1970" t="s">
        <v>16</v>
      </c>
      <c r="D1970" t="s">
        <v>140</v>
      </c>
      <c r="E1970" s="2">
        <v>44216.650740740741</v>
      </c>
      <c r="F1970" s="2">
        <v>44216.660115740742</v>
      </c>
      <c r="G1970" s="3">
        <v>9.3750000014551915E-3</v>
      </c>
      <c r="H1970" s="3">
        <v>814.93393614874753</v>
      </c>
      <c r="I1970" s="3">
        <v>13.582232269145793</v>
      </c>
      <c r="J1970" s="3">
        <v>0.22637053781909655</v>
      </c>
    </row>
    <row r="1971" spans="1:11" x14ac:dyDescent="0.35">
      <c r="A1971">
        <v>1970</v>
      </c>
      <c r="B1971" t="s">
        <v>2</v>
      </c>
      <c r="C1971" t="s">
        <v>132</v>
      </c>
      <c r="D1971" t="s">
        <v>140</v>
      </c>
      <c r="E1971" s="2">
        <v>44216.660324074073</v>
      </c>
      <c r="F1971" s="2">
        <v>44216.704699074071</v>
      </c>
      <c r="G1971" s="3">
        <v>4.4374999997671694E-2</v>
      </c>
      <c r="H1971" s="3">
        <v>3857.3539636362734</v>
      </c>
      <c r="I1971" s="3">
        <v>64.289232727271227</v>
      </c>
      <c r="J1971" s="3">
        <v>1.0714872121211871</v>
      </c>
      <c r="K1971" t="s">
        <v>85</v>
      </c>
    </row>
    <row r="1972" spans="1:11" x14ac:dyDescent="0.35">
      <c r="A1972">
        <v>1971</v>
      </c>
      <c r="B1972" t="s">
        <v>11</v>
      </c>
      <c r="C1972" t="s">
        <v>11</v>
      </c>
      <c r="D1972" t="s">
        <v>140</v>
      </c>
      <c r="E1972" s="2">
        <v>44216.704768518517</v>
      </c>
      <c r="F1972" s="2">
        <v>44216.71297453704</v>
      </c>
      <c r="G1972" s="3">
        <v>8.2060185231966898E-3</v>
      </c>
      <c r="H1972" s="3">
        <v>713.31871724588746</v>
      </c>
      <c r="I1972" s="3">
        <v>11.888645287431457</v>
      </c>
      <c r="J1972" s="3">
        <v>0.19814408812385761</v>
      </c>
    </row>
    <row r="1973" spans="1:11" x14ac:dyDescent="0.35">
      <c r="A1973">
        <v>1972</v>
      </c>
      <c r="B1973" t="s">
        <v>11</v>
      </c>
      <c r="C1973" t="s">
        <v>11</v>
      </c>
      <c r="D1973" t="s">
        <v>140</v>
      </c>
      <c r="E1973" s="2">
        <v>44216.713171296295</v>
      </c>
      <c r="F1973" s="2">
        <v>44216.76767361111</v>
      </c>
      <c r="G1973" s="3">
        <v>5.4502314815181307E-2</v>
      </c>
      <c r="H1973" s="3">
        <v>4737.6838330303635</v>
      </c>
      <c r="I1973" s="3">
        <v>78.961397217172731</v>
      </c>
      <c r="J1973" s="3">
        <v>1.316023286952879</v>
      </c>
    </row>
    <row r="1974" spans="1:11" x14ac:dyDescent="0.35">
      <c r="A1974">
        <v>1973</v>
      </c>
      <c r="B1974" t="s">
        <v>11</v>
      </c>
      <c r="C1974" t="s">
        <v>11</v>
      </c>
      <c r="D1974" t="s">
        <v>140</v>
      </c>
      <c r="E1974" s="2">
        <v>44217.315925925926</v>
      </c>
      <c r="F1974" s="2">
        <v>44217.328101851854</v>
      </c>
      <c r="G1974" s="3">
        <v>1.2175925927294884E-2</v>
      </c>
      <c r="H1974" s="3">
        <v>1058.4080256688876</v>
      </c>
      <c r="I1974" s="3">
        <v>17.640133761148128</v>
      </c>
      <c r="J1974" s="3">
        <v>0.29400222935246878</v>
      </c>
    </row>
    <row r="1975" spans="1:11" x14ac:dyDescent="0.35">
      <c r="A1975">
        <v>1974</v>
      </c>
      <c r="B1975" t="s">
        <v>2</v>
      </c>
      <c r="C1975" t="s">
        <v>136</v>
      </c>
      <c r="D1975" t="s">
        <v>140</v>
      </c>
      <c r="E1975" s="2">
        <v>44217.328194444446</v>
      </c>
      <c r="F1975" s="2">
        <v>44217.373437499999</v>
      </c>
      <c r="G1975" s="3">
        <v>4.5243055552418809E-2</v>
      </c>
      <c r="H1975" s="3">
        <v>3932.8108094939853</v>
      </c>
      <c r="I1975" s="3">
        <v>65.54684682489976</v>
      </c>
      <c r="J1975" s="3">
        <v>1.0924474470816627</v>
      </c>
      <c r="K1975" t="s">
        <v>90</v>
      </c>
    </row>
    <row r="1976" spans="1:11" x14ac:dyDescent="0.35">
      <c r="A1976">
        <v>1975</v>
      </c>
      <c r="B1976" t="s">
        <v>2</v>
      </c>
      <c r="C1976" t="s">
        <v>72</v>
      </c>
      <c r="D1976" t="s">
        <v>140</v>
      </c>
      <c r="E1976" s="2">
        <v>44217.373541666668</v>
      </c>
      <c r="F1976" s="2">
        <v>44217.417974537035</v>
      </c>
      <c r="G1976" s="3">
        <v>4.443287036701804E-2</v>
      </c>
      <c r="H1976" s="3">
        <v>3862.384419942458</v>
      </c>
      <c r="I1976" s="3">
        <v>64.373073665707636</v>
      </c>
      <c r="J1976" s="3">
        <v>1.0728845610951272</v>
      </c>
      <c r="K1976" t="s">
        <v>73</v>
      </c>
    </row>
    <row r="1977" spans="1:11" x14ac:dyDescent="0.35">
      <c r="A1977">
        <v>1976</v>
      </c>
      <c r="B1977" t="s">
        <v>16</v>
      </c>
      <c r="C1977" t="s">
        <v>16</v>
      </c>
      <c r="D1977" t="s">
        <v>140</v>
      </c>
      <c r="E1977" s="2">
        <v>44217.418194444443</v>
      </c>
      <c r="F1977" s="2">
        <v>44217.422581018516</v>
      </c>
      <c r="G1977" s="3">
        <v>4.386574073578231E-3</v>
      </c>
      <c r="H1977" s="3">
        <v>381.30859471298947</v>
      </c>
      <c r="I1977" s="3">
        <v>6.3551432452164915</v>
      </c>
      <c r="J1977" s="3">
        <v>0.10591905408694152</v>
      </c>
    </row>
    <row r="1978" spans="1:11" x14ac:dyDescent="0.35">
      <c r="A1978">
        <v>1977</v>
      </c>
      <c r="B1978" t="s">
        <v>2</v>
      </c>
      <c r="C1978" t="s">
        <v>136</v>
      </c>
      <c r="D1978" t="s">
        <v>140</v>
      </c>
      <c r="E1978" s="2">
        <v>44217.422789351855</v>
      </c>
      <c r="F1978" s="2">
        <v>44217.429432870369</v>
      </c>
      <c r="G1978" s="3">
        <v>6.6435185144655406E-3</v>
      </c>
      <c r="H1978" s="3">
        <v>577.49639381654561</v>
      </c>
      <c r="I1978" s="3">
        <v>9.6249398969424274</v>
      </c>
      <c r="J1978" s="3">
        <v>0.16041566494904044</v>
      </c>
      <c r="K1978" t="s">
        <v>90</v>
      </c>
    </row>
    <row r="1979" spans="1:11" x14ac:dyDescent="0.35">
      <c r="A1979">
        <v>1978</v>
      </c>
      <c r="B1979" t="s">
        <v>11</v>
      </c>
      <c r="C1979" t="s">
        <v>11</v>
      </c>
      <c r="D1979" t="s">
        <v>140</v>
      </c>
      <c r="E1979" s="2">
        <v>44217.429560185185</v>
      </c>
      <c r="F1979" s="2">
        <v>44217.433541666665</v>
      </c>
      <c r="G1979" s="3">
        <v>3.9814814808778465E-3</v>
      </c>
      <c r="H1979" s="3">
        <v>346.09539993722586</v>
      </c>
      <c r="I1979" s="3">
        <v>5.7682566656204308</v>
      </c>
      <c r="J1979" s="3">
        <v>9.6137611093673844E-2</v>
      </c>
    </row>
    <row r="1980" spans="1:11" x14ac:dyDescent="0.35">
      <c r="A1980">
        <v>1979</v>
      </c>
      <c r="B1980" t="s">
        <v>2</v>
      </c>
      <c r="C1980" t="s">
        <v>96</v>
      </c>
      <c r="D1980" t="s">
        <v>140</v>
      </c>
      <c r="E1980" s="2">
        <v>44217.433912037035</v>
      </c>
      <c r="F1980" s="2">
        <v>44217.437627314815</v>
      </c>
      <c r="G1980" s="3">
        <v>3.7152777804294601E-3</v>
      </c>
      <c r="H1980" s="3">
        <v>322.95530080228269</v>
      </c>
      <c r="I1980" s="3">
        <v>5.3825883467047113</v>
      </c>
      <c r="J1980" s="3">
        <v>8.9709805778411852E-2</v>
      </c>
    </row>
    <row r="1981" spans="1:11" x14ac:dyDescent="0.35">
      <c r="A1981">
        <v>1980</v>
      </c>
      <c r="B1981" t="s">
        <v>2</v>
      </c>
      <c r="C1981" t="s">
        <v>96</v>
      </c>
      <c r="D1981" t="s">
        <v>140</v>
      </c>
      <c r="E1981" s="2">
        <v>44217.437789351854</v>
      </c>
      <c r="F1981" s="2">
        <v>44217.442187499997</v>
      </c>
      <c r="G1981" s="3">
        <v>4.3981481430819258E-3</v>
      </c>
      <c r="H1981" s="3">
        <v>382.3146855947432</v>
      </c>
      <c r="I1981" s="3">
        <v>6.3719114265790529</v>
      </c>
      <c r="J1981" s="3">
        <v>0.10619852377631754</v>
      </c>
    </row>
    <row r="1982" spans="1:11" x14ac:dyDescent="0.35">
      <c r="A1982">
        <v>1981</v>
      </c>
      <c r="B1982" t="s">
        <v>2</v>
      </c>
      <c r="C1982" t="s">
        <v>136</v>
      </c>
      <c r="D1982" t="s">
        <v>140</v>
      </c>
      <c r="E1982" s="2">
        <v>44217.442453703705</v>
      </c>
      <c r="F1982" s="2">
        <v>44217.476226851853</v>
      </c>
      <c r="G1982" s="3">
        <v>3.3773148148611654E-2</v>
      </c>
      <c r="H1982" s="3">
        <v>2935.7743522784817</v>
      </c>
      <c r="I1982" s="3">
        <v>48.929572537974693</v>
      </c>
      <c r="J1982" s="3">
        <v>0.81549287563291151</v>
      </c>
      <c r="K1982" t="s">
        <v>90</v>
      </c>
    </row>
    <row r="1983" spans="1:11" x14ac:dyDescent="0.35">
      <c r="A1983">
        <v>1982</v>
      </c>
      <c r="B1983" t="s">
        <v>16</v>
      </c>
      <c r="C1983" t="s">
        <v>16</v>
      </c>
      <c r="D1983" t="s">
        <v>140</v>
      </c>
      <c r="E1983" s="2">
        <v>44217.476342592592</v>
      </c>
      <c r="F1983" s="2">
        <v>44217.515532407408</v>
      </c>
      <c r="G1983" s="3">
        <v>3.9189814815472346E-2</v>
      </c>
      <c r="H1983" s="3">
        <v>3406.6250708859825</v>
      </c>
      <c r="I1983" s="3">
        <v>56.777084514766372</v>
      </c>
      <c r="J1983" s="3">
        <v>0.9462847419127729</v>
      </c>
    </row>
    <row r="1984" spans="1:11" x14ac:dyDescent="0.35">
      <c r="A1984">
        <v>1983</v>
      </c>
      <c r="B1984" t="s">
        <v>2</v>
      </c>
      <c r="C1984" t="s">
        <v>136</v>
      </c>
      <c r="D1984" t="s">
        <v>140</v>
      </c>
      <c r="E1984" s="2">
        <v>44217.5156712963</v>
      </c>
      <c r="F1984" s="2">
        <v>44217.540509259263</v>
      </c>
      <c r="G1984" s="3">
        <v>2.4837962962919846E-2</v>
      </c>
      <c r="H1984" s="3">
        <v>2159.0718848157026</v>
      </c>
      <c r="I1984" s="3">
        <v>35.984531413595043</v>
      </c>
      <c r="J1984" s="3">
        <v>0.59974219022658404</v>
      </c>
      <c r="K1984" t="s">
        <v>90</v>
      </c>
    </row>
    <row r="1985" spans="1:11" x14ac:dyDescent="0.35">
      <c r="A1985">
        <v>1984</v>
      </c>
      <c r="B1985" t="s">
        <v>2</v>
      </c>
      <c r="C1985" t="s">
        <v>96</v>
      </c>
      <c r="D1985" t="s">
        <v>140</v>
      </c>
      <c r="E1985" s="2">
        <v>44217.540706018517</v>
      </c>
      <c r="F1985" s="2">
        <v>44217.560717592591</v>
      </c>
      <c r="G1985" s="3">
        <v>2.0011574073578231E-2</v>
      </c>
      <c r="H1985" s="3">
        <v>1739.5318214167446</v>
      </c>
      <c r="I1985" s="3">
        <v>28.992197023612409</v>
      </c>
      <c r="J1985" s="3">
        <v>0.48320328372687349</v>
      </c>
    </row>
    <row r="1986" spans="1:11" x14ac:dyDescent="0.35">
      <c r="A1986">
        <v>1985</v>
      </c>
      <c r="B1986" t="s">
        <v>2</v>
      </c>
      <c r="C1986" t="s">
        <v>136</v>
      </c>
      <c r="D1986" t="s">
        <v>140</v>
      </c>
      <c r="E1986" s="2">
        <v>44217.560914351852</v>
      </c>
      <c r="F1986" s="2">
        <v>44217.608530092592</v>
      </c>
      <c r="G1986" s="3">
        <v>4.761574073927477E-2</v>
      </c>
      <c r="H1986" s="3">
        <v>4139.0595218423823</v>
      </c>
      <c r="I1986" s="3">
        <v>68.984325364039705</v>
      </c>
      <c r="J1986" s="3">
        <v>1.1497387560673284</v>
      </c>
      <c r="K1986" t="s">
        <v>90</v>
      </c>
    </row>
    <row r="1987" spans="1:11" x14ac:dyDescent="0.35">
      <c r="A1987">
        <v>1986</v>
      </c>
      <c r="B1987" t="s">
        <v>11</v>
      </c>
      <c r="C1987" t="s">
        <v>11</v>
      </c>
      <c r="D1987" t="s">
        <v>140</v>
      </c>
      <c r="E1987" s="2">
        <v>44217.608668981484</v>
      </c>
      <c r="F1987" s="2">
        <v>44217.613958333335</v>
      </c>
      <c r="G1987" s="3">
        <v>5.2893518513883464E-3</v>
      </c>
      <c r="H1987" s="3">
        <v>459.78371448090633</v>
      </c>
      <c r="I1987" s="3">
        <v>7.6630619080151057</v>
      </c>
      <c r="J1987" s="3">
        <v>0.12771769846691844</v>
      </c>
    </row>
    <row r="1988" spans="1:11" x14ac:dyDescent="0.35">
      <c r="A1988">
        <v>1987</v>
      </c>
      <c r="B1988" t="s">
        <v>2</v>
      </c>
      <c r="C1988" t="s">
        <v>136</v>
      </c>
      <c r="D1988" t="s">
        <v>140</v>
      </c>
      <c r="E1988" s="2">
        <v>44217.614166666666</v>
      </c>
      <c r="F1988" s="2">
        <v>44217.622870370367</v>
      </c>
      <c r="G1988" s="3">
        <v>8.703703701030463E-3</v>
      </c>
      <c r="H1988" s="3">
        <v>756.58064160556876</v>
      </c>
      <c r="I1988" s="3">
        <v>12.609677360092812</v>
      </c>
      <c r="J1988" s="3">
        <v>0.21016128933488021</v>
      </c>
      <c r="K1988" t="s">
        <v>90</v>
      </c>
    </row>
    <row r="1989" spans="1:11" x14ac:dyDescent="0.35">
      <c r="A1989">
        <v>1988</v>
      </c>
      <c r="B1989" t="s">
        <v>2</v>
      </c>
      <c r="C1989" t="s">
        <v>136</v>
      </c>
      <c r="D1989" t="s">
        <v>140</v>
      </c>
      <c r="E1989" s="2">
        <v>44217.623229166667</v>
      </c>
      <c r="F1989" s="2">
        <v>44217.638749999998</v>
      </c>
      <c r="G1989" s="3">
        <v>1.5520833330811001E-2</v>
      </c>
      <c r="H1989" s="3">
        <v>1349.1684049731398</v>
      </c>
      <c r="I1989" s="3">
        <v>22.486140082885662</v>
      </c>
      <c r="J1989" s="3">
        <v>0.37476900138142771</v>
      </c>
      <c r="K1989" t="s">
        <v>90</v>
      </c>
    </row>
    <row r="1990" spans="1:11" x14ac:dyDescent="0.35">
      <c r="A1990">
        <v>1989</v>
      </c>
      <c r="B1990" t="s">
        <v>16</v>
      </c>
      <c r="C1990" t="s">
        <v>16</v>
      </c>
      <c r="D1990" t="s">
        <v>140</v>
      </c>
      <c r="E1990" s="2">
        <v>44217.638877314814</v>
      </c>
      <c r="F1990" s="2">
        <v>44217.651655092595</v>
      </c>
      <c r="G1990" s="3">
        <v>1.2777777781593613E-2</v>
      </c>
      <c r="H1990" s="3">
        <v>1110.7247723916562</v>
      </c>
      <c r="I1990" s="3">
        <v>18.512079539860938</v>
      </c>
      <c r="J1990" s="3">
        <v>0.30853465899768229</v>
      </c>
    </row>
    <row r="1991" spans="1:11" x14ac:dyDescent="0.35">
      <c r="A1991">
        <v>1990</v>
      </c>
      <c r="B1991" t="s">
        <v>2</v>
      </c>
      <c r="C1991" t="s">
        <v>136</v>
      </c>
      <c r="D1991" t="s">
        <v>140</v>
      </c>
      <c r="E1991" s="2">
        <v>44217.65185185185</v>
      </c>
      <c r="F1991" s="2">
        <v>44217.655821759261</v>
      </c>
      <c r="G1991" s="3">
        <v>3.9699074113741517E-3</v>
      </c>
      <c r="H1991" s="3">
        <v>345.08930905547214</v>
      </c>
      <c r="I1991" s="3">
        <v>5.7514884842578686</v>
      </c>
      <c r="J1991" s="3">
        <v>9.5858141404297811E-2</v>
      </c>
      <c r="K1991" t="s">
        <v>90</v>
      </c>
    </row>
    <row r="1992" spans="1:11" x14ac:dyDescent="0.35">
      <c r="A1992">
        <v>1991</v>
      </c>
      <c r="B1992" t="s">
        <v>2</v>
      </c>
      <c r="C1992" t="s">
        <v>136</v>
      </c>
      <c r="D1992" t="s">
        <v>140</v>
      </c>
      <c r="E1992" s="2">
        <v>44217.655995370369</v>
      </c>
      <c r="F1992" s="2">
        <v>44217.659351851849</v>
      </c>
      <c r="G1992" s="3">
        <v>3.3564814802957699E-3</v>
      </c>
      <c r="H1992" s="3">
        <v>291.7664708184779</v>
      </c>
      <c r="I1992" s="3">
        <v>4.8627745136412983</v>
      </c>
      <c r="J1992" s="3">
        <v>8.1046241894021639E-2</v>
      </c>
      <c r="K1992" t="s">
        <v>90</v>
      </c>
    </row>
    <row r="1993" spans="1:11" x14ac:dyDescent="0.35">
      <c r="A1993">
        <v>1992</v>
      </c>
      <c r="B1993" t="s">
        <v>2</v>
      </c>
      <c r="C1993" t="s">
        <v>136</v>
      </c>
      <c r="D1993" t="s">
        <v>140</v>
      </c>
      <c r="E1993" s="2">
        <v>44217.659456018519</v>
      </c>
      <c r="F1993" s="2">
        <v>44217.673738425925</v>
      </c>
      <c r="G1993" s="3">
        <v>1.4282407406426501E-2</v>
      </c>
      <c r="H1993" s="3">
        <v>1241.5166382498696</v>
      </c>
      <c r="I1993" s="3">
        <v>20.691943970831161</v>
      </c>
      <c r="J1993" s="3">
        <v>0.34486573284718602</v>
      </c>
      <c r="K1993" t="s">
        <v>90</v>
      </c>
    </row>
    <row r="1994" spans="1:11" x14ac:dyDescent="0.35">
      <c r="A1994">
        <v>1993</v>
      </c>
      <c r="B1994" t="s">
        <v>2</v>
      </c>
      <c r="C1994" t="s">
        <v>136</v>
      </c>
      <c r="D1994" t="s">
        <v>140</v>
      </c>
      <c r="E1994" s="2">
        <v>44217.67396990741</v>
      </c>
      <c r="F1994" s="2">
        <v>44217.705868055556</v>
      </c>
      <c r="G1994" s="3">
        <v>3.1898148146865424E-2</v>
      </c>
      <c r="H1994" s="3">
        <v>2772.7875649222378</v>
      </c>
      <c r="I1994" s="3">
        <v>46.213126082037299</v>
      </c>
      <c r="J1994" s="3">
        <v>0.77021876803395495</v>
      </c>
      <c r="K1994" t="s">
        <v>90</v>
      </c>
    </row>
    <row r="1995" spans="1:11" x14ac:dyDescent="0.35">
      <c r="A1995">
        <v>1994</v>
      </c>
      <c r="B1995" t="s">
        <v>2</v>
      </c>
      <c r="C1995" t="s">
        <v>136</v>
      </c>
      <c r="D1995" t="s">
        <v>140</v>
      </c>
      <c r="E1995" s="2">
        <v>44217.818715277775</v>
      </c>
      <c r="F1995" s="2">
        <v>44217.84103009259</v>
      </c>
      <c r="G1995" s="3">
        <v>2.2314814814308193E-2</v>
      </c>
      <c r="H1995" s="3">
        <v>1939.7439859447315</v>
      </c>
      <c r="I1995" s="3">
        <v>32.329066432412191</v>
      </c>
      <c r="J1995" s="3">
        <v>0.53881777387353647</v>
      </c>
      <c r="K1995" t="s">
        <v>90</v>
      </c>
    </row>
    <row r="1996" spans="1:11" x14ac:dyDescent="0.35">
      <c r="A1996">
        <v>1995</v>
      </c>
      <c r="B1996" t="s">
        <v>11</v>
      </c>
      <c r="C1996" t="s">
        <v>11</v>
      </c>
      <c r="D1996" t="s">
        <v>140</v>
      </c>
      <c r="E1996" s="2">
        <v>44218.327245370368</v>
      </c>
      <c r="F1996" s="2">
        <v>44218.333495370367</v>
      </c>
      <c r="G1996" s="3">
        <v>6.2499999985448085E-3</v>
      </c>
      <c r="H1996" s="3">
        <v>543.28929055500771</v>
      </c>
      <c r="I1996" s="3">
        <v>9.0548215092501287</v>
      </c>
      <c r="J1996" s="3">
        <v>0.15091369182083547</v>
      </c>
    </row>
    <row r="1997" spans="1:11" x14ac:dyDescent="0.35">
      <c r="A1997">
        <v>1996</v>
      </c>
      <c r="B1997" t="s">
        <v>2</v>
      </c>
      <c r="C1997" t="s">
        <v>136</v>
      </c>
      <c r="D1997" t="s">
        <v>140</v>
      </c>
      <c r="E1997" s="2">
        <v>44218.333831018521</v>
      </c>
      <c r="F1997" s="2">
        <v>44218.405995370369</v>
      </c>
      <c r="G1997" s="3">
        <v>7.2164351848186925E-2</v>
      </c>
      <c r="H1997" s="3">
        <v>6272.979124494691</v>
      </c>
      <c r="I1997" s="3">
        <v>104.54965207491152</v>
      </c>
      <c r="J1997" s="3">
        <v>1.7424942012485254</v>
      </c>
      <c r="K1997" t="s">
        <v>90</v>
      </c>
    </row>
    <row r="1998" spans="1:11" x14ac:dyDescent="0.35">
      <c r="A1998">
        <v>1997</v>
      </c>
      <c r="B1998" t="s">
        <v>16</v>
      </c>
      <c r="C1998" t="s">
        <v>16</v>
      </c>
      <c r="D1998" t="s">
        <v>140</v>
      </c>
      <c r="E1998" s="2">
        <v>44218.406157407408</v>
      </c>
      <c r="F1998" s="2">
        <v>44218.409398148149</v>
      </c>
      <c r="G1998" s="3">
        <v>3.2407407416030765E-3</v>
      </c>
      <c r="H1998" s="3">
        <v>281.70555820610883</v>
      </c>
      <c r="I1998" s="3">
        <v>4.6950926367684804</v>
      </c>
      <c r="J1998" s="3">
        <v>7.8251543946141339E-2</v>
      </c>
    </row>
    <row r="1999" spans="1:11" x14ac:dyDescent="0.35">
      <c r="A1999">
        <v>1998</v>
      </c>
      <c r="B1999" t="s">
        <v>2</v>
      </c>
      <c r="C1999" t="s">
        <v>136</v>
      </c>
      <c r="D1999" t="s">
        <v>140</v>
      </c>
      <c r="E1999" s="2">
        <v>44218.409699074073</v>
      </c>
      <c r="F1999" s="2">
        <v>44218.418877314813</v>
      </c>
      <c r="G1999" s="3">
        <v>9.1782407398568466E-3</v>
      </c>
      <c r="H1999" s="3">
        <v>797.8303842017425</v>
      </c>
      <c r="I1999" s="3">
        <v>13.297173070029041</v>
      </c>
      <c r="J1999" s="3">
        <v>0.22161955116715068</v>
      </c>
      <c r="K1999" t="s">
        <v>90</v>
      </c>
    </row>
    <row r="2000" spans="1:11" x14ac:dyDescent="0.35">
      <c r="A2000">
        <v>1999</v>
      </c>
      <c r="B2000" t="s">
        <v>2</v>
      </c>
      <c r="C2000" t="s">
        <v>136</v>
      </c>
      <c r="D2000" t="s">
        <v>140</v>
      </c>
      <c r="E2000" s="2">
        <v>44218.418993055559</v>
      </c>
      <c r="F2000" s="2">
        <v>44218.421412037038</v>
      </c>
      <c r="G2000" s="3">
        <v>2.418981479422655E-3</v>
      </c>
      <c r="H2000" s="3">
        <v>210.27307714035595</v>
      </c>
      <c r="I2000" s="3">
        <v>3.5045512856725991</v>
      </c>
      <c r="J2000" s="3">
        <v>5.8409188094543318E-2</v>
      </c>
      <c r="K2000" t="s">
        <v>90</v>
      </c>
    </row>
    <row r="2001" spans="1:11" x14ac:dyDescent="0.35">
      <c r="A2001">
        <v>2000</v>
      </c>
      <c r="B2001" t="s">
        <v>2</v>
      </c>
      <c r="C2001" t="s">
        <v>136</v>
      </c>
      <c r="D2001" t="s">
        <v>140</v>
      </c>
      <c r="E2001" s="2">
        <v>44218.4216087963</v>
      </c>
      <c r="F2001" s="2">
        <v>44218.425543981481</v>
      </c>
      <c r="G2001" s="3">
        <v>3.9351851810351945E-3</v>
      </c>
      <c r="H2001" s="3">
        <v>342.07103451279505</v>
      </c>
      <c r="I2001" s="3">
        <v>5.7011839085465841</v>
      </c>
      <c r="J2001" s="3">
        <v>9.5019731809109734E-2</v>
      </c>
      <c r="K2001" t="s">
        <v>90</v>
      </c>
    </row>
    <row r="2002" spans="1:11" x14ac:dyDescent="0.35">
      <c r="A2002">
        <v>2001</v>
      </c>
      <c r="B2002" t="s">
        <v>2</v>
      </c>
      <c r="C2002" t="s">
        <v>136</v>
      </c>
      <c r="D2002" t="s">
        <v>140</v>
      </c>
      <c r="E2002" s="2">
        <v>44218.425694444442</v>
      </c>
      <c r="F2002" s="2">
        <v>44218.439641203702</v>
      </c>
      <c r="G2002" s="3">
        <v>1.3946759259852115E-2</v>
      </c>
      <c r="H2002" s="3">
        <v>1212.3399912945163</v>
      </c>
      <c r="I2002" s="3">
        <v>20.205666521575271</v>
      </c>
      <c r="J2002" s="3">
        <v>0.3367611086929212</v>
      </c>
      <c r="K2002" t="s">
        <v>90</v>
      </c>
    </row>
    <row r="2003" spans="1:11" x14ac:dyDescent="0.35">
      <c r="A2003">
        <v>2002</v>
      </c>
      <c r="B2003" t="s">
        <v>16</v>
      </c>
      <c r="C2003" t="s">
        <v>16</v>
      </c>
      <c r="D2003" t="s">
        <v>140</v>
      </c>
      <c r="E2003" s="2">
        <v>44218.439722222225</v>
      </c>
      <c r="F2003" s="2">
        <v>44218.441388888888</v>
      </c>
      <c r="G2003" s="3">
        <v>1.6666666633682325E-3</v>
      </c>
      <c r="H2003" s="3">
        <v>144.87714389501326</v>
      </c>
      <c r="I2003" s="3">
        <v>2.4146190649168875</v>
      </c>
      <c r="J2003" s="3">
        <v>4.0243651081948127E-2</v>
      </c>
    </row>
    <row r="2004" spans="1:11" x14ac:dyDescent="0.35">
      <c r="A2004">
        <v>2003</v>
      </c>
      <c r="B2004" t="s">
        <v>16</v>
      </c>
      <c r="C2004" t="s">
        <v>16</v>
      </c>
      <c r="D2004" t="s">
        <v>140</v>
      </c>
      <c r="E2004" s="2">
        <v>44218.441493055558</v>
      </c>
      <c r="F2004" s="2">
        <v>44218.447233796294</v>
      </c>
      <c r="G2004" s="3">
        <v>5.7407407366554253E-3</v>
      </c>
      <c r="H2004" s="3">
        <v>499.02127404862875</v>
      </c>
      <c r="I2004" s="3">
        <v>8.3170212341438123</v>
      </c>
      <c r="J2004" s="3">
        <v>0.13861702056906353</v>
      </c>
    </row>
    <row r="2005" spans="1:11" x14ac:dyDescent="0.35">
      <c r="A2005">
        <v>2004</v>
      </c>
      <c r="B2005" t="s">
        <v>2</v>
      </c>
      <c r="C2005" t="s">
        <v>136</v>
      </c>
      <c r="D2005" t="s">
        <v>140</v>
      </c>
      <c r="E2005" s="2">
        <v>44218.447384259256</v>
      </c>
      <c r="F2005" s="2">
        <v>44218.464155092595</v>
      </c>
      <c r="G2005" s="3">
        <v>1.6770833339251112E-2</v>
      </c>
      <c r="H2005" s="3">
        <v>1457.8262638431077</v>
      </c>
      <c r="I2005" s="3">
        <v>24.297104397385127</v>
      </c>
      <c r="J2005" s="3">
        <v>0.40495173995641875</v>
      </c>
      <c r="K2005" t="s">
        <v>90</v>
      </c>
    </row>
    <row r="2006" spans="1:11" x14ac:dyDescent="0.35">
      <c r="A2006">
        <v>2005</v>
      </c>
      <c r="B2006" t="s">
        <v>2</v>
      </c>
      <c r="C2006" t="s">
        <v>136</v>
      </c>
      <c r="D2006" t="s">
        <v>140</v>
      </c>
      <c r="E2006" s="2">
        <v>44218.464328703703</v>
      </c>
      <c r="F2006" s="2">
        <v>44218.468449074076</v>
      </c>
      <c r="G2006" s="3">
        <v>4.1203703731298447E-3</v>
      </c>
      <c r="H2006" s="3">
        <v>358.1684955780463</v>
      </c>
      <c r="I2006" s="3">
        <v>5.969474926300772</v>
      </c>
      <c r="J2006" s="3">
        <v>9.949124877167953E-2</v>
      </c>
      <c r="K2006" t="s">
        <v>90</v>
      </c>
    </row>
    <row r="2007" spans="1:11" x14ac:dyDescent="0.35">
      <c r="A2007">
        <v>2006</v>
      </c>
      <c r="B2007" t="s">
        <v>2</v>
      </c>
      <c r="C2007" t="s">
        <v>136</v>
      </c>
      <c r="D2007" t="s">
        <v>140</v>
      </c>
      <c r="E2007" s="2">
        <v>44218.468645833331</v>
      </c>
      <c r="F2007" s="2">
        <v>44218.469976851855</v>
      </c>
      <c r="G2007" s="3">
        <v>1.3310185240698047E-3</v>
      </c>
      <c r="H2007" s="3">
        <v>115.70049757213184</v>
      </c>
      <c r="I2007" s="3">
        <v>1.9283416262021973</v>
      </c>
      <c r="J2007" s="3">
        <v>3.2139027103369952E-2</v>
      </c>
      <c r="K2007" t="s">
        <v>90</v>
      </c>
    </row>
    <row r="2008" spans="1:11" x14ac:dyDescent="0.35">
      <c r="A2008">
        <v>2007</v>
      </c>
      <c r="B2008" t="s">
        <v>11</v>
      </c>
      <c r="C2008" t="s">
        <v>11</v>
      </c>
      <c r="D2008" t="s">
        <v>140</v>
      </c>
      <c r="E2008" s="2">
        <v>44218.47011574074</v>
      </c>
      <c r="F2008" s="2">
        <v>44218.474085648151</v>
      </c>
      <c r="G2008" s="3">
        <v>3.9699074113741517E-3</v>
      </c>
      <c r="H2008" s="3">
        <v>345.08930905547214</v>
      </c>
      <c r="I2008" s="3">
        <v>5.7514884842578686</v>
      </c>
      <c r="J2008" s="3">
        <v>9.5858141404297811E-2</v>
      </c>
    </row>
    <row r="2009" spans="1:11" x14ac:dyDescent="0.35">
      <c r="A2009">
        <v>2008</v>
      </c>
      <c r="B2009" t="s">
        <v>16</v>
      </c>
      <c r="C2009" t="s">
        <v>16</v>
      </c>
      <c r="D2009" t="s">
        <v>140</v>
      </c>
      <c r="E2009" s="2">
        <v>44218.474293981482</v>
      </c>
      <c r="F2009" s="2">
        <v>44218.504212962966</v>
      </c>
      <c r="G2009" s="3">
        <v>2.9918981483206153E-2</v>
      </c>
      <c r="H2009" s="3">
        <v>2600.7459564678506</v>
      </c>
      <c r="I2009" s="3">
        <v>43.345765941130843</v>
      </c>
      <c r="J2009" s="3">
        <v>0.72242943235218071</v>
      </c>
    </row>
    <row r="2010" spans="1:11" x14ac:dyDescent="0.35">
      <c r="A2010">
        <v>2009</v>
      </c>
      <c r="B2010" t="s">
        <v>11</v>
      </c>
      <c r="C2010" t="s">
        <v>11</v>
      </c>
      <c r="D2010" t="s">
        <v>140</v>
      </c>
      <c r="E2010" s="2">
        <v>44218.504340277781</v>
      </c>
      <c r="F2010" s="2">
        <v>44218.505937499998</v>
      </c>
      <c r="G2010" s="3">
        <v>1.5972222172422335E-3</v>
      </c>
      <c r="H2010" s="3">
        <v>138.84059607460304</v>
      </c>
      <c r="I2010" s="3">
        <v>2.3140099345767173</v>
      </c>
      <c r="J2010" s="3">
        <v>3.8566832242945291E-2</v>
      </c>
    </row>
    <row r="2011" spans="1:11" x14ac:dyDescent="0.35">
      <c r="A2011">
        <v>2010</v>
      </c>
      <c r="B2011" t="s">
        <v>2</v>
      </c>
      <c r="C2011" t="s">
        <v>136</v>
      </c>
      <c r="D2011" t="s">
        <v>140</v>
      </c>
      <c r="E2011" s="2">
        <v>44218.506041666667</v>
      </c>
      <c r="F2011" s="2">
        <v>44218.506990740738</v>
      </c>
      <c r="G2011" s="3">
        <v>9.4907407037680969E-4</v>
      </c>
      <c r="H2011" s="3">
        <v>82.499484559875668</v>
      </c>
      <c r="I2011" s="3">
        <v>1.3749914093312612</v>
      </c>
      <c r="J2011" s="3">
        <v>2.2916523488854354E-2</v>
      </c>
      <c r="K2011" t="s">
        <v>90</v>
      </c>
    </row>
    <row r="2012" spans="1:11" x14ac:dyDescent="0.35">
      <c r="A2012">
        <v>2011</v>
      </c>
      <c r="B2012" t="s">
        <v>11</v>
      </c>
      <c r="C2012" t="s">
        <v>11</v>
      </c>
      <c r="D2012" t="s">
        <v>140</v>
      </c>
      <c r="E2012" s="2">
        <v>44218.507048611114</v>
      </c>
      <c r="F2012" s="2">
        <v>44218.509328703702</v>
      </c>
      <c r="G2012" s="3">
        <v>2.2800925871706568E-3</v>
      </c>
      <c r="H2012" s="3">
        <v>198.19998149953551</v>
      </c>
      <c r="I2012" s="3">
        <v>3.3033330249922583</v>
      </c>
      <c r="J2012" s="3">
        <v>5.5055550416537639E-2</v>
      </c>
    </row>
    <row r="2013" spans="1:11" x14ac:dyDescent="0.35">
      <c r="A2013">
        <v>2012</v>
      </c>
      <c r="B2013" t="s">
        <v>2</v>
      </c>
      <c r="C2013" t="s">
        <v>96</v>
      </c>
      <c r="D2013" t="s">
        <v>140</v>
      </c>
      <c r="E2013" s="2">
        <v>44218.509618055556</v>
      </c>
      <c r="F2013" s="2">
        <v>44218.515833333331</v>
      </c>
      <c r="G2013" s="3">
        <v>6.2152777754818089E-3</v>
      </c>
      <c r="H2013" s="3">
        <v>540.27101664480256</v>
      </c>
      <c r="I2013" s="3">
        <v>9.0045169440800432</v>
      </c>
      <c r="J2013" s="3">
        <v>0.15007528240133405</v>
      </c>
    </row>
    <row r="2014" spans="1:11" x14ac:dyDescent="0.35">
      <c r="A2014">
        <v>2013</v>
      </c>
      <c r="B2014" t="s">
        <v>16</v>
      </c>
      <c r="C2014" t="s">
        <v>16</v>
      </c>
      <c r="D2014" t="s">
        <v>140</v>
      </c>
      <c r="E2014" s="2">
        <v>44218.515925925924</v>
      </c>
      <c r="F2014" s="2">
        <v>44218.522361111114</v>
      </c>
      <c r="G2014" s="3">
        <v>6.4351851906394586E-3</v>
      </c>
      <c r="H2014" s="3">
        <v>559.38675162025891</v>
      </c>
      <c r="I2014" s="3">
        <v>9.3231125270043158</v>
      </c>
      <c r="J2014" s="3">
        <v>0.15538520878340525</v>
      </c>
    </row>
    <row r="2015" spans="1:11" x14ac:dyDescent="0.35">
      <c r="A2015">
        <v>2014</v>
      </c>
      <c r="B2015" t="s">
        <v>2</v>
      </c>
      <c r="C2015" t="s">
        <v>96</v>
      </c>
      <c r="D2015" t="s">
        <v>140</v>
      </c>
      <c r="E2015" s="2">
        <v>44218.522604166668</v>
      </c>
      <c r="F2015" s="2">
        <v>44218.535000000003</v>
      </c>
      <c r="G2015" s="3">
        <v>1.2395833335176576E-2</v>
      </c>
      <c r="H2015" s="3">
        <v>1077.5237600118719</v>
      </c>
      <c r="I2015" s="3">
        <v>17.958729333531199</v>
      </c>
      <c r="J2015" s="3">
        <v>0.29931215555885332</v>
      </c>
    </row>
    <row r="2016" spans="1:11" x14ac:dyDescent="0.35">
      <c r="A2016">
        <v>2015</v>
      </c>
      <c r="B2016" t="s">
        <v>2</v>
      </c>
      <c r="C2016" t="s">
        <v>72</v>
      </c>
      <c r="D2016" t="s">
        <v>140</v>
      </c>
      <c r="E2016" s="2">
        <v>44218.535219907404</v>
      </c>
      <c r="F2016" s="2">
        <v>44218.557256944441</v>
      </c>
      <c r="G2016" s="3">
        <v>2.2037037037080154E-2</v>
      </c>
      <c r="H2016" s="3">
        <v>1915.5977952955627</v>
      </c>
      <c r="I2016" s="3">
        <v>31.926629921592713</v>
      </c>
      <c r="J2016" s="3">
        <v>0.53211049869321192</v>
      </c>
      <c r="K2016" t="s">
        <v>73</v>
      </c>
    </row>
    <row r="2017" spans="1:11" x14ac:dyDescent="0.35">
      <c r="A2017">
        <v>2016</v>
      </c>
      <c r="B2017" t="s">
        <v>11</v>
      </c>
      <c r="C2017" t="s">
        <v>11</v>
      </c>
      <c r="D2017" t="s">
        <v>140</v>
      </c>
      <c r="E2017" s="2">
        <v>44218.557326388887</v>
      </c>
      <c r="F2017" s="2">
        <v>44218.641956018517</v>
      </c>
      <c r="G2017" s="3">
        <v>8.46296296294895E-2</v>
      </c>
      <c r="H2017" s="3">
        <v>7356.5394323269729</v>
      </c>
      <c r="I2017" s="3">
        <v>122.60899053878288</v>
      </c>
      <c r="J2017" s="3">
        <v>2.0434831756463812</v>
      </c>
    </row>
    <row r="2018" spans="1:11" x14ac:dyDescent="0.35">
      <c r="A2018">
        <v>2017</v>
      </c>
      <c r="B2018" t="s">
        <v>11</v>
      </c>
      <c r="C2018" t="s">
        <v>11</v>
      </c>
      <c r="D2018" t="s">
        <v>140</v>
      </c>
      <c r="E2018" s="2">
        <v>44219.510393518518</v>
      </c>
      <c r="F2018" s="2">
        <v>44219.530671296299</v>
      </c>
      <c r="G2018" s="3">
        <v>2.0277777781302575E-2</v>
      </c>
      <c r="H2018" s="3">
        <v>1762.6719211841598</v>
      </c>
      <c r="I2018" s="3">
        <v>29.377865353069332</v>
      </c>
      <c r="J2018" s="3">
        <v>0.48963108921782222</v>
      </c>
    </row>
    <row r="2019" spans="1:11" x14ac:dyDescent="0.35">
      <c r="A2019">
        <v>2018</v>
      </c>
      <c r="B2019" t="s">
        <v>2</v>
      </c>
      <c r="C2019" t="s">
        <v>96</v>
      </c>
      <c r="D2019" t="s">
        <v>140</v>
      </c>
      <c r="E2019" s="2">
        <v>44219.879594907405</v>
      </c>
      <c r="F2019" s="2">
        <v>44219.896689814814</v>
      </c>
      <c r="G2019" s="3">
        <v>1.7094907409045845E-2</v>
      </c>
      <c r="H2019" s="3">
        <v>1485.9968192842355</v>
      </c>
      <c r="I2019" s="3">
        <v>24.76661365473726</v>
      </c>
      <c r="J2019" s="3">
        <v>0.41277689424562097</v>
      </c>
    </row>
    <row r="2020" spans="1:11" x14ac:dyDescent="0.35">
      <c r="A2020">
        <v>2019</v>
      </c>
      <c r="B2020" t="s">
        <v>2</v>
      </c>
      <c r="C2020" t="s">
        <v>96</v>
      </c>
      <c r="D2020" t="s">
        <v>140</v>
      </c>
      <c r="E2020" s="2">
        <v>44220.438240740739</v>
      </c>
      <c r="F2020" s="2">
        <v>44220.460486111115</v>
      </c>
      <c r="G2020" s="3">
        <v>2.2245370375458151E-2</v>
      </c>
      <c r="H2020" s="3">
        <v>1933.7074387567932</v>
      </c>
      <c r="I2020" s="3">
        <v>32.228457312613223</v>
      </c>
      <c r="J2020" s="3">
        <v>0.53714095521022043</v>
      </c>
    </row>
    <row r="2021" spans="1:11" x14ac:dyDescent="0.35">
      <c r="A2021">
        <v>2020</v>
      </c>
      <c r="B2021" t="s">
        <v>11</v>
      </c>
      <c r="C2021" t="s">
        <v>11</v>
      </c>
      <c r="D2021" t="s">
        <v>140</v>
      </c>
      <c r="E2021" s="2">
        <v>44220.460682870369</v>
      </c>
      <c r="F2021" s="2">
        <v>44220.461354166669</v>
      </c>
      <c r="G2021" s="3">
        <v>6.7129630042472854E-4</v>
      </c>
      <c r="H2021" s="3">
        <v>58.353294543178762</v>
      </c>
      <c r="I2021" s="3">
        <v>0.97255490905297937</v>
      </c>
      <c r="J2021" s="3">
        <v>1.6209248484216322E-2</v>
      </c>
    </row>
    <row r="2022" spans="1:11" x14ac:dyDescent="0.35">
      <c r="A2022">
        <v>2021</v>
      </c>
      <c r="B2022" t="s">
        <v>11</v>
      </c>
      <c r="C2022" t="s">
        <v>11</v>
      </c>
      <c r="D2022" t="s">
        <v>140</v>
      </c>
      <c r="E2022" s="2">
        <v>44220.462407407409</v>
      </c>
      <c r="F2022" s="2">
        <v>44220.487708333334</v>
      </c>
      <c r="G2022" s="3">
        <v>2.5300925924966577E-2</v>
      </c>
      <c r="H2022" s="3">
        <v>2199.315535897651</v>
      </c>
      <c r="I2022" s="3">
        <v>36.655258931627515</v>
      </c>
      <c r="J2022" s="3">
        <v>0.61092098219379187</v>
      </c>
    </row>
    <row r="2023" spans="1:11" x14ac:dyDescent="0.35">
      <c r="A2023">
        <v>2022</v>
      </c>
      <c r="B2023" t="s">
        <v>11</v>
      </c>
      <c r="C2023" t="s">
        <v>11</v>
      </c>
      <c r="D2023" t="s">
        <v>140</v>
      </c>
      <c r="E2023" s="2">
        <v>44220.714756944442</v>
      </c>
      <c r="F2023" s="2">
        <v>44220.733495370368</v>
      </c>
      <c r="G2023" s="3">
        <v>1.8738425926130731E-2</v>
      </c>
      <c r="H2023" s="3">
        <v>1628.8617807832693</v>
      </c>
      <c r="I2023" s="3">
        <v>27.147696346387821</v>
      </c>
      <c r="J2023" s="3">
        <v>0.45246160577313038</v>
      </c>
    </row>
    <row r="2024" spans="1:11" x14ac:dyDescent="0.35">
      <c r="A2024">
        <v>2023</v>
      </c>
      <c r="B2024" t="s">
        <v>11</v>
      </c>
      <c r="C2024" t="s">
        <v>11</v>
      </c>
      <c r="D2024" t="s">
        <v>140</v>
      </c>
      <c r="E2024" s="2">
        <v>44221.332002314812</v>
      </c>
      <c r="F2024" s="2">
        <v>44221.337708333333</v>
      </c>
      <c r="G2024" s="3">
        <v>5.7060185208683833E-3</v>
      </c>
      <c r="H2024" s="3">
        <v>496.0030007708956</v>
      </c>
      <c r="I2024" s="3">
        <v>8.2667166795149267</v>
      </c>
      <c r="J2024" s="3">
        <v>0.13777861132524877</v>
      </c>
    </row>
    <row r="2025" spans="1:11" x14ac:dyDescent="0.35">
      <c r="A2025">
        <v>2024</v>
      </c>
      <c r="B2025" t="s">
        <v>2</v>
      </c>
      <c r="C2025" t="s">
        <v>136</v>
      </c>
      <c r="D2025" t="s">
        <v>140</v>
      </c>
      <c r="E2025" s="2">
        <v>44221.337812500002</v>
      </c>
      <c r="F2025" s="2">
        <v>44221.338576388887</v>
      </c>
      <c r="G2025" s="3">
        <v>7.6388888555811718E-4</v>
      </c>
      <c r="H2025" s="3">
        <v>66.402024127096411</v>
      </c>
      <c r="I2025" s="3">
        <v>1.1067004021182736</v>
      </c>
      <c r="J2025" s="3">
        <v>1.8445006701971228E-2</v>
      </c>
      <c r="K2025" t="s">
        <v>90</v>
      </c>
    </row>
    <row r="2026" spans="1:11" x14ac:dyDescent="0.35">
      <c r="A2026">
        <v>2025</v>
      </c>
      <c r="B2026" t="s">
        <v>11</v>
      </c>
      <c r="C2026" t="s">
        <v>11</v>
      </c>
      <c r="D2026" t="s">
        <v>140</v>
      </c>
      <c r="E2026" s="2">
        <v>44221.338680555556</v>
      </c>
      <c r="F2026" s="2">
        <v>44221.341481481482</v>
      </c>
      <c r="G2026" s="3">
        <v>2.8009259258396924E-3</v>
      </c>
      <c r="H2026" s="3">
        <v>243.47408952014015</v>
      </c>
      <c r="I2026" s="3">
        <v>4.057901492002336</v>
      </c>
      <c r="J2026" s="3">
        <v>6.7631691533372271E-2</v>
      </c>
    </row>
    <row r="2027" spans="1:11" x14ac:dyDescent="0.35">
      <c r="A2027">
        <v>2026</v>
      </c>
      <c r="B2027" t="s">
        <v>16</v>
      </c>
      <c r="C2027" t="s">
        <v>16</v>
      </c>
      <c r="D2027" t="s">
        <v>140</v>
      </c>
      <c r="E2027" s="2">
        <v>44221.341585648152</v>
      </c>
      <c r="F2027" s="2">
        <v>44221.348981481482</v>
      </c>
      <c r="G2027" s="3">
        <v>7.3958333305199631E-3</v>
      </c>
      <c r="H2027" s="3">
        <v>642.8923270618883</v>
      </c>
      <c r="I2027" s="3">
        <v>10.714872117698139</v>
      </c>
      <c r="J2027" s="3">
        <v>0.17858120196163565</v>
      </c>
    </row>
    <row r="2028" spans="1:11" x14ac:dyDescent="0.35">
      <c r="A2028">
        <v>2027</v>
      </c>
      <c r="B2028" t="s">
        <v>11</v>
      </c>
      <c r="C2028" t="s">
        <v>11</v>
      </c>
      <c r="D2028" t="s">
        <v>140</v>
      </c>
      <c r="E2028" s="2">
        <v>44221.349108796298</v>
      </c>
      <c r="F2028" s="2">
        <v>44221.363402777781</v>
      </c>
      <c r="G2028" s="3">
        <v>1.4293981483206153E-2</v>
      </c>
      <c r="H2028" s="3">
        <v>1242.5227297640952</v>
      </c>
      <c r="I2028" s="3">
        <v>20.708712162734919</v>
      </c>
      <c r="J2028" s="3">
        <v>0.34514520271224863</v>
      </c>
    </row>
    <row r="2029" spans="1:11" x14ac:dyDescent="0.35">
      <c r="A2029">
        <v>2028</v>
      </c>
      <c r="B2029" t="s">
        <v>11</v>
      </c>
      <c r="C2029" t="s">
        <v>11</v>
      </c>
      <c r="D2029" t="s">
        <v>140</v>
      </c>
      <c r="E2029" s="2">
        <v>44221.363530092596</v>
      </c>
      <c r="F2029" s="2">
        <v>44221.363622685189</v>
      </c>
      <c r="G2029" s="3">
        <v>9.2592592409346253E-5</v>
      </c>
      <c r="H2029" s="3">
        <v>8.0487302163896253</v>
      </c>
      <c r="I2029" s="3">
        <v>0.13414550360649374</v>
      </c>
      <c r="J2029" s="3">
        <v>2.2357583934415623E-3</v>
      </c>
    </row>
    <row r="2030" spans="1:11" x14ac:dyDescent="0.35">
      <c r="A2030">
        <v>2029</v>
      </c>
      <c r="B2030" t="s">
        <v>16</v>
      </c>
      <c r="C2030" t="s">
        <v>16</v>
      </c>
      <c r="D2030" t="s">
        <v>140</v>
      </c>
      <c r="E2030" s="2">
        <v>44221.363680555558</v>
      </c>
      <c r="F2030" s="2">
        <v>44221.36582175926</v>
      </c>
      <c r="G2030" s="3">
        <v>2.1412037021946162E-3</v>
      </c>
      <c r="H2030" s="3">
        <v>186.12688649118707</v>
      </c>
      <c r="I2030" s="3">
        <v>3.1021147748531179</v>
      </c>
      <c r="J2030" s="3">
        <v>5.1701912914218634E-2</v>
      </c>
    </row>
    <row r="2031" spans="1:11" x14ac:dyDescent="0.35">
      <c r="A2031">
        <v>2030</v>
      </c>
      <c r="B2031" t="s">
        <v>11</v>
      </c>
      <c r="C2031" t="s">
        <v>11</v>
      </c>
      <c r="D2031" t="s">
        <v>140</v>
      </c>
      <c r="E2031" s="2">
        <v>44221.366053240738</v>
      </c>
      <c r="F2031" s="2">
        <v>44221.370717592596</v>
      </c>
      <c r="G2031" s="3">
        <v>4.6643518580822274E-3</v>
      </c>
      <c r="H2031" s="3">
        <v>405.4547859946303</v>
      </c>
      <c r="I2031" s="3">
        <v>6.7575797665771713</v>
      </c>
      <c r="J2031" s="3">
        <v>0.11262632944295285</v>
      </c>
    </row>
    <row r="2032" spans="1:11" x14ac:dyDescent="0.35">
      <c r="A2032">
        <v>2031</v>
      </c>
      <c r="B2032" t="s">
        <v>2</v>
      </c>
      <c r="C2032" t="s">
        <v>96</v>
      </c>
      <c r="D2032" t="s">
        <v>140</v>
      </c>
      <c r="E2032" s="2">
        <v>44221.370844907404</v>
      </c>
      <c r="F2032" s="2">
        <v>44221.383645833332</v>
      </c>
      <c r="G2032" s="3">
        <v>1.280092592787696E-2</v>
      </c>
      <c r="H2032" s="3">
        <v>1112.7369547876356</v>
      </c>
      <c r="I2032" s="3">
        <v>18.545615913127261</v>
      </c>
      <c r="J2032" s="3">
        <v>0.30909359855212099</v>
      </c>
    </row>
    <row r="2033" spans="1:11" x14ac:dyDescent="0.35">
      <c r="A2033">
        <v>2032</v>
      </c>
      <c r="B2033" t="s">
        <v>16</v>
      </c>
      <c r="C2033" t="s">
        <v>16</v>
      </c>
      <c r="D2033" t="s">
        <v>140</v>
      </c>
      <c r="E2033" s="2">
        <v>44221.383877314816</v>
      </c>
      <c r="F2033" s="2">
        <v>44221.384467592594</v>
      </c>
      <c r="G2033" s="3">
        <v>5.9027777751907706E-4</v>
      </c>
      <c r="H2033" s="3">
        <v>51.310655208542855</v>
      </c>
      <c r="I2033" s="3">
        <v>0.85517758680904754</v>
      </c>
      <c r="J2033" s="3">
        <v>1.4252959780150792E-2</v>
      </c>
    </row>
    <row r="2034" spans="1:11" x14ac:dyDescent="0.35">
      <c r="A2034">
        <v>2033</v>
      </c>
      <c r="B2034" t="s">
        <v>2</v>
      </c>
      <c r="C2034" t="s">
        <v>96</v>
      </c>
      <c r="D2034" t="s">
        <v>140</v>
      </c>
      <c r="E2034" s="2">
        <v>44221.384756944448</v>
      </c>
      <c r="F2034" s="2">
        <v>44221.388703703706</v>
      </c>
      <c r="G2034" s="3">
        <v>3.9467592578148469E-3</v>
      </c>
      <c r="H2034" s="3">
        <v>343.07712602702077</v>
      </c>
      <c r="I2034" s="3">
        <v>5.7179521004503462</v>
      </c>
      <c r="J2034" s="3">
        <v>9.529920167417244E-2</v>
      </c>
    </row>
    <row r="2035" spans="1:11" x14ac:dyDescent="0.35">
      <c r="A2035">
        <v>2034</v>
      </c>
      <c r="B2035" t="s">
        <v>2</v>
      </c>
      <c r="C2035" t="s">
        <v>96</v>
      </c>
      <c r="D2035" t="s">
        <v>140</v>
      </c>
      <c r="E2035" s="2">
        <v>44221.388842592591</v>
      </c>
      <c r="F2035" s="2">
        <v>44221.391099537039</v>
      </c>
      <c r="G2035" s="3">
        <v>2.2569444481632672E-3</v>
      </c>
      <c r="H2035" s="3">
        <v>196.1877997360281</v>
      </c>
      <c r="I2035" s="3">
        <v>3.2697966622671348</v>
      </c>
      <c r="J2035" s="3">
        <v>5.4496611037785581E-2</v>
      </c>
    </row>
    <row r="2036" spans="1:11" x14ac:dyDescent="0.35">
      <c r="A2036">
        <v>2035</v>
      </c>
      <c r="B2036" t="s">
        <v>2</v>
      </c>
      <c r="C2036" t="s">
        <v>96</v>
      </c>
      <c r="D2036" t="s">
        <v>140</v>
      </c>
      <c r="E2036" s="2">
        <v>44221.391296296293</v>
      </c>
      <c r="F2036" s="2">
        <v>44221.40053240741</v>
      </c>
      <c r="G2036" s="3">
        <v>9.236111116479151E-3</v>
      </c>
      <c r="H2036" s="3">
        <v>802.86084114039897</v>
      </c>
      <c r="I2036" s="3">
        <v>13.381014019006649</v>
      </c>
      <c r="J2036" s="3">
        <v>0.22301690031677748</v>
      </c>
    </row>
    <row r="2037" spans="1:11" x14ac:dyDescent="0.35">
      <c r="A2037">
        <v>2036</v>
      </c>
      <c r="B2037" t="s">
        <v>2</v>
      </c>
      <c r="C2037" t="s">
        <v>96</v>
      </c>
      <c r="D2037" t="s">
        <v>140</v>
      </c>
      <c r="E2037" s="2">
        <v>44221.400694444441</v>
      </c>
      <c r="F2037" s="2">
        <v>44221.407233796293</v>
      </c>
      <c r="G2037" s="3">
        <v>6.5393518525524996E-3</v>
      </c>
      <c r="H2037" s="3">
        <v>568.4415727184022</v>
      </c>
      <c r="I2037" s="3">
        <v>9.4740262119733707</v>
      </c>
      <c r="J2037" s="3">
        <v>0.15790043686622285</v>
      </c>
    </row>
    <row r="2038" spans="1:11" x14ac:dyDescent="0.35">
      <c r="A2038">
        <v>2037</v>
      </c>
      <c r="B2038" t="s">
        <v>2</v>
      </c>
      <c r="C2038" t="s">
        <v>136</v>
      </c>
      <c r="D2038" t="s">
        <v>140</v>
      </c>
      <c r="E2038" s="2">
        <v>44221.407372685186</v>
      </c>
      <c r="F2038" s="2">
        <v>44221.42359953704</v>
      </c>
      <c r="G2038" s="3">
        <v>1.6226851854298729E-2</v>
      </c>
      <c r="H2038" s="3">
        <v>1410.5399734265236</v>
      </c>
      <c r="I2038" s="3">
        <v>23.508999557108726</v>
      </c>
      <c r="J2038" s="3">
        <v>0.39181665928514542</v>
      </c>
      <c r="K2038" t="s">
        <v>90</v>
      </c>
    </row>
    <row r="2039" spans="1:11" x14ac:dyDescent="0.35">
      <c r="A2039">
        <v>2038</v>
      </c>
      <c r="B2039" t="s">
        <v>16</v>
      </c>
      <c r="C2039" t="s">
        <v>16</v>
      </c>
      <c r="D2039" t="s">
        <v>140</v>
      </c>
      <c r="E2039" s="2">
        <v>44221.423715277779</v>
      </c>
      <c r="F2039" s="2">
        <v>44221.427546296298</v>
      </c>
      <c r="G2039" s="3">
        <v>3.8310185191221535E-3</v>
      </c>
      <c r="H2039" s="3">
        <v>333.0162134146517</v>
      </c>
      <c r="I2039" s="3">
        <v>5.5502702235775283</v>
      </c>
      <c r="J2039" s="3">
        <v>9.2504503726292139E-2</v>
      </c>
    </row>
    <row r="2040" spans="1:11" x14ac:dyDescent="0.35">
      <c r="A2040">
        <v>2039</v>
      </c>
      <c r="B2040" t="s">
        <v>2</v>
      </c>
      <c r="C2040" t="s">
        <v>136</v>
      </c>
      <c r="D2040" t="s">
        <v>140</v>
      </c>
      <c r="E2040" s="2">
        <v>44221.427719907406</v>
      </c>
      <c r="F2040" s="2">
        <v>44221.461296296293</v>
      </c>
      <c r="G2040" s="3">
        <v>3.3576388887013309E-2</v>
      </c>
      <c r="H2040" s="3">
        <v>2918.6708003314766</v>
      </c>
      <c r="I2040" s="3">
        <v>48.644513338857941</v>
      </c>
      <c r="J2040" s="3">
        <v>0.81074188898096566</v>
      </c>
      <c r="K2040" t="s">
        <v>90</v>
      </c>
    </row>
    <row r="2041" spans="1:11" x14ac:dyDescent="0.35">
      <c r="A2041">
        <v>2040</v>
      </c>
      <c r="B2041" t="s">
        <v>16</v>
      </c>
      <c r="C2041" t="s">
        <v>16</v>
      </c>
      <c r="D2041" t="s">
        <v>140</v>
      </c>
      <c r="E2041" s="2">
        <v>44221.461423611108</v>
      </c>
      <c r="F2041" s="2">
        <v>44221.466736111113</v>
      </c>
      <c r="G2041" s="3">
        <v>5.3125000049476512E-3</v>
      </c>
      <c r="H2041" s="3">
        <v>461.7958975093577</v>
      </c>
      <c r="I2041" s="3">
        <v>7.6965982918226281</v>
      </c>
      <c r="J2041" s="3">
        <v>0.1282766381970438</v>
      </c>
    </row>
    <row r="2042" spans="1:11" x14ac:dyDescent="0.35">
      <c r="A2042">
        <v>2041</v>
      </c>
      <c r="B2042" t="s">
        <v>2</v>
      </c>
      <c r="C2042" t="s">
        <v>136</v>
      </c>
      <c r="D2042" t="s">
        <v>140</v>
      </c>
      <c r="E2042" s="2">
        <v>44221.467106481483</v>
      </c>
      <c r="F2042" s="2">
        <v>44221.470509259256</v>
      </c>
      <c r="G2042" s="3">
        <v>3.4027777728624642E-3</v>
      </c>
      <c r="H2042" s="3">
        <v>295.79083561043672</v>
      </c>
      <c r="I2042" s="3">
        <v>4.9298472601739451</v>
      </c>
      <c r="J2042" s="3">
        <v>8.216412100289909E-2</v>
      </c>
      <c r="K2042" t="s">
        <v>90</v>
      </c>
    </row>
    <row r="2043" spans="1:11" x14ac:dyDescent="0.35">
      <c r="A2043">
        <v>2042</v>
      </c>
      <c r="B2043" t="s">
        <v>16</v>
      </c>
      <c r="C2043" t="s">
        <v>16</v>
      </c>
      <c r="D2043" t="s">
        <v>140</v>
      </c>
      <c r="E2043" s="2">
        <v>44221.470671296294</v>
      </c>
      <c r="F2043" s="2">
        <v>44221.502592592595</v>
      </c>
      <c r="G2043" s="3">
        <v>3.1921296300424729E-2</v>
      </c>
      <c r="H2043" s="3">
        <v>2774.7997479506889</v>
      </c>
      <c r="I2043" s="3">
        <v>46.246662465844814</v>
      </c>
      <c r="J2043" s="3">
        <v>0.77077770776408028</v>
      </c>
    </row>
    <row r="2044" spans="1:11" x14ac:dyDescent="0.35">
      <c r="A2044">
        <v>2043</v>
      </c>
      <c r="B2044" t="s">
        <v>11</v>
      </c>
      <c r="C2044" t="s">
        <v>11</v>
      </c>
      <c r="D2044" t="s">
        <v>140</v>
      </c>
      <c r="E2044" s="2">
        <v>44221.502662037034</v>
      </c>
      <c r="F2044" s="2">
        <v>44221.511388888888</v>
      </c>
      <c r="G2044" s="3">
        <v>8.7268518545897678E-3</v>
      </c>
      <c r="H2044" s="3">
        <v>758.59282463402008</v>
      </c>
      <c r="I2044" s="3">
        <v>12.643213743900334</v>
      </c>
      <c r="J2044" s="3">
        <v>0.21072022906500557</v>
      </c>
    </row>
    <row r="2045" spans="1:11" x14ac:dyDescent="0.35">
      <c r="A2045">
        <v>2044</v>
      </c>
      <c r="B2045" t="s">
        <v>11</v>
      </c>
      <c r="C2045" t="s">
        <v>11</v>
      </c>
      <c r="D2045" t="s">
        <v>140</v>
      </c>
      <c r="E2045" s="2">
        <v>44221.51152777778</v>
      </c>
      <c r="F2045" s="2">
        <v>44221.532511574071</v>
      </c>
      <c r="G2045" s="3">
        <v>2.0983796290238388E-2</v>
      </c>
      <c r="H2045" s="3">
        <v>1824.0434883725998</v>
      </c>
      <c r="I2045" s="3">
        <v>30.400724806209997</v>
      </c>
      <c r="J2045" s="3">
        <v>0.50667874677016667</v>
      </c>
    </row>
    <row r="2046" spans="1:11" x14ac:dyDescent="0.35">
      <c r="A2046">
        <v>2045</v>
      </c>
      <c r="B2046" t="s">
        <v>2</v>
      </c>
      <c r="C2046" t="s">
        <v>136</v>
      </c>
      <c r="D2046" t="s">
        <v>140</v>
      </c>
      <c r="E2046" s="2">
        <v>44221.532986111109</v>
      </c>
      <c r="F2046" s="2">
        <v>44221.540821759256</v>
      </c>
      <c r="G2046" s="3">
        <v>7.8356481462833472E-3</v>
      </c>
      <c r="H2046" s="3">
        <v>681.123795747857</v>
      </c>
      <c r="I2046" s="3">
        <v>11.352063262464283</v>
      </c>
      <c r="J2046" s="3">
        <v>0.18920105437440471</v>
      </c>
      <c r="K2046" t="s">
        <v>90</v>
      </c>
    </row>
    <row r="2047" spans="1:11" x14ac:dyDescent="0.35">
      <c r="A2047">
        <v>2046</v>
      </c>
      <c r="B2047" t="s">
        <v>2</v>
      </c>
      <c r="C2047" t="s">
        <v>96</v>
      </c>
      <c r="D2047" t="s">
        <v>140</v>
      </c>
      <c r="E2047" s="2">
        <v>44221.540995370371</v>
      </c>
      <c r="F2047" s="2">
        <v>44221.561550925922</v>
      </c>
      <c r="G2047" s="3">
        <v>2.0555555551254656E-2</v>
      </c>
      <c r="H2047" s="3">
        <v>1786.8181112008567</v>
      </c>
      <c r="I2047" s="3">
        <v>29.780301853347613</v>
      </c>
      <c r="J2047" s="3">
        <v>0.49633836422246019</v>
      </c>
    </row>
    <row r="2048" spans="1:11" x14ac:dyDescent="0.35">
      <c r="A2048">
        <v>2047</v>
      </c>
      <c r="B2048" t="s">
        <v>11</v>
      </c>
      <c r="C2048" t="s">
        <v>11</v>
      </c>
      <c r="D2048" t="s">
        <v>140</v>
      </c>
      <c r="E2048" s="2">
        <v>44221.561759259261</v>
      </c>
      <c r="F2048" s="2">
        <v>44221.563877314817</v>
      </c>
      <c r="G2048" s="3">
        <v>2.118055555911269E-3</v>
      </c>
      <c r="H2048" s="3">
        <v>184.11470409520766</v>
      </c>
      <c r="I2048" s="3">
        <v>3.0685784015867941</v>
      </c>
      <c r="J2048" s="3">
        <v>5.1142973359779902E-2</v>
      </c>
    </row>
    <row r="2049" spans="1:11" x14ac:dyDescent="0.35">
      <c r="A2049">
        <v>2048</v>
      </c>
      <c r="B2049" t="s">
        <v>11</v>
      </c>
      <c r="C2049" t="s">
        <v>11</v>
      </c>
      <c r="D2049" t="s">
        <v>140</v>
      </c>
      <c r="E2049" s="2">
        <v>44221.564004629632</v>
      </c>
      <c r="F2049" s="2">
        <v>44221.566550925927</v>
      </c>
      <c r="G2049" s="3">
        <v>2.5462962948950008E-3</v>
      </c>
      <c r="H2049" s="3">
        <v>221.34008126695068</v>
      </c>
      <c r="I2049" s="3">
        <v>3.6890013544491778</v>
      </c>
      <c r="J2049" s="3">
        <v>6.1483355907486298E-2</v>
      </c>
    </row>
    <row r="2050" spans="1:11" x14ac:dyDescent="0.35">
      <c r="A2050">
        <v>2049</v>
      </c>
      <c r="B2050" t="s">
        <v>2</v>
      </c>
      <c r="C2050" t="s">
        <v>136</v>
      </c>
      <c r="D2050" t="s">
        <v>140</v>
      </c>
      <c r="E2050" s="2">
        <v>44221.566759259258</v>
      </c>
      <c r="F2050" s="2">
        <v>44221.591782407406</v>
      </c>
      <c r="G2050" s="3">
        <v>2.5023148147738539E-2</v>
      </c>
      <c r="H2050" s="3">
        <v>2175.1693452484819</v>
      </c>
      <c r="I2050" s="3">
        <v>36.25282242080803</v>
      </c>
      <c r="J2050" s="3">
        <v>0.60421370701346722</v>
      </c>
      <c r="K2050" t="s">
        <v>90</v>
      </c>
    </row>
    <row r="2051" spans="1:11" x14ac:dyDescent="0.35">
      <c r="A2051">
        <v>2050</v>
      </c>
      <c r="B2051" t="s">
        <v>16</v>
      </c>
      <c r="C2051" t="s">
        <v>16</v>
      </c>
      <c r="D2051" t="s">
        <v>140</v>
      </c>
      <c r="E2051" s="2">
        <v>44221.592083333337</v>
      </c>
      <c r="F2051" s="2">
        <v>44221.599409722221</v>
      </c>
      <c r="G2051" s="3">
        <v>7.326388884393964E-3</v>
      </c>
      <c r="H2051" s="3">
        <v>636.8557792414781</v>
      </c>
      <c r="I2051" s="3">
        <v>10.614262987357968</v>
      </c>
      <c r="J2051" s="3">
        <v>0.17690438312263279</v>
      </c>
    </row>
    <row r="2052" spans="1:11" x14ac:dyDescent="0.35">
      <c r="A2052">
        <v>2051</v>
      </c>
      <c r="B2052" t="s">
        <v>11</v>
      </c>
      <c r="C2052" t="s">
        <v>11</v>
      </c>
      <c r="D2052" t="s">
        <v>140</v>
      </c>
      <c r="E2052" s="2">
        <v>44221.599537037036</v>
      </c>
      <c r="F2052" s="2">
        <v>44221.616446759261</v>
      </c>
      <c r="G2052" s="3">
        <v>1.6909722224227153E-2</v>
      </c>
      <c r="H2052" s="3">
        <v>1469.8993588514561</v>
      </c>
      <c r="I2052" s="3">
        <v>24.498322647524269</v>
      </c>
      <c r="J2052" s="3">
        <v>0.40830537745873779</v>
      </c>
    </row>
    <row r="2053" spans="1:11" x14ac:dyDescent="0.35">
      <c r="A2053">
        <v>2052</v>
      </c>
      <c r="B2053" t="s">
        <v>11</v>
      </c>
      <c r="C2053" t="s">
        <v>11</v>
      </c>
      <c r="D2053" t="s">
        <v>140</v>
      </c>
      <c r="E2053" s="2">
        <v>44221.616597222222</v>
      </c>
      <c r="F2053" s="2">
        <v>44221.617928240739</v>
      </c>
      <c r="G2053" s="3">
        <v>1.3310185167938471E-3</v>
      </c>
      <c r="H2053" s="3">
        <v>115.70049693965986</v>
      </c>
      <c r="I2053" s="3">
        <v>1.9283416156609976</v>
      </c>
      <c r="J2053" s="3">
        <v>3.2139026927683292E-2</v>
      </c>
    </row>
    <row r="2054" spans="1:11" x14ac:dyDescent="0.35">
      <c r="A2054">
        <v>2053</v>
      </c>
      <c r="B2054" t="s">
        <v>2</v>
      </c>
      <c r="C2054" t="s">
        <v>136</v>
      </c>
      <c r="D2054" t="s">
        <v>140</v>
      </c>
      <c r="E2054" s="2">
        <v>44221.618043981478</v>
      </c>
      <c r="F2054" s="2">
        <v>44221.635300925926</v>
      </c>
      <c r="G2054" s="3">
        <v>1.7256944447581191E-2</v>
      </c>
      <c r="H2054" s="3">
        <v>1500.0820973210352</v>
      </c>
      <c r="I2054" s="3">
        <v>25.001368288683921</v>
      </c>
      <c r="J2054" s="3">
        <v>0.41668947147806534</v>
      </c>
      <c r="K2054" t="s">
        <v>90</v>
      </c>
    </row>
    <row r="2055" spans="1:11" x14ac:dyDescent="0.35">
      <c r="A2055">
        <v>2054</v>
      </c>
      <c r="B2055" t="s">
        <v>2</v>
      </c>
      <c r="C2055" t="s">
        <v>96</v>
      </c>
      <c r="D2055" t="s">
        <v>140</v>
      </c>
      <c r="E2055" s="2">
        <v>44221.635474537034</v>
      </c>
      <c r="F2055" s="2">
        <v>44221.639560185184</v>
      </c>
      <c r="G2055" s="3">
        <v>4.0856481500668451E-3</v>
      </c>
      <c r="H2055" s="3">
        <v>355.15022166784115</v>
      </c>
      <c r="I2055" s="3">
        <v>5.9191703611306856</v>
      </c>
      <c r="J2055" s="3">
        <v>9.8652839352178098E-2</v>
      </c>
    </row>
    <row r="2056" spans="1:11" x14ac:dyDescent="0.35">
      <c r="A2056">
        <v>2055</v>
      </c>
      <c r="B2056" t="s">
        <v>2</v>
      </c>
      <c r="C2056" t="s">
        <v>136</v>
      </c>
      <c r="D2056" t="s">
        <v>140</v>
      </c>
      <c r="E2056" s="2">
        <v>44221.639745370368</v>
      </c>
      <c r="F2056" s="2">
        <v>44221.7030787037</v>
      </c>
      <c r="G2056" s="3">
        <v>6.3333333331684116E-2</v>
      </c>
      <c r="H2056" s="3">
        <v>5505.3314787625268</v>
      </c>
      <c r="I2056" s="3">
        <v>91.755524646042119</v>
      </c>
      <c r="J2056" s="3">
        <v>1.5292587441007019</v>
      </c>
      <c r="K2056" t="s">
        <v>90</v>
      </c>
    </row>
    <row r="2057" spans="1:11" x14ac:dyDescent="0.35">
      <c r="A2057">
        <v>2056</v>
      </c>
      <c r="B2057" t="s">
        <v>16</v>
      </c>
      <c r="C2057" t="s">
        <v>16</v>
      </c>
      <c r="D2057" t="s">
        <v>140</v>
      </c>
      <c r="E2057" s="2">
        <v>44221.703217592592</v>
      </c>
      <c r="F2057" s="2">
        <v>44221.730231481481</v>
      </c>
      <c r="G2057" s="3">
        <v>2.7013888888177462E-2</v>
      </c>
      <c r="H2057" s="3">
        <v>2348.2170452170949</v>
      </c>
      <c r="I2057" s="3">
        <v>39.136950753618251</v>
      </c>
      <c r="J2057" s="3">
        <v>0.65228251256030423</v>
      </c>
    </row>
    <row r="2058" spans="1:11" x14ac:dyDescent="0.35">
      <c r="A2058">
        <v>2057</v>
      </c>
      <c r="B2058" t="s">
        <v>2</v>
      </c>
      <c r="C2058" t="s">
        <v>96</v>
      </c>
      <c r="D2058" t="s">
        <v>140</v>
      </c>
      <c r="E2058" s="2">
        <v>44221.730370370373</v>
      </c>
      <c r="F2058" s="2">
        <v>44221.740636574075</v>
      </c>
      <c r="G2058" s="3">
        <v>1.0266203702485655E-2</v>
      </c>
      <c r="H2058" s="3">
        <v>892.40296440243867</v>
      </c>
      <c r="I2058" s="3">
        <v>14.873382740040645</v>
      </c>
      <c r="J2058" s="3">
        <v>0.24788971233401075</v>
      </c>
    </row>
    <row r="2059" spans="1:11" x14ac:dyDescent="0.35">
      <c r="A2059">
        <v>2058</v>
      </c>
      <c r="B2059" t="s">
        <v>11</v>
      </c>
      <c r="C2059" t="s">
        <v>11</v>
      </c>
      <c r="D2059" t="s">
        <v>140</v>
      </c>
      <c r="E2059" s="2">
        <v>44221.767164351855</v>
      </c>
      <c r="F2059" s="2">
        <v>44221.769097222219</v>
      </c>
      <c r="G2059" s="3">
        <v>1.9328703638166189E-3</v>
      </c>
      <c r="H2059" s="3">
        <v>168.01724302995643</v>
      </c>
      <c r="I2059" s="3">
        <v>2.800287383832607</v>
      </c>
      <c r="J2059" s="3">
        <v>4.6671456397210119E-2</v>
      </c>
    </row>
    <row r="2060" spans="1:11" x14ac:dyDescent="0.35">
      <c r="A2060">
        <v>2059</v>
      </c>
      <c r="B2060" t="s">
        <v>2</v>
      </c>
      <c r="C2060" t="s">
        <v>136</v>
      </c>
      <c r="D2060" t="s">
        <v>140</v>
      </c>
      <c r="E2060" s="2">
        <v>44221.769247685188</v>
      </c>
      <c r="F2060" s="2">
        <v>44221.791608796295</v>
      </c>
      <c r="G2060" s="3">
        <v>2.2361111106874887E-2</v>
      </c>
      <c r="H2060" s="3">
        <v>1943.7683507366903</v>
      </c>
      <c r="I2060" s="3">
        <v>32.396139178944836</v>
      </c>
      <c r="J2060" s="3">
        <v>0.53993565298241397</v>
      </c>
      <c r="K2060" t="s">
        <v>90</v>
      </c>
    </row>
    <row r="2061" spans="1:11" x14ac:dyDescent="0.35">
      <c r="A2061">
        <v>2060</v>
      </c>
      <c r="B2061" t="s">
        <v>2</v>
      </c>
      <c r="C2061" t="s">
        <v>136</v>
      </c>
      <c r="D2061" t="s">
        <v>140</v>
      </c>
      <c r="E2061" s="2">
        <v>44221.792754629627</v>
      </c>
      <c r="F2061" s="2">
        <v>44221.801562499997</v>
      </c>
      <c r="G2061" s="3">
        <v>8.8078703702194616E-3</v>
      </c>
      <c r="H2061" s="3">
        <v>765.63546333618399</v>
      </c>
      <c r="I2061" s="3">
        <v>12.760591055603067</v>
      </c>
      <c r="J2061" s="3">
        <v>0.21267651759338443</v>
      </c>
      <c r="K2061" t="s">
        <v>90</v>
      </c>
    </row>
    <row r="2062" spans="1:11" x14ac:dyDescent="0.35">
      <c r="A2062">
        <v>2061</v>
      </c>
      <c r="B2062" t="s">
        <v>11</v>
      </c>
      <c r="C2062" t="s">
        <v>11</v>
      </c>
      <c r="D2062" t="s">
        <v>140</v>
      </c>
      <c r="E2062" s="2">
        <v>44221.802060185182</v>
      </c>
      <c r="F2062" s="2">
        <v>44221.808599537035</v>
      </c>
      <c r="G2062" s="3">
        <v>6.5393518525524996E-3</v>
      </c>
      <c r="H2062" s="3">
        <v>568.4415727184022</v>
      </c>
      <c r="I2062" s="3">
        <v>9.4740262119733707</v>
      </c>
      <c r="J2062" s="3">
        <v>0.15790043686622285</v>
      </c>
    </row>
    <row r="2063" spans="1:11" x14ac:dyDescent="0.35">
      <c r="A2063">
        <v>2062</v>
      </c>
      <c r="B2063" t="s">
        <v>11</v>
      </c>
      <c r="C2063" t="s">
        <v>11</v>
      </c>
      <c r="D2063" t="s">
        <v>140</v>
      </c>
      <c r="E2063" s="2">
        <v>44222.344652777778</v>
      </c>
      <c r="F2063" s="2">
        <v>44222.352754629632</v>
      </c>
      <c r="G2063" s="3">
        <v>8.1018518540076911E-3</v>
      </c>
      <c r="H2063" s="3">
        <v>704.26389551527211</v>
      </c>
      <c r="I2063" s="3">
        <v>11.737731591921202</v>
      </c>
      <c r="J2063" s="3">
        <v>0.19562885986535336</v>
      </c>
    </row>
    <row r="2064" spans="1:11" x14ac:dyDescent="0.35">
      <c r="A2064">
        <v>2063</v>
      </c>
      <c r="B2064" t="s">
        <v>2</v>
      </c>
      <c r="C2064" t="s">
        <v>136</v>
      </c>
      <c r="D2064" t="s">
        <v>140</v>
      </c>
      <c r="E2064" s="2">
        <v>44222.352916666663</v>
      </c>
      <c r="F2064" s="2">
        <v>44222.374965277777</v>
      </c>
      <c r="G2064" s="3">
        <v>2.2048611113859806E-2</v>
      </c>
      <c r="H2064" s="3">
        <v>1916.6038868097883</v>
      </c>
      <c r="I2064" s="3">
        <v>31.943398113496471</v>
      </c>
      <c r="J2064" s="3">
        <v>0.53238996855827447</v>
      </c>
      <c r="K2064" t="s">
        <v>90</v>
      </c>
    </row>
    <row r="2065" spans="1:11" x14ac:dyDescent="0.35">
      <c r="A2065">
        <v>2064</v>
      </c>
      <c r="B2065" t="s">
        <v>2</v>
      </c>
      <c r="C2065" t="s">
        <v>136</v>
      </c>
      <c r="D2065" t="s">
        <v>140</v>
      </c>
      <c r="E2065" s="2">
        <v>44222.375138888892</v>
      </c>
      <c r="F2065" s="2">
        <v>44222.378888888888</v>
      </c>
      <c r="G2065" s="3">
        <v>3.749999996216502E-3</v>
      </c>
      <c r="H2065" s="3">
        <v>325.97357408001579</v>
      </c>
      <c r="I2065" s="3">
        <v>5.4328929013335969</v>
      </c>
      <c r="J2065" s="3">
        <v>9.0548215022226611E-2</v>
      </c>
      <c r="K2065" t="s">
        <v>90</v>
      </c>
    </row>
    <row r="2066" spans="1:11" x14ac:dyDescent="0.35">
      <c r="A2066">
        <v>2065</v>
      </c>
      <c r="B2066" t="s">
        <v>2</v>
      </c>
      <c r="C2066" t="s">
        <v>136</v>
      </c>
      <c r="D2066" t="s">
        <v>140</v>
      </c>
      <c r="E2066" s="2">
        <v>44222.379201388889</v>
      </c>
      <c r="F2066" s="2">
        <v>44222.382789351854</v>
      </c>
      <c r="G2066" s="3">
        <v>3.5879629649571143E-3</v>
      </c>
      <c r="H2066" s="3">
        <v>311.88829667568797</v>
      </c>
      <c r="I2066" s="3">
        <v>5.1981382779281331</v>
      </c>
      <c r="J2066" s="3">
        <v>8.6635637965468887E-2</v>
      </c>
      <c r="K2066" t="s">
        <v>90</v>
      </c>
    </row>
    <row r="2067" spans="1:11" x14ac:dyDescent="0.35">
      <c r="A2067">
        <v>2066</v>
      </c>
      <c r="B2067" t="s">
        <v>11</v>
      </c>
      <c r="C2067" t="s">
        <v>11</v>
      </c>
      <c r="D2067" t="s">
        <v>140</v>
      </c>
      <c r="E2067" s="2">
        <v>44222.382905092592</v>
      </c>
      <c r="F2067" s="2">
        <v>44222.384155092594</v>
      </c>
      <c r="G2067" s="3">
        <v>1.2500000011641532E-3</v>
      </c>
      <c r="H2067" s="3">
        <v>108.65785823749593</v>
      </c>
      <c r="I2067" s="3">
        <v>1.8109643039582655</v>
      </c>
      <c r="J2067" s="3">
        <v>3.0182738399304423E-2</v>
      </c>
    </row>
    <row r="2068" spans="1:11" x14ac:dyDescent="0.35">
      <c r="A2068">
        <v>2067</v>
      </c>
      <c r="B2068" t="s">
        <v>11</v>
      </c>
      <c r="C2068" t="s">
        <v>11</v>
      </c>
      <c r="D2068" t="s">
        <v>140</v>
      </c>
      <c r="E2068" s="2">
        <v>44222.384270833332</v>
      </c>
      <c r="F2068" s="2">
        <v>44222.388842592591</v>
      </c>
      <c r="G2068" s="3">
        <v>4.5717592583969235E-3</v>
      </c>
      <c r="H2068" s="3">
        <v>397.40605514576873</v>
      </c>
      <c r="I2068" s="3">
        <v>6.6234342524294787</v>
      </c>
      <c r="J2068" s="3">
        <v>0.11039057087382464</v>
      </c>
    </row>
    <row r="2069" spans="1:11" x14ac:dyDescent="0.35">
      <c r="A2069">
        <v>2068</v>
      </c>
      <c r="B2069" t="s">
        <v>2</v>
      </c>
      <c r="C2069" t="s">
        <v>136</v>
      </c>
      <c r="D2069" t="s">
        <v>140</v>
      </c>
      <c r="E2069" s="2">
        <v>44222.389050925929</v>
      </c>
      <c r="F2069" s="2">
        <v>44222.419374999998</v>
      </c>
      <c r="G2069" s="3">
        <v>3.032407406863058E-2</v>
      </c>
      <c r="H2069" s="3">
        <v>2635.9591506111419</v>
      </c>
      <c r="I2069" s="3">
        <v>43.932652510185697</v>
      </c>
      <c r="J2069" s="3">
        <v>0.73221087516976158</v>
      </c>
      <c r="K2069" t="s">
        <v>90</v>
      </c>
    </row>
    <row r="2070" spans="1:11" x14ac:dyDescent="0.35">
      <c r="A2070">
        <v>2069</v>
      </c>
      <c r="B2070" t="s">
        <v>16</v>
      </c>
      <c r="C2070" t="s">
        <v>16</v>
      </c>
      <c r="D2070" t="s">
        <v>140</v>
      </c>
      <c r="E2070" s="2">
        <v>44222.419456018521</v>
      </c>
      <c r="F2070" s="2">
        <v>44222.424780092595</v>
      </c>
      <c r="G2070" s="3">
        <v>5.324074074451346E-3</v>
      </c>
      <c r="H2070" s="3">
        <v>462.80198839111142</v>
      </c>
      <c r="I2070" s="3">
        <v>7.7133664731851903</v>
      </c>
      <c r="J2070" s="3">
        <v>0.12855610788641983</v>
      </c>
    </row>
    <row r="2071" spans="1:11" x14ac:dyDescent="0.35">
      <c r="A2071">
        <v>2070</v>
      </c>
      <c r="B2071" t="s">
        <v>11</v>
      </c>
      <c r="C2071" t="s">
        <v>11</v>
      </c>
      <c r="D2071" t="s">
        <v>140</v>
      </c>
      <c r="E2071" s="2">
        <v>44222.424861111111</v>
      </c>
      <c r="F2071" s="2">
        <v>44222.425659722219</v>
      </c>
      <c r="G2071" s="3">
        <v>7.9861110862111673E-4</v>
      </c>
      <c r="H2071" s="3">
        <v>69.420298037301521</v>
      </c>
      <c r="I2071" s="3">
        <v>1.1570049672883587</v>
      </c>
      <c r="J2071" s="3">
        <v>1.9283416121472646E-2</v>
      </c>
    </row>
    <row r="2072" spans="1:11" x14ac:dyDescent="0.35">
      <c r="A2072">
        <v>2071</v>
      </c>
      <c r="B2072" t="s">
        <v>11</v>
      </c>
      <c r="C2072" t="s">
        <v>11</v>
      </c>
      <c r="D2072" t="s">
        <v>140</v>
      </c>
      <c r="E2072" s="2">
        <v>44222.425868055558</v>
      </c>
      <c r="F2072" s="2">
        <v>44222.4294212963</v>
      </c>
      <c r="G2072" s="3">
        <v>3.5532407418941148E-3</v>
      </c>
      <c r="H2072" s="3">
        <v>308.87002276548282</v>
      </c>
      <c r="I2072" s="3">
        <v>5.1478337127580467</v>
      </c>
      <c r="J2072" s="3">
        <v>8.5797228545967441E-2</v>
      </c>
    </row>
    <row r="2073" spans="1:11" x14ac:dyDescent="0.35">
      <c r="A2073">
        <v>2072</v>
      </c>
      <c r="B2073" t="s">
        <v>2</v>
      </c>
      <c r="C2073" t="s">
        <v>96</v>
      </c>
      <c r="D2073" t="s">
        <v>140</v>
      </c>
      <c r="E2073" s="2">
        <v>44222.429675925923</v>
      </c>
      <c r="F2073" s="2">
        <v>44222.438344907408</v>
      </c>
      <c r="G2073" s="3">
        <v>8.668981485243421E-3</v>
      </c>
      <c r="H2073" s="3">
        <v>753.56236832783554</v>
      </c>
      <c r="I2073" s="3">
        <v>12.559372805463926</v>
      </c>
      <c r="J2073" s="3">
        <v>0.20932288009106545</v>
      </c>
    </row>
    <row r="2074" spans="1:11" x14ac:dyDescent="0.35">
      <c r="A2074">
        <v>2073</v>
      </c>
      <c r="B2074" t="s">
        <v>2</v>
      </c>
      <c r="C2074" t="s">
        <v>96</v>
      </c>
      <c r="D2074" t="s">
        <v>140</v>
      </c>
      <c r="E2074" s="2">
        <v>44222.438518518517</v>
      </c>
      <c r="F2074" s="2">
        <v>44222.459178240744</v>
      </c>
      <c r="G2074" s="3">
        <v>2.0659722227719612E-2</v>
      </c>
      <c r="H2074" s="3">
        <v>1795.8729335639439</v>
      </c>
      <c r="I2074" s="3">
        <v>29.931215559399064</v>
      </c>
      <c r="J2074" s="3">
        <v>0.49885359265665108</v>
      </c>
    </row>
    <row r="2075" spans="1:11" x14ac:dyDescent="0.35">
      <c r="A2075">
        <v>2074</v>
      </c>
      <c r="B2075" t="s">
        <v>11</v>
      </c>
      <c r="C2075" t="s">
        <v>11</v>
      </c>
      <c r="D2075" t="s">
        <v>140</v>
      </c>
      <c r="E2075" s="2">
        <v>44222.459374999999</v>
      </c>
      <c r="F2075" s="2">
        <v>44222.465694444443</v>
      </c>
      <c r="G2075" s="3">
        <v>6.3194444446708076E-3</v>
      </c>
      <c r="H2075" s="3">
        <v>549.3258383754179</v>
      </c>
      <c r="I2075" s="3">
        <v>9.155430639590298</v>
      </c>
      <c r="J2075" s="3">
        <v>0.15259051065983831</v>
      </c>
    </row>
    <row r="2076" spans="1:11" x14ac:dyDescent="0.35">
      <c r="A2076">
        <v>2075</v>
      </c>
      <c r="B2076" t="s">
        <v>2</v>
      </c>
      <c r="C2076" t="s">
        <v>96</v>
      </c>
      <c r="D2076" t="s">
        <v>140</v>
      </c>
      <c r="E2076" s="2">
        <v>44222.465902777774</v>
      </c>
      <c r="F2076" s="2">
        <v>44222.468842592592</v>
      </c>
      <c r="G2076" s="3">
        <v>2.9398148180916905E-3</v>
      </c>
      <c r="H2076" s="3">
        <v>255.54718516096057</v>
      </c>
      <c r="I2076" s="3">
        <v>4.2591197526826763</v>
      </c>
      <c r="J2076" s="3">
        <v>7.0985329211377943E-2</v>
      </c>
    </row>
    <row r="2077" spans="1:11" x14ac:dyDescent="0.35">
      <c r="A2077">
        <v>2076</v>
      </c>
      <c r="B2077" t="s">
        <v>16</v>
      </c>
      <c r="C2077" t="s">
        <v>16</v>
      </c>
      <c r="D2077" t="s">
        <v>140</v>
      </c>
      <c r="E2077" s="2">
        <v>44222.469050925924</v>
      </c>
      <c r="F2077" s="2">
        <v>44222.477175925924</v>
      </c>
      <c r="G2077" s="3">
        <v>8.1250000002910383E-3</v>
      </c>
      <c r="H2077" s="3">
        <v>706.2760779112516</v>
      </c>
      <c r="I2077" s="3">
        <v>11.771267965187526</v>
      </c>
      <c r="J2077" s="3">
        <v>0.19618779941979211</v>
      </c>
    </row>
    <row r="2078" spans="1:11" x14ac:dyDescent="0.35">
      <c r="A2078">
        <v>2077</v>
      </c>
      <c r="B2078" t="s">
        <v>2</v>
      </c>
      <c r="C2078" t="s">
        <v>96</v>
      </c>
      <c r="D2078" t="s">
        <v>140</v>
      </c>
      <c r="E2078" s="2">
        <v>44222.477337962962</v>
      </c>
      <c r="F2078" s="2">
        <v>44222.487800925926</v>
      </c>
      <c r="G2078" s="3">
        <v>1.0462962964083999E-2</v>
      </c>
      <c r="H2078" s="3">
        <v>909.50651634944359</v>
      </c>
      <c r="I2078" s="3">
        <v>15.158441939157393</v>
      </c>
      <c r="J2078" s="3">
        <v>0.25264069898595654</v>
      </c>
    </row>
    <row r="2079" spans="1:11" x14ac:dyDescent="0.35">
      <c r="A2079">
        <v>2078</v>
      </c>
      <c r="B2079" t="s">
        <v>16</v>
      </c>
      <c r="C2079" t="s">
        <v>16</v>
      </c>
      <c r="D2079" t="s">
        <v>140</v>
      </c>
      <c r="E2079" s="2">
        <v>44222.487905092596</v>
      </c>
      <c r="F2079" s="2">
        <v>44222.541666666664</v>
      </c>
      <c r="G2079" s="3">
        <v>5.376157406863058E-2</v>
      </c>
      <c r="H2079" s="3">
        <v>4673.2939906667752</v>
      </c>
      <c r="I2079" s="3">
        <v>77.888233177779583</v>
      </c>
      <c r="J2079" s="3">
        <v>1.2981372196296597</v>
      </c>
    </row>
    <row r="2080" spans="1:11" x14ac:dyDescent="0.35">
      <c r="A2080">
        <v>2079</v>
      </c>
      <c r="B2080" t="s">
        <v>11</v>
      </c>
      <c r="C2080" t="s">
        <v>11</v>
      </c>
      <c r="D2080" t="s">
        <v>140</v>
      </c>
      <c r="E2080" s="2">
        <v>44222.541805555556</v>
      </c>
      <c r="F2080" s="2">
        <v>44222.553379629629</v>
      </c>
      <c r="G2080" s="3">
        <v>1.1574074072996154E-2</v>
      </c>
      <c r="H2080" s="3">
        <v>1006.091278946119</v>
      </c>
      <c r="I2080" s="3">
        <v>16.768187982435318</v>
      </c>
      <c r="J2080" s="3">
        <v>0.27946979970725533</v>
      </c>
    </row>
    <row r="2081" spans="1:11" x14ac:dyDescent="0.35">
      <c r="A2081">
        <v>2080</v>
      </c>
      <c r="B2081" t="s">
        <v>2</v>
      </c>
      <c r="C2081" t="s">
        <v>96</v>
      </c>
      <c r="D2081" t="s">
        <v>140</v>
      </c>
      <c r="E2081" s="2">
        <v>44222.553599537037</v>
      </c>
      <c r="F2081" s="2">
        <v>44222.583923611113</v>
      </c>
      <c r="G2081" s="3">
        <v>3.0324074075906537E-2</v>
      </c>
      <c r="H2081" s="3">
        <v>2635.9591512436141</v>
      </c>
      <c r="I2081" s="3">
        <v>43.932652520726904</v>
      </c>
      <c r="J2081" s="3">
        <v>0.73221087534544838</v>
      </c>
    </row>
    <row r="2082" spans="1:11" x14ac:dyDescent="0.35">
      <c r="A2082">
        <v>2081</v>
      </c>
      <c r="B2082" t="s">
        <v>2</v>
      </c>
      <c r="C2082" t="s">
        <v>96</v>
      </c>
      <c r="D2082" t="s">
        <v>140</v>
      </c>
      <c r="E2082" s="2">
        <v>44222.584178240744</v>
      </c>
      <c r="F2082" s="2">
        <v>44222.601087962961</v>
      </c>
      <c r="G2082" s="3">
        <v>1.6909722216951195E-2</v>
      </c>
      <c r="H2082" s="3">
        <v>1469.8993582189842</v>
      </c>
      <c r="I2082" s="3">
        <v>24.498322636983069</v>
      </c>
      <c r="J2082" s="3">
        <v>0.40830537728305116</v>
      </c>
    </row>
    <row r="2083" spans="1:11" x14ac:dyDescent="0.35">
      <c r="A2083">
        <v>2082</v>
      </c>
      <c r="B2083" t="s">
        <v>11</v>
      </c>
      <c r="C2083" t="s">
        <v>11</v>
      </c>
      <c r="D2083" t="s">
        <v>140</v>
      </c>
      <c r="E2083" s="2">
        <v>44222.6012962963</v>
      </c>
      <c r="F2083" s="2">
        <v>44222.601724537039</v>
      </c>
      <c r="G2083" s="3">
        <v>4.2824073898373172E-4</v>
      </c>
      <c r="H2083" s="3">
        <v>37.22537717174302</v>
      </c>
      <c r="I2083" s="3">
        <v>0.62042295286238369</v>
      </c>
      <c r="J2083" s="3">
        <v>1.0340382547706395E-2</v>
      </c>
    </row>
    <row r="2084" spans="1:11" x14ac:dyDescent="0.35">
      <c r="A2084">
        <v>2083</v>
      </c>
      <c r="B2084" t="s">
        <v>11</v>
      </c>
      <c r="C2084" t="s">
        <v>11</v>
      </c>
      <c r="D2084" t="s">
        <v>140</v>
      </c>
      <c r="E2084" s="2">
        <v>44222.601944444446</v>
      </c>
      <c r="F2084" s="2">
        <v>44222.619189814817</v>
      </c>
      <c r="G2084" s="3">
        <v>1.7245370370801538E-2</v>
      </c>
      <c r="H2084" s="3">
        <v>1499.0760058068095</v>
      </c>
      <c r="I2084" s="3">
        <v>24.984600096780159</v>
      </c>
      <c r="J2084" s="3">
        <v>0.41641000161300268</v>
      </c>
    </row>
    <row r="2085" spans="1:11" x14ac:dyDescent="0.35">
      <c r="A2085">
        <v>2084</v>
      </c>
      <c r="B2085" t="s">
        <v>2</v>
      </c>
      <c r="C2085" t="s">
        <v>96</v>
      </c>
      <c r="D2085" t="s">
        <v>140</v>
      </c>
      <c r="E2085" s="2">
        <v>44222.619803240741</v>
      </c>
      <c r="F2085" s="2">
        <v>44222.623726851853</v>
      </c>
      <c r="G2085" s="3">
        <v>3.9236111115314998E-3</v>
      </c>
      <c r="H2085" s="3">
        <v>341.06494363104133</v>
      </c>
      <c r="I2085" s="3">
        <v>5.6844157271840219</v>
      </c>
      <c r="J2085" s="3">
        <v>9.4740262119733701E-2</v>
      </c>
    </row>
    <row r="2086" spans="1:11" x14ac:dyDescent="0.35">
      <c r="A2086">
        <v>2085</v>
      </c>
      <c r="B2086" t="s">
        <v>2</v>
      </c>
      <c r="C2086" t="s">
        <v>96</v>
      </c>
      <c r="D2086" t="s">
        <v>140</v>
      </c>
      <c r="E2086" s="2">
        <v>44222.623877314814</v>
      </c>
      <c r="F2086" s="2">
        <v>44222.627233796295</v>
      </c>
      <c r="G2086" s="3">
        <v>3.3564814802957699E-3</v>
      </c>
      <c r="H2086" s="3">
        <v>291.7664708184779</v>
      </c>
      <c r="I2086" s="3">
        <v>4.8627745136412983</v>
      </c>
      <c r="J2086" s="3">
        <v>8.1046241894021639E-2</v>
      </c>
    </row>
    <row r="2087" spans="1:11" x14ac:dyDescent="0.35">
      <c r="A2087">
        <v>2086</v>
      </c>
      <c r="B2087" t="s">
        <v>2</v>
      </c>
      <c r="C2087" t="s">
        <v>96</v>
      </c>
      <c r="D2087" t="s">
        <v>140</v>
      </c>
      <c r="E2087" s="2">
        <v>44222.627453703702</v>
      </c>
      <c r="F2087" s="2">
        <v>44222.630196759259</v>
      </c>
      <c r="G2087" s="3">
        <v>2.7430555564933456E-3</v>
      </c>
      <c r="H2087" s="3">
        <v>238.44363321395562</v>
      </c>
      <c r="I2087" s="3">
        <v>3.974060553565927</v>
      </c>
      <c r="J2087" s="3">
        <v>6.6234342559432113E-2</v>
      </c>
    </row>
    <row r="2088" spans="1:11" x14ac:dyDescent="0.35">
      <c r="A2088">
        <v>2087</v>
      </c>
      <c r="B2088" t="s">
        <v>16</v>
      </c>
      <c r="C2088" t="s">
        <v>16</v>
      </c>
      <c r="D2088" t="s">
        <v>140</v>
      </c>
      <c r="E2088" s="2">
        <v>44222.630543981482</v>
      </c>
      <c r="F2088" s="2">
        <v>44222.639085648145</v>
      </c>
      <c r="G2088" s="3">
        <v>8.5416666624951176E-3</v>
      </c>
      <c r="H2088" s="3">
        <v>742.49536356876888</v>
      </c>
      <c r="I2088" s="3">
        <v>12.374922726146147</v>
      </c>
      <c r="J2088" s="3">
        <v>0.20624871210243578</v>
      </c>
    </row>
    <row r="2089" spans="1:11" x14ac:dyDescent="0.35">
      <c r="A2089">
        <v>2088</v>
      </c>
      <c r="B2089" t="s">
        <v>2</v>
      </c>
      <c r="C2089" t="s">
        <v>96</v>
      </c>
      <c r="D2089" t="s">
        <v>140</v>
      </c>
      <c r="E2089" s="2">
        <v>44222.639189814814</v>
      </c>
      <c r="F2089" s="2">
        <v>44222.644953703704</v>
      </c>
      <c r="G2089" s="3">
        <v>5.7638888902147301E-3</v>
      </c>
      <c r="H2089" s="3">
        <v>501.03345707708013</v>
      </c>
      <c r="I2089" s="3">
        <v>8.3505576179513348</v>
      </c>
      <c r="J2089" s="3">
        <v>0.13917596029918891</v>
      </c>
    </row>
    <row r="2090" spans="1:11" x14ac:dyDescent="0.35">
      <c r="A2090">
        <v>2089</v>
      </c>
      <c r="B2090" t="s">
        <v>2</v>
      </c>
      <c r="C2090" t="s">
        <v>72</v>
      </c>
      <c r="D2090" t="s">
        <v>140</v>
      </c>
      <c r="E2090" s="2">
        <v>44222.645104166666</v>
      </c>
      <c r="F2090" s="2">
        <v>44222.670092592591</v>
      </c>
      <c r="G2090" s="3">
        <v>2.4988425924675539E-2</v>
      </c>
      <c r="H2090" s="3">
        <v>2172.1510713382768</v>
      </c>
      <c r="I2090" s="3">
        <v>36.202517855637943</v>
      </c>
      <c r="J2090" s="3">
        <v>0.60337529759396569</v>
      </c>
      <c r="K2090" t="s">
        <v>73</v>
      </c>
    </row>
    <row r="2091" spans="1:11" x14ac:dyDescent="0.35">
      <c r="A2091">
        <v>2090</v>
      </c>
      <c r="B2091" t="s">
        <v>11</v>
      </c>
      <c r="C2091" t="s">
        <v>11</v>
      </c>
      <c r="D2091" t="s">
        <v>140</v>
      </c>
      <c r="E2091" s="2">
        <v>44222.670185185183</v>
      </c>
      <c r="F2091" s="2">
        <v>44222.691828703704</v>
      </c>
      <c r="G2091" s="3">
        <v>2.1643518521159422E-2</v>
      </c>
      <c r="H2091" s="3">
        <v>1881.3906920340248</v>
      </c>
      <c r="I2091" s="3">
        <v>31.356511533900413</v>
      </c>
      <c r="J2091" s="3">
        <v>0.52260852556500692</v>
      </c>
    </row>
    <row r="2092" spans="1:11" x14ac:dyDescent="0.35">
      <c r="A2092">
        <v>2091</v>
      </c>
      <c r="B2092" t="s">
        <v>11</v>
      </c>
      <c r="C2092" t="s">
        <v>11</v>
      </c>
      <c r="D2092" t="s">
        <v>140</v>
      </c>
      <c r="E2092" s="2">
        <v>44222.692094907405</v>
      </c>
      <c r="F2092" s="2">
        <v>44222.69699074074</v>
      </c>
      <c r="G2092" s="3">
        <v>4.8958333354676142E-3</v>
      </c>
      <c r="H2092" s="3">
        <v>425.57661121936837</v>
      </c>
      <c r="I2092" s="3">
        <v>7.0929435203228062</v>
      </c>
      <c r="J2092" s="3">
        <v>0.11821572533871344</v>
      </c>
    </row>
    <row r="2093" spans="1:11" x14ac:dyDescent="0.35">
      <c r="A2093">
        <v>2092</v>
      </c>
      <c r="B2093" t="s">
        <v>11</v>
      </c>
      <c r="C2093" t="s">
        <v>11</v>
      </c>
      <c r="D2093" t="s">
        <v>140</v>
      </c>
      <c r="E2093" s="2">
        <v>44222.697129629632</v>
      </c>
      <c r="F2093" s="2">
        <v>44222.780856481484</v>
      </c>
      <c r="G2093" s="3">
        <v>8.3726851851679385E-2</v>
      </c>
      <c r="H2093" s="3">
        <v>7278.0643125590559</v>
      </c>
      <c r="I2093" s="3">
        <v>121.30107187598426</v>
      </c>
      <c r="J2093" s="3">
        <v>2.0216845312664042</v>
      </c>
    </row>
    <row r="2094" spans="1:11" x14ac:dyDescent="0.35">
      <c r="A2094">
        <v>2093</v>
      </c>
      <c r="B2094" t="s">
        <v>11</v>
      </c>
      <c r="C2094" t="s">
        <v>11</v>
      </c>
      <c r="D2094" t="s">
        <v>140</v>
      </c>
      <c r="E2094" s="2">
        <v>44222.859548611108</v>
      </c>
      <c r="F2094" s="2">
        <v>44222.935289351852</v>
      </c>
      <c r="G2094" s="3">
        <v>7.5740740743640345E-2</v>
      </c>
      <c r="H2094" s="3">
        <v>6583.8613302886251</v>
      </c>
      <c r="I2094" s="3">
        <v>109.73102217147708</v>
      </c>
      <c r="J2094" s="3">
        <v>1.8288503695246179</v>
      </c>
    </row>
    <row r="2095" spans="1:11" x14ac:dyDescent="0.35">
      <c r="A2095">
        <v>2094</v>
      </c>
      <c r="B2095" t="s">
        <v>11</v>
      </c>
      <c r="C2095" t="s">
        <v>11</v>
      </c>
      <c r="D2095" t="s">
        <v>140</v>
      </c>
      <c r="E2095" s="2">
        <v>44222.936493055553</v>
      </c>
      <c r="F2095" s="2">
        <v>44222.941261574073</v>
      </c>
      <c r="G2095" s="3">
        <v>4.7685185199952684E-3</v>
      </c>
      <c r="H2095" s="3">
        <v>414.50960709277365</v>
      </c>
      <c r="I2095" s="3">
        <v>6.9084934515462271</v>
      </c>
      <c r="J2095" s="3">
        <v>0.11514155752577045</v>
      </c>
    </row>
    <row r="2096" spans="1:11" x14ac:dyDescent="0.35">
      <c r="A2096">
        <v>2095</v>
      </c>
      <c r="B2096" t="s">
        <v>11</v>
      </c>
      <c r="C2096" t="s">
        <v>11</v>
      </c>
      <c r="D2096" t="s">
        <v>140</v>
      </c>
      <c r="E2096" s="2">
        <v>44223.333622685182</v>
      </c>
      <c r="F2096" s="2">
        <v>44223.347638888888</v>
      </c>
      <c r="G2096" s="3">
        <v>1.4016203705978114E-2</v>
      </c>
      <c r="H2096" s="3">
        <v>1218.3765391149263</v>
      </c>
      <c r="I2096" s="3">
        <v>20.306275651915438</v>
      </c>
      <c r="J2096" s="3">
        <v>0.33843792753192398</v>
      </c>
    </row>
    <row r="2097" spans="1:11" x14ac:dyDescent="0.35">
      <c r="A2097">
        <v>2096</v>
      </c>
      <c r="B2097" t="s">
        <v>2</v>
      </c>
      <c r="C2097" t="s">
        <v>96</v>
      </c>
      <c r="D2097" t="s">
        <v>140</v>
      </c>
      <c r="E2097" s="2">
        <v>44223.347881944443</v>
      </c>
      <c r="F2097" s="2">
        <v>44223.36515046296</v>
      </c>
      <c r="G2097" s="3">
        <v>1.7268518517084885E-2</v>
      </c>
      <c r="H2097" s="3">
        <v>1501.0881882027891</v>
      </c>
      <c r="I2097" s="3">
        <v>25.018136470046485</v>
      </c>
      <c r="J2097" s="3">
        <v>0.41696894116744143</v>
      </c>
    </row>
    <row r="2098" spans="1:11" x14ac:dyDescent="0.35">
      <c r="A2098">
        <v>2097</v>
      </c>
      <c r="B2098" t="s">
        <v>11</v>
      </c>
      <c r="C2098" t="s">
        <v>11</v>
      </c>
      <c r="D2098" t="s">
        <v>140</v>
      </c>
      <c r="E2098" s="2">
        <v>44223.365243055552</v>
      </c>
      <c r="F2098" s="2">
        <v>44223.3669212963</v>
      </c>
      <c r="G2098" s="3">
        <v>1.6782407474238425E-3</v>
      </c>
      <c r="H2098" s="3">
        <v>145.88323604171092</v>
      </c>
      <c r="I2098" s="3">
        <v>2.4313872673618486</v>
      </c>
      <c r="J2098" s="3">
        <v>4.0523121122697479E-2</v>
      </c>
    </row>
    <row r="2099" spans="1:11" x14ac:dyDescent="0.35">
      <c r="A2099">
        <v>2098</v>
      </c>
      <c r="B2099" t="s">
        <v>16</v>
      </c>
      <c r="C2099" t="s">
        <v>16</v>
      </c>
      <c r="D2099" t="s">
        <v>140</v>
      </c>
      <c r="E2099" s="2">
        <v>44223.366990740738</v>
      </c>
      <c r="F2099" s="2">
        <v>44223.370729166665</v>
      </c>
      <c r="G2099" s="3">
        <v>3.7384259267128073E-3</v>
      </c>
      <c r="H2099" s="3">
        <v>324.96748319826207</v>
      </c>
      <c r="I2099" s="3">
        <v>5.4161247199710347</v>
      </c>
      <c r="J2099" s="3">
        <v>9.0268745332850578E-2</v>
      </c>
    </row>
    <row r="2100" spans="1:11" x14ac:dyDescent="0.35">
      <c r="A2100">
        <v>2099</v>
      </c>
      <c r="B2100" t="s">
        <v>2</v>
      </c>
      <c r="C2100" t="s">
        <v>136</v>
      </c>
      <c r="D2100" t="s">
        <v>140</v>
      </c>
      <c r="E2100" s="2">
        <v>44223.371134259258</v>
      </c>
      <c r="F2100" s="2">
        <v>44223.37295138889</v>
      </c>
      <c r="G2100" s="3">
        <v>1.8171296323998831E-3</v>
      </c>
      <c r="H2100" s="3">
        <v>157.95633105005936</v>
      </c>
      <c r="I2100" s="3">
        <v>2.6326055175009895</v>
      </c>
      <c r="J2100" s="3">
        <v>4.3876758625016492E-2</v>
      </c>
      <c r="K2100" t="s">
        <v>90</v>
      </c>
    </row>
    <row r="2101" spans="1:11" x14ac:dyDescent="0.35">
      <c r="A2101">
        <v>2100</v>
      </c>
      <c r="B2101" t="s">
        <v>11</v>
      </c>
      <c r="C2101" t="s">
        <v>11</v>
      </c>
      <c r="D2101" t="s">
        <v>140</v>
      </c>
      <c r="E2101" s="2">
        <v>44223.373055555552</v>
      </c>
      <c r="F2101" s="2">
        <v>44223.382997685185</v>
      </c>
      <c r="G2101" s="3">
        <v>9.9421296326909214E-3</v>
      </c>
      <c r="H2101" s="3">
        <v>864.23240896131097</v>
      </c>
      <c r="I2101" s="3">
        <v>14.403873482688516</v>
      </c>
      <c r="J2101" s="3">
        <v>0.24006455804480858</v>
      </c>
    </row>
    <row r="2102" spans="1:11" x14ac:dyDescent="0.35">
      <c r="A2102">
        <v>2101</v>
      </c>
      <c r="B2102" t="s">
        <v>2</v>
      </c>
      <c r="C2102" t="s">
        <v>136</v>
      </c>
      <c r="D2102" t="s">
        <v>140</v>
      </c>
      <c r="E2102" s="2">
        <v>44223.383275462962</v>
      </c>
      <c r="F2102" s="2">
        <v>44223.398726851854</v>
      </c>
      <c r="G2102" s="3">
        <v>1.545138889196096E-2</v>
      </c>
      <c r="H2102" s="3">
        <v>1343.1318577852016</v>
      </c>
      <c r="I2102" s="3">
        <v>22.385530963086694</v>
      </c>
      <c r="J2102" s="3">
        <v>0.37309218271811156</v>
      </c>
      <c r="K2102" t="s">
        <v>90</v>
      </c>
    </row>
    <row r="2103" spans="1:11" x14ac:dyDescent="0.35">
      <c r="A2103">
        <v>2102</v>
      </c>
      <c r="B2103" t="s">
        <v>11</v>
      </c>
      <c r="C2103" t="s">
        <v>11</v>
      </c>
      <c r="D2103" t="s">
        <v>140</v>
      </c>
      <c r="E2103" s="2">
        <v>44223.39880787037</v>
      </c>
      <c r="F2103" s="2">
        <v>44223.40084490741</v>
      </c>
      <c r="G2103" s="3">
        <v>2.0370370402815752E-3</v>
      </c>
      <c r="H2103" s="3">
        <v>177.07206539304372</v>
      </c>
      <c r="I2103" s="3">
        <v>2.9512010898840617</v>
      </c>
      <c r="J2103" s="3">
        <v>4.9186684831401026E-2</v>
      </c>
    </row>
    <row r="2104" spans="1:11" x14ac:dyDescent="0.35">
      <c r="A2104">
        <v>2103</v>
      </c>
      <c r="B2104" t="s">
        <v>2</v>
      </c>
      <c r="C2104" t="s">
        <v>136</v>
      </c>
      <c r="D2104" t="s">
        <v>140</v>
      </c>
      <c r="E2104" s="2">
        <v>44223.400960648149</v>
      </c>
      <c r="F2104" s="2">
        <v>44223.413761574076</v>
      </c>
      <c r="G2104" s="3">
        <v>1.280092592787696E-2</v>
      </c>
      <c r="H2104" s="3">
        <v>1112.7369547876356</v>
      </c>
      <c r="I2104" s="3">
        <v>18.545615913127261</v>
      </c>
      <c r="J2104" s="3">
        <v>0.30909359855212099</v>
      </c>
      <c r="K2104" t="s">
        <v>90</v>
      </c>
    </row>
    <row r="2105" spans="1:11" x14ac:dyDescent="0.35">
      <c r="A2105">
        <v>2104</v>
      </c>
      <c r="B2105" t="s">
        <v>16</v>
      </c>
      <c r="C2105" t="s">
        <v>16</v>
      </c>
      <c r="D2105" t="s">
        <v>140</v>
      </c>
      <c r="E2105" s="2">
        <v>44223.413877314815</v>
      </c>
      <c r="F2105" s="2">
        <v>44223.416898148149</v>
      </c>
      <c r="G2105" s="3">
        <v>3.0208333337213844E-3</v>
      </c>
      <c r="H2105" s="3">
        <v>262.58982386312448</v>
      </c>
      <c r="I2105" s="3">
        <v>4.3764970643854078</v>
      </c>
      <c r="J2105" s="3">
        <v>7.2941617739756798E-2</v>
      </c>
    </row>
    <row r="2106" spans="1:11" x14ac:dyDescent="0.35">
      <c r="A2106">
        <v>2105</v>
      </c>
      <c r="B2106" t="s">
        <v>11</v>
      </c>
      <c r="C2106" t="s">
        <v>11</v>
      </c>
      <c r="D2106" t="s">
        <v>140</v>
      </c>
      <c r="E2106" s="2">
        <v>44223.416990740741</v>
      </c>
      <c r="F2106" s="2">
        <v>44223.422407407408</v>
      </c>
      <c r="G2106" s="3">
        <v>5.4166666668606922E-3</v>
      </c>
      <c r="H2106" s="3">
        <v>470.85071860750105</v>
      </c>
      <c r="I2106" s="3">
        <v>7.8475119767916839</v>
      </c>
      <c r="J2106" s="3">
        <v>0.13079186627986139</v>
      </c>
    </row>
    <row r="2107" spans="1:11" x14ac:dyDescent="0.35">
      <c r="A2107">
        <v>2106</v>
      </c>
      <c r="B2107" t="s">
        <v>16</v>
      </c>
      <c r="C2107" t="s">
        <v>16</v>
      </c>
      <c r="D2107" t="s">
        <v>140</v>
      </c>
      <c r="E2107" s="2">
        <v>44223.422534722224</v>
      </c>
      <c r="F2107" s="2">
        <v>44223.429131944446</v>
      </c>
      <c r="G2107" s="3">
        <v>6.5972222218988463E-3</v>
      </c>
      <c r="H2107" s="3">
        <v>573.47202902458673</v>
      </c>
      <c r="I2107" s="3">
        <v>9.5578671504097787</v>
      </c>
      <c r="J2107" s="3">
        <v>0.15929778584016299</v>
      </c>
    </row>
    <row r="2108" spans="1:11" x14ac:dyDescent="0.35">
      <c r="A2108">
        <v>2107</v>
      </c>
      <c r="B2108" t="s">
        <v>2</v>
      </c>
      <c r="C2108" t="s">
        <v>136</v>
      </c>
      <c r="D2108" t="s">
        <v>140</v>
      </c>
      <c r="E2108" s="2">
        <v>44223.429351851853</v>
      </c>
      <c r="F2108" s="2">
        <v>44223.456469907411</v>
      </c>
      <c r="G2108" s="3">
        <v>2.7118055557366461E-2</v>
      </c>
      <c r="H2108" s="3">
        <v>2357.2718669477104</v>
      </c>
      <c r="I2108" s="3">
        <v>39.287864449128506</v>
      </c>
      <c r="J2108" s="3">
        <v>0.65479774081880848</v>
      </c>
      <c r="K2108" t="s">
        <v>90</v>
      </c>
    </row>
    <row r="2109" spans="1:11" x14ac:dyDescent="0.35">
      <c r="A2109">
        <v>2108</v>
      </c>
      <c r="B2109" t="s">
        <v>16</v>
      </c>
      <c r="C2109" t="s">
        <v>16</v>
      </c>
      <c r="D2109" t="s">
        <v>140</v>
      </c>
      <c r="E2109" s="2">
        <v>44223.456562500003</v>
      </c>
      <c r="F2109" s="2">
        <v>44223.494456018518</v>
      </c>
      <c r="G2109" s="3">
        <v>3.7893518514465541E-2</v>
      </c>
      <c r="H2109" s="3">
        <v>3293.9428472240556</v>
      </c>
      <c r="I2109" s="3">
        <v>54.899047453734262</v>
      </c>
      <c r="J2109" s="3">
        <v>0.91498412422890441</v>
      </c>
    </row>
    <row r="2110" spans="1:11" x14ac:dyDescent="0.35">
      <c r="A2110">
        <v>2109</v>
      </c>
      <c r="B2110" t="s">
        <v>11</v>
      </c>
      <c r="C2110" t="s">
        <v>11</v>
      </c>
      <c r="D2110" t="s">
        <v>140</v>
      </c>
      <c r="E2110" s="2">
        <v>44223.494895833333</v>
      </c>
      <c r="F2110" s="2">
        <v>44223.515243055554</v>
      </c>
      <c r="G2110" s="3">
        <v>2.0347222220152617E-2</v>
      </c>
      <c r="H2110" s="3">
        <v>1768.708468372098</v>
      </c>
      <c r="I2110" s="3">
        <v>29.478474472868299</v>
      </c>
      <c r="J2110" s="3">
        <v>0.49130790788113832</v>
      </c>
    </row>
    <row r="2111" spans="1:11" x14ac:dyDescent="0.35">
      <c r="A2111">
        <v>2110</v>
      </c>
      <c r="B2111" t="s">
        <v>2</v>
      </c>
      <c r="C2111" t="s">
        <v>136</v>
      </c>
      <c r="D2111" t="s">
        <v>140</v>
      </c>
      <c r="E2111" s="2">
        <v>44223.515486111108</v>
      </c>
      <c r="F2111" s="2">
        <v>44223.535856481481</v>
      </c>
      <c r="G2111" s="3">
        <v>2.0370370373711921E-2</v>
      </c>
      <c r="H2111" s="3">
        <v>1770.7206514005493</v>
      </c>
      <c r="I2111" s="3">
        <v>29.512010856675822</v>
      </c>
      <c r="J2111" s="3">
        <v>0.4918668476112637</v>
      </c>
      <c r="K2111" t="s">
        <v>90</v>
      </c>
    </row>
    <row r="2112" spans="1:11" x14ac:dyDescent="0.35">
      <c r="A2112">
        <v>2111</v>
      </c>
      <c r="B2112" t="s">
        <v>2</v>
      </c>
      <c r="C2112" t="s">
        <v>136</v>
      </c>
      <c r="D2112" t="s">
        <v>140</v>
      </c>
      <c r="E2112" s="2">
        <v>44223.535949074074</v>
      </c>
      <c r="F2112" s="2">
        <v>44223.543842592589</v>
      </c>
      <c r="G2112" s="3">
        <v>7.8935185156296939E-3</v>
      </c>
      <c r="H2112" s="3">
        <v>686.15425205404154</v>
      </c>
      <c r="I2112" s="3">
        <v>11.435904200900692</v>
      </c>
      <c r="J2112" s="3">
        <v>0.19059840334834488</v>
      </c>
      <c r="K2112" t="s">
        <v>90</v>
      </c>
    </row>
    <row r="2113" spans="1:10" x14ac:dyDescent="0.35">
      <c r="A2113">
        <v>2112</v>
      </c>
      <c r="B2113" t="s">
        <v>2</v>
      </c>
      <c r="C2113" t="s">
        <v>96</v>
      </c>
      <c r="D2113" t="s">
        <v>140</v>
      </c>
      <c r="E2113" s="2">
        <v>44223.544039351851</v>
      </c>
      <c r="F2113" s="2">
        <v>44223.559548611112</v>
      </c>
      <c r="G2113" s="3">
        <v>1.5509259261307307E-2</v>
      </c>
      <c r="H2113" s="3">
        <v>1348.1623140913862</v>
      </c>
      <c r="I2113" s="3">
        <v>22.469371901523104</v>
      </c>
      <c r="J2113" s="3">
        <v>0.37448953169205174</v>
      </c>
    </row>
    <row r="2114" spans="1:10" x14ac:dyDescent="0.35">
      <c r="A2114">
        <v>2113</v>
      </c>
      <c r="B2114" t="s">
        <v>2</v>
      </c>
      <c r="C2114" t="s">
        <v>96</v>
      </c>
      <c r="D2114" t="s">
        <v>140</v>
      </c>
      <c r="E2114" s="2">
        <v>44223.55972222222</v>
      </c>
      <c r="F2114" s="2">
        <v>44223.564120370371</v>
      </c>
      <c r="G2114" s="3">
        <v>4.3981481503578834E-3</v>
      </c>
      <c r="H2114" s="3">
        <v>382.31468622721513</v>
      </c>
      <c r="I2114" s="3">
        <v>6.3719114371202519</v>
      </c>
      <c r="J2114" s="3">
        <v>0.1061985239520042</v>
      </c>
    </row>
    <row r="2115" spans="1:10" x14ac:dyDescent="0.35">
      <c r="A2115">
        <v>2114</v>
      </c>
      <c r="B2115" t="s">
        <v>2</v>
      </c>
      <c r="C2115" t="s">
        <v>96</v>
      </c>
      <c r="D2115" t="s">
        <v>140</v>
      </c>
      <c r="E2115" s="2">
        <v>44223.564236111109</v>
      </c>
      <c r="F2115" s="2">
        <v>44223.566030092596</v>
      </c>
      <c r="G2115" s="3">
        <v>1.793981486116536E-3</v>
      </c>
      <c r="H2115" s="3">
        <v>155.94414865407995</v>
      </c>
      <c r="I2115" s="3">
        <v>2.5990691442346661</v>
      </c>
      <c r="J2115" s="3">
        <v>4.3317819070577766E-2</v>
      </c>
    </row>
    <row r="2116" spans="1:10" x14ac:dyDescent="0.35">
      <c r="A2116">
        <v>2115</v>
      </c>
      <c r="B2116" t="s">
        <v>2</v>
      </c>
      <c r="C2116" t="s">
        <v>96</v>
      </c>
      <c r="D2116" t="s">
        <v>140</v>
      </c>
      <c r="E2116" s="2">
        <v>44223.566307870373</v>
      </c>
      <c r="F2116" s="2">
        <v>44223.569456018522</v>
      </c>
      <c r="G2116" s="3">
        <v>3.1481481491937302E-3</v>
      </c>
      <c r="H2116" s="3">
        <v>273.6568279897192</v>
      </c>
      <c r="I2116" s="3">
        <v>4.5609471331619869</v>
      </c>
      <c r="J2116" s="3">
        <v>7.6015785552699777E-2</v>
      </c>
    </row>
    <row r="2117" spans="1:10" x14ac:dyDescent="0.35">
      <c r="A2117">
        <v>2116</v>
      </c>
      <c r="B2117" t="s">
        <v>2</v>
      </c>
      <c r="C2117" t="s">
        <v>96</v>
      </c>
      <c r="D2117" t="s">
        <v>140</v>
      </c>
      <c r="E2117" s="2">
        <v>44223.569618055553</v>
      </c>
      <c r="F2117" s="2">
        <v>44223.575902777775</v>
      </c>
      <c r="G2117" s="3">
        <v>6.284722221607808E-3</v>
      </c>
      <c r="H2117" s="3">
        <v>546.30756446521275</v>
      </c>
      <c r="I2117" s="3">
        <v>9.1051260744202125</v>
      </c>
      <c r="J2117" s="3">
        <v>0.15175210124033686</v>
      </c>
    </row>
    <row r="2118" spans="1:10" x14ac:dyDescent="0.35">
      <c r="A2118">
        <v>2117</v>
      </c>
      <c r="B2118" t="s">
        <v>11</v>
      </c>
      <c r="C2118" t="s">
        <v>11</v>
      </c>
      <c r="D2118" t="s">
        <v>140</v>
      </c>
      <c r="E2118" s="2">
        <v>44223.576018518521</v>
      </c>
      <c r="F2118" s="2">
        <v>44223.581886574073</v>
      </c>
      <c r="G2118" s="3">
        <v>5.8680555521277711E-3</v>
      </c>
      <c r="H2118" s="3">
        <v>510.08827817522348</v>
      </c>
      <c r="I2118" s="3">
        <v>8.5014713029203914</v>
      </c>
      <c r="J2118" s="3">
        <v>0.14169118838200653</v>
      </c>
    </row>
    <row r="2119" spans="1:10" x14ac:dyDescent="0.35">
      <c r="A2119">
        <v>2118</v>
      </c>
      <c r="B2119" t="s">
        <v>2</v>
      </c>
      <c r="C2119" t="s">
        <v>96</v>
      </c>
      <c r="D2119" t="s">
        <v>140</v>
      </c>
      <c r="E2119" s="2">
        <v>44223.582071759258</v>
      </c>
      <c r="F2119" s="2">
        <v>44223.58452546296</v>
      </c>
      <c r="G2119" s="3">
        <v>2.4537037024856545E-3</v>
      </c>
      <c r="H2119" s="3">
        <v>213.29135105056105</v>
      </c>
      <c r="I2119" s="3">
        <v>3.5548558508426842</v>
      </c>
      <c r="J2119" s="3">
        <v>5.9247597514044736E-2</v>
      </c>
    </row>
    <row r="2120" spans="1:10" x14ac:dyDescent="0.35">
      <c r="A2120">
        <v>2119</v>
      </c>
      <c r="B2120" t="s">
        <v>2</v>
      </c>
      <c r="C2120" t="s">
        <v>96</v>
      </c>
      <c r="D2120" t="s">
        <v>140</v>
      </c>
      <c r="E2120" s="2">
        <v>44223.584629629629</v>
      </c>
      <c r="F2120" s="2">
        <v>44223.593553240738</v>
      </c>
      <c r="G2120" s="3">
        <v>8.923611108912155E-3</v>
      </c>
      <c r="H2120" s="3">
        <v>775.69637594855305</v>
      </c>
      <c r="I2120" s="3">
        <v>12.928272932475885</v>
      </c>
      <c r="J2120" s="3">
        <v>0.21547121554126475</v>
      </c>
    </row>
    <row r="2121" spans="1:10" x14ac:dyDescent="0.35">
      <c r="A2121">
        <v>2120</v>
      </c>
      <c r="B2121" t="s">
        <v>16</v>
      </c>
      <c r="C2121" t="s">
        <v>16</v>
      </c>
      <c r="D2121" t="s">
        <v>140</v>
      </c>
      <c r="E2121" s="2">
        <v>44223.593634259261</v>
      </c>
      <c r="F2121" s="2">
        <v>44223.600694444445</v>
      </c>
      <c r="G2121" s="3">
        <v>7.0601851839455776E-3</v>
      </c>
      <c r="H2121" s="3">
        <v>613.71568010653482</v>
      </c>
      <c r="I2121" s="3">
        <v>10.228594668442247</v>
      </c>
      <c r="J2121" s="3">
        <v>0.17047657780737077</v>
      </c>
    </row>
    <row r="2122" spans="1:10" x14ac:dyDescent="0.35">
      <c r="A2122">
        <v>2121</v>
      </c>
      <c r="B2122" t="s">
        <v>2</v>
      </c>
      <c r="C2122" t="s">
        <v>96</v>
      </c>
      <c r="D2122" t="s">
        <v>140</v>
      </c>
      <c r="E2122" s="2">
        <v>44223.600821759261</v>
      </c>
      <c r="F2122" s="2">
        <v>44223.621655092589</v>
      </c>
      <c r="G2122" s="3">
        <v>2.0833333328482695E-2</v>
      </c>
      <c r="H2122" s="3">
        <v>1810.9643018500255</v>
      </c>
      <c r="I2122" s="3">
        <v>30.182738364167093</v>
      </c>
      <c r="J2122" s="3">
        <v>0.50304563940278491</v>
      </c>
    </row>
    <row r="2123" spans="1:10" x14ac:dyDescent="0.35">
      <c r="A2123">
        <v>2122</v>
      </c>
      <c r="B2123" t="s">
        <v>2</v>
      </c>
      <c r="C2123" t="s">
        <v>96</v>
      </c>
      <c r="D2123" t="s">
        <v>140</v>
      </c>
      <c r="E2123" s="2">
        <v>44223.621863425928</v>
      </c>
      <c r="F2123" s="2">
        <v>44223.629861111112</v>
      </c>
      <c r="G2123" s="3">
        <v>7.9976851848186925E-3</v>
      </c>
      <c r="H2123" s="3">
        <v>695.20907378465677</v>
      </c>
      <c r="I2123" s="3">
        <v>11.586817896410945</v>
      </c>
      <c r="J2123" s="3">
        <v>0.19311363160684908</v>
      </c>
    </row>
    <row r="2124" spans="1:10" x14ac:dyDescent="0.35">
      <c r="A2124">
        <v>2123</v>
      </c>
      <c r="B2124" t="s">
        <v>2</v>
      </c>
      <c r="C2124" t="s">
        <v>96</v>
      </c>
      <c r="D2124" t="s">
        <v>140</v>
      </c>
      <c r="E2124" s="2">
        <v>44223.630011574074</v>
      </c>
      <c r="F2124" s="2">
        <v>44223.639780092592</v>
      </c>
      <c r="G2124" s="3">
        <v>9.7685185173759237E-3</v>
      </c>
      <c r="H2124" s="3">
        <v>849.14103941028543</v>
      </c>
      <c r="I2124" s="3">
        <v>14.15235065683809</v>
      </c>
      <c r="J2124" s="3">
        <v>0.23587251094730149</v>
      </c>
    </row>
    <row r="2125" spans="1:10" x14ac:dyDescent="0.35">
      <c r="A2125">
        <v>2124</v>
      </c>
      <c r="B2125" t="s">
        <v>2</v>
      </c>
      <c r="C2125" t="s">
        <v>96</v>
      </c>
      <c r="D2125" t="s">
        <v>140</v>
      </c>
      <c r="E2125" s="2">
        <v>44223.639930555553</v>
      </c>
      <c r="F2125" s="2">
        <v>44223.655833333331</v>
      </c>
      <c r="G2125" s="3">
        <v>1.5902777777228039E-2</v>
      </c>
      <c r="H2125" s="3">
        <v>1382.3694173529241</v>
      </c>
      <c r="I2125" s="3">
        <v>23.039490289215401</v>
      </c>
      <c r="J2125" s="3">
        <v>0.38399150482025668</v>
      </c>
    </row>
    <row r="2126" spans="1:10" x14ac:dyDescent="0.35">
      <c r="A2126">
        <v>2125</v>
      </c>
      <c r="B2126" t="s">
        <v>2</v>
      </c>
      <c r="C2126" t="s">
        <v>96</v>
      </c>
      <c r="D2126" t="s">
        <v>140</v>
      </c>
      <c r="E2126" s="2">
        <v>44223.656215277777</v>
      </c>
      <c r="F2126" s="2">
        <v>44223.671076388891</v>
      </c>
      <c r="G2126" s="3">
        <v>1.4861111114441883E-2</v>
      </c>
      <c r="H2126" s="3">
        <v>1291.8212025766588</v>
      </c>
      <c r="I2126" s="3">
        <v>21.530353376277649</v>
      </c>
      <c r="J2126" s="3">
        <v>0.35883922293796083</v>
      </c>
    </row>
    <row r="2127" spans="1:10" x14ac:dyDescent="0.35">
      <c r="A2127">
        <v>2126</v>
      </c>
      <c r="B2127" t="s">
        <v>11</v>
      </c>
      <c r="C2127" t="s">
        <v>11</v>
      </c>
      <c r="D2127" t="s">
        <v>140</v>
      </c>
      <c r="E2127" s="2">
        <v>44223.671342592592</v>
      </c>
      <c r="F2127" s="2">
        <v>44223.759293981479</v>
      </c>
      <c r="G2127" s="3">
        <v>8.795138888672227E-2</v>
      </c>
      <c r="H2127" s="3">
        <v>7645.2876292352457</v>
      </c>
      <c r="I2127" s="3">
        <v>127.42146048725409</v>
      </c>
      <c r="J2127" s="3">
        <v>2.1236910081209017</v>
      </c>
    </row>
    <row r="2128" spans="1:10" x14ac:dyDescent="0.35">
      <c r="A2128">
        <v>2127</v>
      </c>
      <c r="B2128" t="s">
        <v>11</v>
      </c>
      <c r="C2128" t="s">
        <v>11</v>
      </c>
      <c r="D2128" t="s">
        <v>140</v>
      </c>
      <c r="E2128" s="2">
        <v>44223.760300925926</v>
      </c>
      <c r="F2128" s="2">
        <v>44223.772662037038</v>
      </c>
      <c r="G2128" s="3">
        <v>1.2361111112113576E-2</v>
      </c>
      <c r="H2128" s="3">
        <v>1074.505486101667</v>
      </c>
      <c r="I2128" s="3">
        <v>17.908424768361115</v>
      </c>
      <c r="J2128" s="3">
        <v>0.2984737461393519</v>
      </c>
    </row>
    <row r="2129" spans="1:11" x14ac:dyDescent="0.35">
      <c r="A2129">
        <v>2128</v>
      </c>
      <c r="B2129" t="s">
        <v>2</v>
      </c>
      <c r="C2129" t="s">
        <v>136</v>
      </c>
      <c r="D2129" t="s">
        <v>140</v>
      </c>
      <c r="E2129" s="2">
        <v>44224.331076388888</v>
      </c>
      <c r="F2129" s="2">
        <v>44224.37736111111</v>
      </c>
      <c r="G2129" s="3">
        <v>4.6284722222480923E-2</v>
      </c>
      <c r="H2129" s="3">
        <v>4023.3590249027225</v>
      </c>
      <c r="I2129" s="3">
        <v>67.055983748378708</v>
      </c>
      <c r="J2129" s="3">
        <v>1.1175997291396451</v>
      </c>
      <c r="K2129" t="s">
        <v>90</v>
      </c>
    </row>
    <row r="2130" spans="1:11" x14ac:dyDescent="0.35">
      <c r="A2130">
        <v>2129</v>
      </c>
      <c r="B2130" t="s">
        <v>11</v>
      </c>
      <c r="C2130" t="s">
        <v>11</v>
      </c>
      <c r="D2130" t="s">
        <v>140</v>
      </c>
      <c r="E2130" s="2">
        <v>44224.377476851849</v>
      </c>
      <c r="F2130" s="2">
        <v>44224.383680555555</v>
      </c>
      <c r="G2130" s="3">
        <v>6.2037037059781142E-3</v>
      </c>
      <c r="H2130" s="3">
        <v>539.26492576304884</v>
      </c>
      <c r="I2130" s="3">
        <v>8.9877487627174801</v>
      </c>
      <c r="J2130" s="3">
        <v>0.14979581271195799</v>
      </c>
    </row>
    <row r="2131" spans="1:11" x14ac:dyDescent="0.35">
      <c r="A2131">
        <v>2130</v>
      </c>
      <c r="B2131" t="s">
        <v>11</v>
      </c>
      <c r="C2131" t="s">
        <v>11</v>
      </c>
      <c r="D2131" t="s">
        <v>140</v>
      </c>
      <c r="E2131" s="2">
        <v>44224.383750000001</v>
      </c>
      <c r="F2131" s="2">
        <v>44224.387361111112</v>
      </c>
      <c r="G2131" s="3">
        <v>3.6111111112404615E-3</v>
      </c>
      <c r="H2131" s="3">
        <v>313.90047907166735</v>
      </c>
      <c r="I2131" s="3">
        <v>5.2316746511944556</v>
      </c>
      <c r="J2131" s="3">
        <v>8.7194577519907598E-2</v>
      </c>
    </row>
    <row r="2132" spans="1:11" x14ac:dyDescent="0.35">
      <c r="A2132">
        <v>2131</v>
      </c>
      <c r="B2132" t="s">
        <v>11</v>
      </c>
      <c r="C2132" t="s">
        <v>11</v>
      </c>
      <c r="D2132" t="s">
        <v>140</v>
      </c>
      <c r="E2132" s="2">
        <v>44224.387546296297</v>
      </c>
      <c r="F2132" s="2">
        <v>44224.393055555556</v>
      </c>
      <c r="G2132" s="3">
        <v>5.5092592592700385E-3</v>
      </c>
      <c r="H2132" s="3">
        <v>478.89944882389068</v>
      </c>
      <c r="I2132" s="3">
        <v>7.9816574803981784</v>
      </c>
      <c r="J2132" s="3">
        <v>0.13302762467330298</v>
      </c>
    </row>
    <row r="2133" spans="1:11" x14ac:dyDescent="0.35">
      <c r="A2133">
        <v>2132</v>
      </c>
      <c r="B2133" t="s">
        <v>2</v>
      </c>
      <c r="C2133" t="s">
        <v>72</v>
      </c>
      <c r="D2133" t="s">
        <v>140</v>
      </c>
      <c r="E2133" s="2">
        <v>44224.393310185187</v>
      </c>
      <c r="F2133" s="2">
        <v>44224.459317129629</v>
      </c>
      <c r="G2133" s="3">
        <v>6.6006944442051463E-2</v>
      </c>
      <c r="H2133" s="3">
        <v>5737.7385641560722</v>
      </c>
      <c r="I2133" s="3">
        <v>95.628976069267864</v>
      </c>
      <c r="J2133" s="3">
        <v>1.5938162678211312</v>
      </c>
      <c r="K2133" t="s">
        <v>73</v>
      </c>
    </row>
    <row r="2134" spans="1:11" x14ac:dyDescent="0.35">
      <c r="A2134">
        <v>2133</v>
      </c>
      <c r="B2134" t="s">
        <v>2</v>
      </c>
      <c r="C2134" t="s">
        <v>72</v>
      </c>
      <c r="D2134" t="s">
        <v>140</v>
      </c>
      <c r="E2134" s="2">
        <v>44224.459432870368</v>
      </c>
      <c r="F2134" s="2">
        <v>44224.483657407407</v>
      </c>
      <c r="G2134" s="3">
        <v>2.4224537039117422E-2</v>
      </c>
      <c r="H2134" s="3">
        <v>2105.7490472111804</v>
      </c>
      <c r="I2134" s="3">
        <v>35.095817453519672</v>
      </c>
      <c r="J2134" s="3">
        <v>0.58493029089199455</v>
      </c>
      <c r="K2134" t="s">
        <v>73</v>
      </c>
    </row>
    <row r="2135" spans="1:11" x14ac:dyDescent="0.35">
      <c r="A2135">
        <v>2134</v>
      </c>
      <c r="B2135" t="s">
        <v>16</v>
      </c>
      <c r="C2135" t="s">
        <v>16</v>
      </c>
      <c r="D2135" t="s">
        <v>140</v>
      </c>
      <c r="E2135" s="2">
        <v>44224.483761574076</v>
      </c>
      <c r="F2135" s="2">
        <v>44224.541666666664</v>
      </c>
      <c r="G2135" s="3">
        <v>5.7905092588043772E-2</v>
      </c>
      <c r="H2135" s="3">
        <v>5033.4746686408007</v>
      </c>
      <c r="I2135" s="3">
        <v>83.891244477346675</v>
      </c>
      <c r="J2135" s="3">
        <v>1.3981874079557779</v>
      </c>
    </row>
    <row r="2136" spans="1:11" x14ac:dyDescent="0.35">
      <c r="A2136">
        <v>2135</v>
      </c>
      <c r="B2136" t="s">
        <v>2</v>
      </c>
      <c r="C2136" t="s">
        <v>96</v>
      </c>
      <c r="D2136" t="s">
        <v>140</v>
      </c>
      <c r="E2136" s="2">
        <v>44224.541666666664</v>
      </c>
      <c r="F2136" s="2">
        <v>44224.583333333336</v>
      </c>
      <c r="G2136" s="3">
        <v>4.1666666671517305E-2</v>
      </c>
      <c r="H2136" s="3">
        <v>3621.9286049649954</v>
      </c>
      <c r="I2136" s="3">
        <v>60.365476749416594</v>
      </c>
      <c r="J2136" s="3">
        <v>1.0060912791569432</v>
      </c>
    </row>
    <row r="2137" spans="1:11" x14ac:dyDescent="0.35">
      <c r="A2137">
        <v>2136</v>
      </c>
      <c r="B2137" t="s">
        <v>16</v>
      </c>
      <c r="C2137" t="s">
        <v>16</v>
      </c>
      <c r="D2137" t="s">
        <v>140</v>
      </c>
      <c r="E2137" s="2">
        <v>44224.583333333336</v>
      </c>
      <c r="F2137" s="2">
        <v>44224.614583333336</v>
      </c>
      <c r="G2137" s="3">
        <v>3.125E-2</v>
      </c>
      <c r="H2137" s="3">
        <v>2716.4464534075105</v>
      </c>
      <c r="I2137" s="3">
        <v>45.27410755679184</v>
      </c>
      <c r="J2137" s="3">
        <v>0.75456845927986405</v>
      </c>
    </row>
    <row r="2138" spans="1:11" x14ac:dyDescent="0.35">
      <c r="A2138">
        <v>2137</v>
      </c>
      <c r="B2138" t="s">
        <v>2</v>
      </c>
      <c r="C2138" t="s">
        <v>96</v>
      </c>
      <c r="D2138" t="s">
        <v>140</v>
      </c>
      <c r="E2138" s="2">
        <v>44224.614583333336</v>
      </c>
      <c r="F2138" s="2">
        <v>44224.770833333336</v>
      </c>
      <c r="G2138" s="3">
        <v>0.15625</v>
      </c>
      <c r="H2138" s="3">
        <v>13582.232267037552</v>
      </c>
      <c r="I2138" s="3">
        <v>226.37053778395921</v>
      </c>
      <c r="J2138" s="3">
        <v>3.77284229639932</v>
      </c>
    </row>
    <row r="2139" spans="1:11" x14ac:dyDescent="0.35">
      <c r="A2139">
        <v>2138</v>
      </c>
      <c r="B2139" t="s">
        <v>11</v>
      </c>
      <c r="C2139" t="s">
        <v>11</v>
      </c>
      <c r="D2139" t="s">
        <v>140</v>
      </c>
      <c r="E2139" s="2">
        <v>44224.830775462964</v>
      </c>
      <c r="F2139" s="2">
        <v>44224.835266203707</v>
      </c>
      <c r="G2139" s="3">
        <v>4.4907407427672297E-3</v>
      </c>
      <c r="H2139" s="3">
        <v>390.36341644360476</v>
      </c>
      <c r="I2139" s="3">
        <v>6.5060569407267463</v>
      </c>
      <c r="J2139" s="3">
        <v>0.10843428234544578</v>
      </c>
    </row>
    <row r="2140" spans="1:11" x14ac:dyDescent="0.35">
      <c r="A2140">
        <v>2139</v>
      </c>
      <c r="B2140" t="s">
        <v>11</v>
      </c>
      <c r="C2140" t="s">
        <v>11</v>
      </c>
      <c r="D2140" t="s">
        <v>140</v>
      </c>
      <c r="E2140" s="2">
        <v>44224.862337962964</v>
      </c>
      <c r="F2140" s="2">
        <v>44225.013877314814</v>
      </c>
      <c r="G2140" s="3">
        <v>0.15153935184935108</v>
      </c>
      <c r="H2140" s="3">
        <v>13172.753116250962</v>
      </c>
      <c r="I2140" s="3">
        <v>219.54588527084937</v>
      </c>
      <c r="J2140" s="3">
        <v>3.6590980878474895</v>
      </c>
    </row>
    <row r="2141" spans="1:11" x14ac:dyDescent="0.35">
      <c r="A2141">
        <v>2140</v>
      </c>
      <c r="B2141" t="s">
        <v>11</v>
      </c>
      <c r="C2141" t="s">
        <v>11</v>
      </c>
      <c r="D2141" t="s">
        <v>140</v>
      </c>
      <c r="E2141" s="2">
        <v>44225.333553240744</v>
      </c>
      <c r="F2141" s="2">
        <v>44225.334432870368</v>
      </c>
      <c r="G2141" s="3">
        <v>8.7962962425081059E-4</v>
      </c>
      <c r="H2141" s="3">
        <v>76.462936739465448</v>
      </c>
      <c r="I2141" s="3">
        <v>1.2743822789910908</v>
      </c>
      <c r="J2141" s="3">
        <v>2.1239704649851514E-2</v>
      </c>
    </row>
    <row r="2142" spans="1:11" x14ac:dyDescent="0.35">
      <c r="A2142">
        <v>2141</v>
      </c>
      <c r="B2142" t="s">
        <v>2</v>
      </c>
      <c r="C2142" t="s">
        <v>136</v>
      </c>
      <c r="D2142" t="s">
        <v>140</v>
      </c>
      <c r="E2142" s="2">
        <v>44225.334780092591</v>
      </c>
      <c r="F2142" s="2">
        <v>44225.362986111111</v>
      </c>
      <c r="G2142" s="3">
        <v>2.8206018519995268E-2</v>
      </c>
      <c r="H2142" s="3">
        <v>2451.8444471484063</v>
      </c>
      <c r="I2142" s="3">
        <v>40.864074119140106</v>
      </c>
      <c r="J2142" s="3">
        <v>0.68106790198566847</v>
      </c>
      <c r="K2142" t="s">
        <v>90</v>
      </c>
    </row>
    <row r="2143" spans="1:11" x14ac:dyDescent="0.35">
      <c r="A2143">
        <v>2142</v>
      </c>
      <c r="B2143" t="s">
        <v>16</v>
      </c>
      <c r="C2143" t="s">
        <v>16</v>
      </c>
      <c r="D2143" t="s">
        <v>140</v>
      </c>
      <c r="E2143" s="2">
        <v>44225.363113425927</v>
      </c>
      <c r="F2143" s="2">
        <v>44225.372083333335</v>
      </c>
      <c r="G2143" s="3">
        <v>8.969907408754807E-3</v>
      </c>
      <c r="H2143" s="3">
        <v>779.72074137298387</v>
      </c>
      <c r="I2143" s="3">
        <v>12.995345689549731</v>
      </c>
      <c r="J2143" s="3">
        <v>0.21658909482582886</v>
      </c>
    </row>
    <row r="2144" spans="1:11" x14ac:dyDescent="0.35">
      <c r="A2144">
        <v>2143</v>
      </c>
      <c r="B2144" t="s">
        <v>2</v>
      </c>
      <c r="C2144" t="s">
        <v>136</v>
      </c>
      <c r="D2144" t="s">
        <v>140</v>
      </c>
      <c r="E2144" s="2">
        <v>44225.373553240737</v>
      </c>
      <c r="F2144" s="2">
        <v>44225.401400462964</v>
      </c>
      <c r="G2144" s="3">
        <v>2.7847222227137536E-2</v>
      </c>
      <c r="H2144" s="3">
        <v>2420.6556177970738</v>
      </c>
      <c r="I2144" s="3">
        <v>40.344260296617897</v>
      </c>
      <c r="J2144" s="3">
        <v>0.672404338276965</v>
      </c>
      <c r="K2144" t="s">
        <v>90</v>
      </c>
    </row>
    <row r="2145" spans="1:11" x14ac:dyDescent="0.35">
      <c r="A2145">
        <v>2144</v>
      </c>
      <c r="B2145" t="s">
        <v>2</v>
      </c>
      <c r="C2145" t="s">
        <v>96</v>
      </c>
      <c r="D2145" t="s">
        <v>140</v>
      </c>
      <c r="E2145" s="2">
        <v>44225.401898148149</v>
      </c>
      <c r="F2145" s="2">
        <v>44225.489548611113</v>
      </c>
      <c r="G2145" s="3">
        <v>8.7650462963210884E-2</v>
      </c>
      <c r="H2145" s="3">
        <v>7619.1292561900973</v>
      </c>
      <c r="I2145" s="3">
        <v>126.98548760316829</v>
      </c>
      <c r="J2145" s="3">
        <v>2.1164247933861384</v>
      </c>
    </row>
    <row r="2146" spans="1:11" x14ac:dyDescent="0.35">
      <c r="A2146">
        <v>2145</v>
      </c>
      <c r="B2146" t="s">
        <v>11</v>
      </c>
      <c r="C2146" t="s">
        <v>11</v>
      </c>
      <c r="D2146" t="s">
        <v>140</v>
      </c>
      <c r="E2146" s="2">
        <v>44225.49009259259</v>
      </c>
      <c r="F2146" s="2">
        <v>44225.569733796299</v>
      </c>
      <c r="G2146" s="3">
        <v>7.9641203708888497E-2</v>
      </c>
      <c r="H2146" s="3">
        <v>6922.9140915236867</v>
      </c>
      <c r="I2146" s="3">
        <v>115.38190152539478</v>
      </c>
      <c r="J2146" s="3">
        <v>1.9230316920899131</v>
      </c>
    </row>
    <row r="2147" spans="1:11" x14ac:dyDescent="0.35">
      <c r="A2147">
        <v>2146</v>
      </c>
      <c r="B2147" t="s">
        <v>2</v>
      </c>
      <c r="C2147" t="s">
        <v>136</v>
      </c>
      <c r="D2147" t="s">
        <v>140</v>
      </c>
      <c r="E2147" s="2">
        <v>44225.572962962964</v>
      </c>
      <c r="F2147" s="2">
        <v>44225.585358796299</v>
      </c>
      <c r="G2147" s="3">
        <v>1.2395833335176576E-2</v>
      </c>
      <c r="H2147" s="3">
        <v>1077.5237600118719</v>
      </c>
      <c r="I2147" s="3">
        <v>17.958729333531199</v>
      </c>
      <c r="J2147" s="3">
        <v>0.29931215555885332</v>
      </c>
      <c r="K2147" t="s">
        <v>90</v>
      </c>
    </row>
    <row r="2148" spans="1:11" x14ac:dyDescent="0.35">
      <c r="A2148">
        <v>2147</v>
      </c>
      <c r="B2148" t="s">
        <v>2</v>
      </c>
      <c r="C2148" t="s">
        <v>96</v>
      </c>
      <c r="D2148" t="s">
        <v>140</v>
      </c>
      <c r="E2148" s="2">
        <v>44225.586192129631</v>
      </c>
      <c r="F2148" s="2">
        <v>44225.632592592592</v>
      </c>
      <c r="G2148" s="3">
        <v>4.6400462961173616E-2</v>
      </c>
      <c r="H2148" s="3">
        <v>4033.4199375150915</v>
      </c>
      <c r="I2148" s="3">
        <v>67.223665625251527</v>
      </c>
      <c r="J2148" s="3">
        <v>1.1203944270875255</v>
      </c>
    </row>
    <row r="2149" spans="1:11" x14ac:dyDescent="0.35">
      <c r="A2149">
        <v>2148</v>
      </c>
      <c r="B2149" t="s">
        <v>2</v>
      </c>
      <c r="C2149" t="s">
        <v>96</v>
      </c>
      <c r="D2149" t="s">
        <v>140</v>
      </c>
      <c r="E2149" s="2">
        <v>44225.6328125</v>
      </c>
      <c r="F2149" s="2">
        <v>44225.637002314812</v>
      </c>
      <c r="G2149" s="3">
        <v>4.1898148119798861E-3</v>
      </c>
      <c r="H2149" s="3">
        <v>364.2050427659845</v>
      </c>
      <c r="I2149" s="3">
        <v>6.0700840460997414</v>
      </c>
      <c r="J2149" s="3">
        <v>0.10116806743499569</v>
      </c>
    </row>
    <row r="2150" spans="1:11" x14ac:dyDescent="0.35">
      <c r="A2150">
        <v>2149</v>
      </c>
      <c r="B2150" t="s">
        <v>11</v>
      </c>
      <c r="C2150" t="s">
        <v>11</v>
      </c>
      <c r="D2150" t="s">
        <v>140</v>
      </c>
      <c r="E2150" s="2">
        <v>44226.345717592594</v>
      </c>
      <c r="F2150" s="2">
        <v>44226.364212962966</v>
      </c>
      <c r="G2150" s="3">
        <v>1.8495370371965691E-2</v>
      </c>
      <c r="H2150" s="3">
        <v>1607.7338640443054</v>
      </c>
      <c r="I2150" s="3">
        <v>26.795564400738424</v>
      </c>
      <c r="J2150" s="3">
        <v>0.44659274001230709</v>
      </c>
    </row>
    <row r="2151" spans="1:11" x14ac:dyDescent="0.35">
      <c r="A2151">
        <v>2150</v>
      </c>
      <c r="B2151" t="s">
        <v>11</v>
      </c>
      <c r="C2151" t="s">
        <v>11</v>
      </c>
      <c r="D2151" t="s">
        <v>140</v>
      </c>
      <c r="E2151" s="2">
        <v>44227.722708333335</v>
      </c>
      <c r="F2151" s="2">
        <v>44227.733090277776</v>
      </c>
      <c r="G2151" s="3">
        <v>1.0381944441178348E-2</v>
      </c>
      <c r="H2151" s="3">
        <v>902.46387701480762</v>
      </c>
      <c r="I2151" s="3">
        <v>15.041064616913461</v>
      </c>
      <c r="J2151" s="3">
        <v>0.25068441028189103</v>
      </c>
    </row>
    <row r="2152" spans="1:11" x14ac:dyDescent="0.35">
      <c r="A2152">
        <v>2151</v>
      </c>
      <c r="B2152" t="s">
        <v>11</v>
      </c>
      <c r="C2152" t="s">
        <v>11</v>
      </c>
      <c r="D2152" t="s">
        <v>140</v>
      </c>
      <c r="E2152" s="2">
        <v>44228.338807870372</v>
      </c>
      <c r="F2152" s="2">
        <v>44228.360138888886</v>
      </c>
      <c r="G2152" s="3">
        <v>2.1331018513592426E-2</v>
      </c>
      <c r="H2152" s="3">
        <v>1854.2262268421787</v>
      </c>
      <c r="I2152" s="3">
        <v>30.903770447369645</v>
      </c>
      <c r="J2152" s="3">
        <v>0.51506284078949405</v>
      </c>
    </row>
    <row r="2153" spans="1:11" x14ac:dyDescent="0.35">
      <c r="A2153">
        <v>2152</v>
      </c>
      <c r="B2153" t="s">
        <v>2</v>
      </c>
      <c r="C2153" t="s">
        <v>96</v>
      </c>
      <c r="D2153" t="s">
        <v>140</v>
      </c>
      <c r="E2153" s="2">
        <v>44228.36037037037</v>
      </c>
      <c r="F2153" s="2">
        <v>44228.363946759258</v>
      </c>
      <c r="G2153" s="3">
        <v>3.5763888881774619E-3</v>
      </c>
      <c r="H2153" s="3">
        <v>310.88220516146225</v>
      </c>
      <c r="I2153" s="3">
        <v>5.181370086024371</v>
      </c>
      <c r="J2153" s="3">
        <v>8.635616810040618E-2</v>
      </c>
    </row>
    <row r="2154" spans="1:11" x14ac:dyDescent="0.35">
      <c r="A2154">
        <v>2153</v>
      </c>
      <c r="B2154" t="s">
        <v>2</v>
      </c>
      <c r="C2154" t="s">
        <v>96</v>
      </c>
      <c r="D2154" t="s">
        <v>140</v>
      </c>
      <c r="E2154" s="2">
        <v>44228.364131944443</v>
      </c>
      <c r="F2154" s="2">
        <v>44228.375810185185</v>
      </c>
      <c r="G2154" s="3">
        <v>1.1678240742185153E-2</v>
      </c>
      <c r="H2154" s="3">
        <v>1015.1461006767344</v>
      </c>
      <c r="I2154" s="3">
        <v>16.919101677945573</v>
      </c>
      <c r="J2154" s="3">
        <v>0.28198502796575953</v>
      </c>
    </row>
    <row r="2155" spans="1:11" x14ac:dyDescent="0.35">
      <c r="A2155">
        <v>2154</v>
      </c>
      <c r="B2155" t="s">
        <v>2</v>
      </c>
      <c r="C2155" t="s">
        <v>96</v>
      </c>
      <c r="D2155" t="s">
        <v>140</v>
      </c>
      <c r="E2155" s="2">
        <v>44228.375914351855</v>
      </c>
      <c r="F2155" s="2">
        <v>44228.384895833333</v>
      </c>
      <c r="G2155" s="3">
        <v>8.9814814782585017E-3</v>
      </c>
      <c r="H2155" s="3">
        <v>780.72683225473759</v>
      </c>
      <c r="I2155" s="3">
        <v>13.012113870912293</v>
      </c>
      <c r="J2155" s="3">
        <v>0.21686856451520489</v>
      </c>
    </row>
    <row r="2156" spans="1:11" x14ac:dyDescent="0.35">
      <c r="A2156">
        <v>2155</v>
      </c>
      <c r="B2156" t="s">
        <v>2</v>
      </c>
      <c r="C2156" t="s">
        <v>96</v>
      </c>
      <c r="D2156" t="s">
        <v>140</v>
      </c>
      <c r="E2156" s="2">
        <v>44228.385092592594</v>
      </c>
      <c r="F2156" s="2">
        <v>44228.411689814813</v>
      </c>
      <c r="G2156" s="3">
        <v>2.6597222218697425E-2</v>
      </c>
      <c r="H2156" s="3">
        <v>2311.9977589271057</v>
      </c>
      <c r="I2156" s="3">
        <v>38.533295982118425</v>
      </c>
      <c r="J2156" s="3">
        <v>0.64222159970197379</v>
      </c>
    </row>
    <row r="2157" spans="1:11" x14ac:dyDescent="0.35">
      <c r="A2157">
        <v>2156</v>
      </c>
      <c r="B2157" t="s">
        <v>11</v>
      </c>
      <c r="C2157" t="s">
        <v>11</v>
      </c>
      <c r="D2157" t="s">
        <v>140</v>
      </c>
      <c r="E2157" s="2">
        <v>44228.411805555559</v>
      </c>
      <c r="F2157" s="2">
        <v>44228.41678240741</v>
      </c>
      <c r="G2157" s="3">
        <v>4.9768518510973081E-3</v>
      </c>
      <c r="H2157" s="3">
        <v>432.61924992153234</v>
      </c>
      <c r="I2157" s="3">
        <v>7.2103208320255394</v>
      </c>
      <c r="J2157" s="3">
        <v>0.12017201386709232</v>
      </c>
    </row>
    <row r="2158" spans="1:11" x14ac:dyDescent="0.35">
      <c r="A2158">
        <v>2157</v>
      </c>
      <c r="B2158" t="s">
        <v>16</v>
      </c>
      <c r="C2158" t="s">
        <v>16</v>
      </c>
      <c r="D2158" t="s">
        <v>140</v>
      </c>
      <c r="E2158" s="2">
        <v>44228.417048611111</v>
      </c>
      <c r="F2158" s="2">
        <v>44228.432638888888</v>
      </c>
      <c r="G2158" s="3">
        <v>1.5590277776937E-2</v>
      </c>
      <c r="H2158" s="3">
        <v>1355.2049527935501</v>
      </c>
      <c r="I2158" s="3">
        <v>22.586749213225836</v>
      </c>
      <c r="J2158" s="3">
        <v>0.3764458202204306</v>
      </c>
    </row>
    <row r="2159" spans="1:11" x14ac:dyDescent="0.35">
      <c r="A2159">
        <v>2158</v>
      </c>
      <c r="B2159" t="s">
        <v>11</v>
      </c>
      <c r="C2159" t="s">
        <v>11</v>
      </c>
      <c r="D2159" t="s">
        <v>140</v>
      </c>
      <c r="E2159" s="2">
        <v>44228.432800925926</v>
      </c>
      <c r="F2159" s="2">
        <v>44228.436562499999</v>
      </c>
      <c r="G2159" s="3">
        <v>3.7615740729961544E-3</v>
      </c>
      <c r="H2159" s="3">
        <v>326.97966559424151</v>
      </c>
      <c r="I2159" s="3">
        <v>5.4496610932373581</v>
      </c>
      <c r="J2159" s="3">
        <v>9.0827684887289303E-2</v>
      </c>
    </row>
    <row r="2160" spans="1:11" x14ac:dyDescent="0.35">
      <c r="A2160">
        <v>2159</v>
      </c>
      <c r="B2160" t="s">
        <v>11</v>
      </c>
      <c r="C2160" t="s">
        <v>11</v>
      </c>
      <c r="D2160" t="s">
        <v>140</v>
      </c>
      <c r="E2160" s="2">
        <v>44228.436655092592</v>
      </c>
      <c r="F2160" s="2">
        <v>44228.446099537039</v>
      </c>
      <c r="G2160" s="3">
        <v>9.4444444475811906E-3</v>
      </c>
      <c r="H2160" s="3">
        <v>820.97048396915773</v>
      </c>
      <c r="I2160" s="3">
        <v>13.682841399485962</v>
      </c>
      <c r="J2160" s="3">
        <v>0.22804735665809936</v>
      </c>
    </row>
    <row r="2161" spans="1:11" x14ac:dyDescent="0.35">
      <c r="A2161">
        <v>2160</v>
      </c>
      <c r="B2161" t="s">
        <v>11</v>
      </c>
      <c r="C2161" t="s">
        <v>11</v>
      </c>
      <c r="D2161" t="s">
        <v>140</v>
      </c>
      <c r="E2161" s="2">
        <v>44228.446261574078</v>
      </c>
      <c r="F2161" s="2">
        <v>44228.452847222223</v>
      </c>
      <c r="G2161" s="3">
        <v>6.5856481451191939E-3</v>
      </c>
      <c r="H2161" s="3">
        <v>572.46593751036107</v>
      </c>
      <c r="I2161" s="3">
        <v>9.5410989585060175</v>
      </c>
      <c r="J2161" s="3">
        <v>0.1590183159751003</v>
      </c>
    </row>
    <row r="2162" spans="1:11" x14ac:dyDescent="0.35">
      <c r="A2162">
        <v>2161</v>
      </c>
      <c r="B2162" t="s">
        <v>2</v>
      </c>
      <c r="C2162" t="s">
        <v>96</v>
      </c>
      <c r="D2162" t="s">
        <v>140</v>
      </c>
      <c r="E2162" s="2">
        <v>44228.453634259262</v>
      </c>
      <c r="F2162" s="2">
        <v>44228.504988425928</v>
      </c>
      <c r="G2162" s="3">
        <v>5.1354166665987577E-2</v>
      </c>
      <c r="H2162" s="3">
        <v>4464.0270050406443</v>
      </c>
      <c r="I2162" s="3">
        <v>74.400450084010743</v>
      </c>
      <c r="J2162" s="3">
        <v>1.240007501400179</v>
      </c>
    </row>
    <row r="2163" spans="1:11" x14ac:dyDescent="0.35">
      <c r="A2163">
        <v>2162</v>
      </c>
      <c r="B2163" t="s">
        <v>11</v>
      </c>
      <c r="C2163" t="s">
        <v>11</v>
      </c>
      <c r="D2163" t="s">
        <v>140</v>
      </c>
      <c r="E2163" s="2">
        <v>44228.505173611113</v>
      </c>
      <c r="F2163" s="2">
        <v>44228.513518518521</v>
      </c>
      <c r="G2163" s="3">
        <v>8.3449074081727304E-3</v>
      </c>
      <c r="H2163" s="3">
        <v>725.3918122542359</v>
      </c>
      <c r="I2163" s="3">
        <v>12.089863537570599</v>
      </c>
      <c r="J2163" s="3">
        <v>0.20149772562617665</v>
      </c>
    </row>
    <row r="2164" spans="1:11" x14ac:dyDescent="0.35">
      <c r="A2164">
        <v>2163</v>
      </c>
      <c r="B2164" t="s">
        <v>16</v>
      </c>
      <c r="C2164" t="s">
        <v>16</v>
      </c>
      <c r="D2164" t="s">
        <v>140</v>
      </c>
      <c r="E2164" s="2">
        <v>44228.513657407406</v>
      </c>
      <c r="F2164" s="2">
        <v>44228.541666666664</v>
      </c>
      <c r="G2164" s="3">
        <v>2.8009259258396924E-2</v>
      </c>
      <c r="H2164" s="3">
        <v>2434.7408952014016</v>
      </c>
      <c r="I2164" s="3">
        <v>40.579014920023361</v>
      </c>
      <c r="J2164" s="3">
        <v>0.67631691533372273</v>
      </c>
    </row>
    <row r="2165" spans="1:11" x14ac:dyDescent="0.35">
      <c r="A2165">
        <v>2164</v>
      </c>
      <c r="B2165" t="s">
        <v>11</v>
      </c>
      <c r="C2165" t="s">
        <v>11</v>
      </c>
      <c r="D2165" t="s">
        <v>140</v>
      </c>
      <c r="E2165" s="2">
        <v>44228.542268518519</v>
      </c>
      <c r="F2165" s="2">
        <v>44228.554386574076</v>
      </c>
      <c r="G2165" s="3">
        <v>1.2118055557948537E-2</v>
      </c>
      <c r="H2165" s="3">
        <v>1053.3775693627031</v>
      </c>
      <c r="I2165" s="3">
        <v>17.556292822711718</v>
      </c>
      <c r="J2165" s="3">
        <v>0.29260488037852866</v>
      </c>
    </row>
    <row r="2166" spans="1:11" x14ac:dyDescent="0.35">
      <c r="A2166">
        <v>2165</v>
      </c>
      <c r="B2166" t="s">
        <v>11</v>
      </c>
      <c r="C2166" t="s">
        <v>11</v>
      </c>
      <c r="D2166" t="s">
        <v>140</v>
      </c>
      <c r="E2166" s="2">
        <v>44228.554467592592</v>
      </c>
      <c r="F2166" s="2">
        <v>44228.556539351855</v>
      </c>
      <c r="G2166" s="3">
        <v>2.0717592633445747E-3</v>
      </c>
      <c r="H2166" s="3">
        <v>180.09033930324884</v>
      </c>
      <c r="I2166" s="3">
        <v>3.0015056550541472</v>
      </c>
      <c r="J2166" s="3">
        <v>5.0025094250902451E-2</v>
      </c>
    </row>
    <row r="2167" spans="1:11" x14ac:dyDescent="0.35">
      <c r="A2167">
        <v>2166</v>
      </c>
      <c r="B2167" t="s">
        <v>2</v>
      </c>
      <c r="C2167" t="s">
        <v>96</v>
      </c>
      <c r="D2167" t="s">
        <v>140</v>
      </c>
      <c r="E2167" s="2">
        <v>44228.556712962964</v>
      </c>
      <c r="F2167" s="2">
        <v>44228.599189814813</v>
      </c>
      <c r="G2167" s="3">
        <v>4.2476851849642117E-2</v>
      </c>
      <c r="H2167" s="3">
        <v>3692.3549938840501</v>
      </c>
      <c r="I2167" s="3">
        <v>61.539249898067503</v>
      </c>
      <c r="J2167" s="3">
        <v>1.0256541649677917</v>
      </c>
    </row>
    <row r="2168" spans="1:11" x14ac:dyDescent="0.35">
      <c r="A2168">
        <v>2167</v>
      </c>
      <c r="B2168" t="s">
        <v>2</v>
      </c>
      <c r="C2168" t="s">
        <v>136</v>
      </c>
      <c r="D2168" t="s">
        <v>140</v>
      </c>
      <c r="E2168" s="2">
        <v>44228.599606481483</v>
      </c>
      <c r="F2168" s="2">
        <v>44228.631076388891</v>
      </c>
      <c r="G2168" s="3">
        <v>3.1469907407881692E-2</v>
      </c>
      <c r="H2168" s="3">
        <v>2735.5621877504946</v>
      </c>
      <c r="I2168" s="3">
        <v>45.592703129174907</v>
      </c>
      <c r="J2168" s="3">
        <v>0.75987838548624842</v>
      </c>
      <c r="K2168" t="s">
        <v>90</v>
      </c>
    </row>
    <row r="2169" spans="1:11" x14ac:dyDescent="0.35">
      <c r="A2169">
        <v>2168</v>
      </c>
      <c r="B2169" t="s">
        <v>11</v>
      </c>
      <c r="C2169" t="s">
        <v>11</v>
      </c>
      <c r="D2169" t="s">
        <v>140</v>
      </c>
      <c r="E2169" s="2">
        <v>44228.631203703706</v>
      </c>
      <c r="F2169" s="2">
        <v>44228.632094907407</v>
      </c>
      <c r="G2169" s="3">
        <v>8.9120370103046298E-4</v>
      </c>
      <c r="H2169" s="3">
        <v>77.46902825369115</v>
      </c>
      <c r="I2169" s="3">
        <v>1.2911504708948525</v>
      </c>
      <c r="J2169" s="3">
        <v>2.1519174514914207E-2</v>
      </c>
    </row>
    <row r="2170" spans="1:11" x14ac:dyDescent="0.35">
      <c r="A2170">
        <v>2169</v>
      </c>
      <c r="B2170" t="s">
        <v>2</v>
      </c>
      <c r="C2170" t="s">
        <v>136</v>
      </c>
      <c r="D2170" t="s">
        <v>140</v>
      </c>
      <c r="E2170" s="2">
        <v>44228.632268518515</v>
      </c>
      <c r="F2170" s="2">
        <v>44228.643449074072</v>
      </c>
      <c r="G2170" s="3">
        <v>1.1180555557075422E-2</v>
      </c>
      <c r="H2170" s="3">
        <v>971.88417568458112</v>
      </c>
      <c r="I2170" s="3">
        <v>16.198069594743018</v>
      </c>
      <c r="J2170" s="3">
        <v>0.26996782657905027</v>
      </c>
      <c r="K2170" t="s">
        <v>90</v>
      </c>
    </row>
    <row r="2171" spans="1:11" x14ac:dyDescent="0.35">
      <c r="A2171">
        <v>2170</v>
      </c>
      <c r="B2171" t="s">
        <v>16</v>
      </c>
      <c r="C2171" t="s">
        <v>16</v>
      </c>
      <c r="D2171" t="s">
        <v>140</v>
      </c>
      <c r="E2171" s="2">
        <v>44228.643553240741</v>
      </c>
      <c r="F2171" s="2">
        <v>44228.65111111111</v>
      </c>
      <c r="G2171" s="3">
        <v>7.5578703690553084E-3</v>
      </c>
      <c r="H2171" s="3">
        <v>656.97760509868806</v>
      </c>
      <c r="I2171" s="3">
        <v>10.949626751644802</v>
      </c>
      <c r="J2171" s="3">
        <v>0.18249377919408002</v>
      </c>
    </row>
    <row r="2172" spans="1:11" x14ac:dyDescent="0.35">
      <c r="A2172">
        <v>2171</v>
      </c>
      <c r="B2172" t="s">
        <v>2</v>
      </c>
      <c r="C2172" t="s">
        <v>136</v>
      </c>
      <c r="D2172" t="s">
        <v>140</v>
      </c>
      <c r="E2172" s="2">
        <v>44228.65152777778</v>
      </c>
      <c r="F2172" s="2">
        <v>44228.693854166668</v>
      </c>
      <c r="G2172" s="3">
        <v>4.2326388887886424E-2</v>
      </c>
      <c r="H2172" s="3">
        <v>3679.2758073614759</v>
      </c>
      <c r="I2172" s="3">
        <v>61.321263456024596</v>
      </c>
      <c r="J2172" s="3">
        <v>1.0220210576004098</v>
      </c>
      <c r="K2172" t="s">
        <v>90</v>
      </c>
    </row>
    <row r="2173" spans="1:11" x14ac:dyDescent="0.35">
      <c r="A2173">
        <v>2172</v>
      </c>
      <c r="B2173" t="s">
        <v>2</v>
      </c>
      <c r="C2173" t="s">
        <v>96</v>
      </c>
      <c r="D2173" t="s">
        <v>140</v>
      </c>
      <c r="E2173" s="2">
        <v>44228.694293981483</v>
      </c>
      <c r="F2173" s="2">
        <v>44228.701238425929</v>
      </c>
      <c r="G2173" s="3">
        <v>6.9444444452528842E-3</v>
      </c>
      <c r="H2173" s="3">
        <v>603.65476749416587</v>
      </c>
      <c r="I2173" s="3">
        <v>10.060912791569431</v>
      </c>
      <c r="J2173" s="3">
        <v>0.16768187985949051</v>
      </c>
    </row>
    <row r="2174" spans="1:11" x14ac:dyDescent="0.35">
      <c r="A2174">
        <v>2173</v>
      </c>
      <c r="B2174" t="s">
        <v>11</v>
      </c>
      <c r="C2174" t="s">
        <v>11</v>
      </c>
      <c r="D2174" t="s">
        <v>140</v>
      </c>
      <c r="E2174" s="2">
        <v>44228.800567129627</v>
      </c>
      <c r="F2174" s="2">
        <v>44228.85664351852</v>
      </c>
      <c r="G2174" s="3">
        <v>5.6076388893416151E-2</v>
      </c>
      <c r="H2174" s="3">
        <v>4874.5122473414594</v>
      </c>
      <c r="I2174" s="3">
        <v>81.241870789024318</v>
      </c>
      <c r="J2174" s="3">
        <v>1.3540311798170719</v>
      </c>
    </row>
    <row r="2175" spans="1:11" x14ac:dyDescent="0.35">
      <c r="A2175">
        <v>2174</v>
      </c>
      <c r="B2175" t="s">
        <v>11</v>
      </c>
      <c r="C2175" t="s">
        <v>11</v>
      </c>
      <c r="D2175" t="s">
        <v>140</v>
      </c>
      <c r="E2175" s="2">
        <v>44229.334768518522</v>
      </c>
      <c r="F2175" s="2">
        <v>44229.344201388885</v>
      </c>
      <c r="G2175" s="3">
        <v>9.4328703635255806E-3</v>
      </c>
      <c r="H2175" s="3">
        <v>819.96439182246002</v>
      </c>
      <c r="I2175" s="3">
        <v>13.666073197040999</v>
      </c>
      <c r="J2175" s="3">
        <v>0.22776788661734998</v>
      </c>
    </row>
    <row r="2176" spans="1:11" x14ac:dyDescent="0.35">
      <c r="A2176">
        <v>2175</v>
      </c>
      <c r="B2176" t="s">
        <v>2</v>
      </c>
      <c r="C2176" t="s">
        <v>136</v>
      </c>
      <c r="D2176" t="s">
        <v>140</v>
      </c>
      <c r="E2176" s="2">
        <v>44229.34447916667</v>
      </c>
      <c r="F2176" s="2">
        <v>44229.385162037041</v>
      </c>
      <c r="G2176" s="3">
        <v>4.0682870370801538E-2</v>
      </c>
      <c r="H2176" s="3">
        <v>3536.4108458624423</v>
      </c>
      <c r="I2176" s="3">
        <v>58.940180764374041</v>
      </c>
      <c r="J2176" s="3">
        <v>0.98233634607290066</v>
      </c>
      <c r="K2176" t="s">
        <v>90</v>
      </c>
    </row>
    <row r="2177" spans="1:11" x14ac:dyDescent="0.35">
      <c r="A2177">
        <v>2176</v>
      </c>
      <c r="B2177" t="s">
        <v>2</v>
      </c>
      <c r="C2177" t="s">
        <v>96</v>
      </c>
      <c r="D2177" t="s">
        <v>140</v>
      </c>
      <c r="E2177" s="2">
        <v>44229.385254629633</v>
      </c>
      <c r="F2177" s="2">
        <v>44229.399004629631</v>
      </c>
      <c r="G2177" s="3">
        <v>1.374999999825377E-2</v>
      </c>
      <c r="H2177" s="3">
        <v>1195.2364393475114</v>
      </c>
      <c r="I2177" s="3">
        <v>19.920607322458523</v>
      </c>
      <c r="J2177" s="3">
        <v>0.33201012204097535</v>
      </c>
    </row>
    <row r="2178" spans="1:11" x14ac:dyDescent="0.35">
      <c r="A2178">
        <v>2177</v>
      </c>
      <c r="B2178" t="s">
        <v>2</v>
      </c>
      <c r="C2178" t="s">
        <v>136</v>
      </c>
      <c r="D2178" t="s">
        <v>140</v>
      </c>
      <c r="E2178" s="2">
        <v>44229.399178240739</v>
      </c>
      <c r="F2178" s="2">
        <v>44229.407569444447</v>
      </c>
      <c r="G2178" s="3">
        <v>8.3912037080153823E-3</v>
      </c>
      <c r="H2178" s="3">
        <v>729.41617767866671</v>
      </c>
      <c r="I2178" s="3">
        <v>12.156936294644446</v>
      </c>
      <c r="J2178" s="3">
        <v>0.20261560491074077</v>
      </c>
      <c r="K2178" t="s">
        <v>90</v>
      </c>
    </row>
    <row r="2179" spans="1:11" x14ac:dyDescent="0.35">
      <c r="A2179">
        <v>2178</v>
      </c>
      <c r="B2179" t="s">
        <v>16</v>
      </c>
      <c r="C2179" t="s">
        <v>16</v>
      </c>
      <c r="D2179" t="s">
        <v>140</v>
      </c>
      <c r="E2179" s="2">
        <v>44229.40766203704</v>
      </c>
      <c r="F2179" s="2">
        <v>44229.40966435185</v>
      </c>
      <c r="G2179" s="3">
        <v>2.002314809942618E-3</v>
      </c>
      <c r="H2179" s="3">
        <v>174.05379085036665</v>
      </c>
      <c r="I2179" s="3">
        <v>2.9008965141727776</v>
      </c>
      <c r="J2179" s="3">
        <v>4.8348275236212962E-2</v>
      </c>
    </row>
    <row r="2180" spans="1:11" x14ac:dyDescent="0.35">
      <c r="A2180">
        <v>2179</v>
      </c>
      <c r="B2180" t="s">
        <v>2</v>
      </c>
      <c r="C2180" t="s">
        <v>136</v>
      </c>
      <c r="D2180" t="s">
        <v>140</v>
      </c>
      <c r="E2180" s="2">
        <v>44229.409849537034</v>
      </c>
      <c r="F2180" s="2">
        <v>44229.445601851854</v>
      </c>
      <c r="G2180" s="3">
        <v>3.5752314819546882E-2</v>
      </c>
      <c r="H2180" s="3">
        <v>3107.8159613653406</v>
      </c>
      <c r="I2180" s="3">
        <v>51.796932689422341</v>
      </c>
      <c r="J2180" s="3">
        <v>0.86328221149037232</v>
      </c>
      <c r="K2180" t="s">
        <v>90</v>
      </c>
    </row>
    <row r="2181" spans="1:11" x14ac:dyDescent="0.35">
      <c r="A2181">
        <v>2180</v>
      </c>
      <c r="B2181" t="s">
        <v>2</v>
      </c>
      <c r="C2181" t="s">
        <v>96</v>
      </c>
      <c r="D2181" t="s">
        <v>140</v>
      </c>
      <c r="E2181" s="2">
        <v>44229.445752314816</v>
      </c>
      <c r="F2181" s="2">
        <v>44229.447245370371</v>
      </c>
      <c r="G2181" s="3">
        <v>1.4930555553291924E-3</v>
      </c>
      <c r="H2181" s="3">
        <v>129.78577497645969</v>
      </c>
      <c r="I2181" s="3">
        <v>2.1630962496076616</v>
      </c>
      <c r="J2181" s="3">
        <v>3.605160416012769E-2</v>
      </c>
    </row>
    <row r="2182" spans="1:11" x14ac:dyDescent="0.35">
      <c r="A2182">
        <v>2181</v>
      </c>
      <c r="B2182" t="s">
        <v>2</v>
      </c>
      <c r="C2182" t="s">
        <v>136</v>
      </c>
      <c r="D2182" t="s">
        <v>140</v>
      </c>
      <c r="E2182" s="2">
        <v>44229.447476851848</v>
      </c>
      <c r="F2182" s="2">
        <v>44229.456759259258</v>
      </c>
      <c r="G2182" s="3">
        <v>9.2824074090458453E-3</v>
      </c>
      <c r="H2182" s="3">
        <v>806.88520593235785</v>
      </c>
      <c r="I2182" s="3">
        <v>13.448086765539298</v>
      </c>
      <c r="J2182" s="3">
        <v>0.22413477942565496</v>
      </c>
      <c r="K2182" t="s">
        <v>90</v>
      </c>
    </row>
    <row r="2183" spans="1:11" x14ac:dyDescent="0.35">
      <c r="A2183">
        <v>2182</v>
      </c>
      <c r="B2183" t="s">
        <v>11</v>
      </c>
      <c r="C2183" t="s">
        <v>11</v>
      </c>
      <c r="D2183" t="s">
        <v>140</v>
      </c>
      <c r="E2183" s="2">
        <v>44229.456932870373</v>
      </c>
      <c r="F2183" s="2">
        <v>44229.475046296298</v>
      </c>
      <c r="G2183" s="3">
        <v>1.8113425925548654E-2</v>
      </c>
      <c r="H2183" s="3">
        <v>1574.5328516645213</v>
      </c>
      <c r="I2183" s="3">
        <v>26.242214194408689</v>
      </c>
      <c r="J2183" s="3">
        <v>0.43737023657347812</v>
      </c>
    </row>
    <row r="2184" spans="1:11" x14ac:dyDescent="0.35">
      <c r="A2184">
        <v>2183</v>
      </c>
      <c r="B2184" t="s">
        <v>16</v>
      </c>
      <c r="C2184" t="s">
        <v>16</v>
      </c>
      <c r="D2184" t="s">
        <v>140</v>
      </c>
      <c r="E2184" s="2">
        <v>44229.475219907406</v>
      </c>
      <c r="F2184" s="2">
        <v>44229.486145833333</v>
      </c>
      <c r="G2184" s="3">
        <v>1.0925925926130731E-2</v>
      </c>
      <c r="H2184" s="3">
        <v>949.75016743139179</v>
      </c>
      <c r="I2184" s="3">
        <v>15.829169457189863</v>
      </c>
      <c r="J2184" s="3">
        <v>0.26381949095316437</v>
      </c>
    </row>
    <row r="2185" spans="1:11" x14ac:dyDescent="0.35">
      <c r="A2185">
        <v>2184</v>
      </c>
      <c r="B2185" t="s">
        <v>11</v>
      </c>
      <c r="C2185" t="s">
        <v>11</v>
      </c>
      <c r="D2185" t="s">
        <v>140</v>
      </c>
      <c r="E2185" s="2">
        <v>44229.486215277779</v>
      </c>
      <c r="F2185" s="2">
        <v>44229.50408564815</v>
      </c>
      <c r="G2185" s="3">
        <v>1.7870370371383615E-2</v>
      </c>
      <c r="H2185" s="3">
        <v>1553.4049349255574</v>
      </c>
      <c r="I2185" s="3">
        <v>25.890082248759292</v>
      </c>
      <c r="J2185" s="3">
        <v>0.43150137081265488</v>
      </c>
    </row>
    <row r="2186" spans="1:11" x14ac:dyDescent="0.35">
      <c r="A2186">
        <v>2185</v>
      </c>
      <c r="B2186" t="s">
        <v>16</v>
      </c>
      <c r="C2186" t="s">
        <v>16</v>
      </c>
      <c r="D2186" t="s">
        <v>140</v>
      </c>
      <c r="E2186" s="2">
        <v>44229.504143518519</v>
      </c>
      <c r="F2186" s="2">
        <v>44229.514340277776</v>
      </c>
      <c r="G2186" s="3">
        <v>1.0196759256359655E-2</v>
      </c>
      <c r="H2186" s="3">
        <v>886.36641658202836</v>
      </c>
      <c r="I2186" s="3">
        <v>14.772773609700472</v>
      </c>
      <c r="J2186" s="3">
        <v>0.24621289349500788</v>
      </c>
    </row>
    <row r="2187" spans="1:11" x14ac:dyDescent="0.35">
      <c r="A2187">
        <v>2186</v>
      </c>
      <c r="B2187" t="s">
        <v>2</v>
      </c>
      <c r="C2187" t="s">
        <v>96</v>
      </c>
      <c r="D2187" t="s">
        <v>140</v>
      </c>
      <c r="E2187" s="2">
        <v>44229.514618055553</v>
      </c>
      <c r="F2187" s="2">
        <v>44229.530324074076</v>
      </c>
      <c r="G2187" s="3">
        <v>1.5706018522905651E-2</v>
      </c>
      <c r="H2187" s="3">
        <v>1365.2658660383911</v>
      </c>
      <c r="I2187" s="3">
        <v>22.754431100639852</v>
      </c>
      <c r="J2187" s="3">
        <v>0.37924051834399752</v>
      </c>
    </row>
    <row r="2188" spans="1:11" x14ac:dyDescent="0.35">
      <c r="A2188">
        <v>2187</v>
      </c>
      <c r="B2188" t="s">
        <v>2</v>
      </c>
      <c r="C2188" t="s">
        <v>96</v>
      </c>
      <c r="D2188" t="s">
        <v>140</v>
      </c>
      <c r="E2188" s="2">
        <v>44229.530462962961</v>
      </c>
      <c r="F2188" s="2">
        <v>44229.536296296297</v>
      </c>
      <c r="G2188" s="3">
        <v>5.8333333363407291E-3</v>
      </c>
      <c r="H2188" s="3">
        <v>507.07000489749032</v>
      </c>
      <c r="I2188" s="3">
        <v>8.4511667482915058</v>
      </c>
      <c r="J2188" s="3">
        <v>0.14085277913819177</v>
      </c>
    </row>
    <row r="2189" spans="1:11" x14ac:dyDescent="0.35">
      <c r="A2189">
        <v>2188</v>
      </c>
      <c r="B2189" t="s">
        <v>11</v>
      </c>
      <c r="C2189" t="s">
        <v>11</v>
      </c>
      <c r="D2189" t="s">
        <v>140</v>
      </c>
      <c r="E2189" s="2">
        <v>44229.536400462966</v>
      </c>
      <c r="F2189" s="2">
        <v>44229.538344907407</v>
      </c>
      <c r="G2189" s="3">
        <v>1.9444444405962713E-3</v>
      </c>
      <c r="H2189" s="3">
        <v>169.02333454418212</v>
      </c>
      <c r="I2189" s="3">
        <v>2.8170555757363687</v>
      </c>
      <c r="J2189" s="3">
        <v>4.6950926262272812E-2</v>
      </c>
    </row>
    <row r="2190" spans="1:11" x14ac:dyDescent="0.35">
      <c r="A2190">
        <v>2189</v>
      </c>
      <c r="B2190" t="s">
        <v>2</v>
      </c>
      <c r="C2190" t="s">
        <v>96</v>
      </c>
      <c r="D2190" t="s">
        <v>140</v>
      </c>
      <c r="E2190" s="2">
        <v>44229.538472222222</v>
      </c>
      <c r="F2190" s="2">
        <v>44229.549259259256</v>
      </c>
      <c r="G2190" s="3">
        <v>1.0787037033878732E-2</v>
      </c>
      <c r="H2190" s="3">
        <v>937.67707179057129</v>
      </c>
      <c r="I2190" s="3">
        <v>15.627951196509521</v>
      </c>
      <c r="J2190" s="3">
        <v>0.2604658532751587</v>
      </c>
    </row>
    <row r="2191" spans="1:11" x14ac:dyDescent="0.35">
      <c r="A2191">
        <v>2190</v>
      </c>
      <c r="B2191" t="s">
        <v>2</v>
      </c>
      <c r="C2191" t="s">
        <v>96</v>
      </c>
      <c r="D2191" t="s">
        <v>140</v>
      </c>
      <c r="E2191" s="2">
        <v>44229.549456018518</v>
      </c>
      <c r="F2191" s="2">
        <v>44229.556793981479</v>
      </c>
      <c r="G2191" s="3">
        <v>7.3379629611736163E-3</v>
      </c>
      <c r="H2191" s="3">
        <v>637.86187075570376</v>
      </c>
      <c r="I2191" s="3">
        <v>10.631031179261729</v>
      </c>
      <c r="J2191" s="3">
        <v>0.17718385298769548</v>
      </c>
    </row>
    <row r="2192" spans="1:11" x14ac:dyDescent="0.35">
      <c r="A2192">
        <v>2191</v>
      </c>
      <c r="B2192" t="s">
        <v>2</v>
      </c>
      <c r="C2192" t="s">
        <v>96</v>
      </c>
      <c r="D2192" t="s">
        <v>140</v>
      </c>
      <c r="E2192" s="2">
        <v>44229.557071759256</v>
      </c>
      <c r="F2192" s="2">
        <v>44229.596608796295</v>
      </c>
      <c r="G2192" s="3">
        <v>3.9537037038826384E-2</v>
      </c>
      <c r="H2192" s="3">
        <v>3436.8078093555619</v>
      </c>
      <c r="I2192" s="3">
        <v>57.280130155926031</v>
      </c>
      <c r="J2192" s="3">
        <v>0.9546688359321005</v>
      </c>
    </row>
    <row r="2193" spans="1:11" x14ac:dyDescent="0.35">
      <c r="A2193">
        <v>2192</v>
      </c>
      <c r="B2193" t="s">
        <v>2</v>
      </c>
      <c r="C2193" t="s">
        <v>96</v>
      </c>
      <c r="D2193" t="s">
        <v>140</v>
      </c>
      <c r="E2193" s="2">
        <v>44229.597025462965</v>
      </c>
      <c r="F2193" s="2">
        <v>44229.601944444446</v>
      </c>
      <c r="G2193" s="3">
        <v>4.9189814817509614E-3</v>
      </c>
      <c r="H2193" s="3">
        <v>427.58879361534781</v>
      </c>
      <c r="I2193" s="3">
        <v>7.1264798935891305</v>
      </c>
      <c r="J2193" s="3">
        <v>0.11877466489315218</v>
      </c>
    </row>
    <row r="2194" spans="1:11" x14ac:dyDescent="0.35">
      <c r="A2194">
        <v>2193</v>
      </c>
      <c r="B2194" t="s">
        <v>16</v>
      </c>
      <c r="C2194" t="s">
        <v>16</v>
      </c>
      <c r="D2194" t="s">
        <v>140</v>
      </c>
      <c r="E2194" s="2">
        <v>44229.602048611108</v>
      </c>
      <c r="F2194" s="2">
        <v>44229.61519675926</v>
      </c>
      <c r="G2194" s="3">
        <v>1.3148148151230998E-2</v>
      </c>
      <c r="H2194" s="3">
        <v>1142.9196932572147</v>
      </c>
      <c r="I2194" s="3">
        <v>19.048661554286912</v>
      </c>
      <c r="J2194" s="3">
        <v>0.31747769257144853</v>
      </c>
    </row>
    <row r="2195" spans="1:11" x14ac:dyDescent="0.35">
      <c r="A2195">
        <v>2194</v>
      </c>
      <c r="B2195" t="s">
        <v>16</v>
      </c>
      <c r="C2195" t="s">
        <v>16</v>
      </c>
      <c r="D2195" t="s">
        <v>140</v>
      </c>
      <c r="E2195" s="2">
        <v>44229.615358796298</v>
      </c>
      <c r="F2195" s="2">
        <v>44229.617002314815</v>
      </c>
      <c r="G2195" s="3">
        <v>1.6435185170848854E-3</v>
      </c>
      <c r="H2195" s="3">
        <v>142.86496149903385</v>
      </c>
      <c r="I2195" s="3">
        <v>2.3810826916505641</v>
      </c>
      <c r="J2195" s="3">
        <v>3.9684711527509402E-2</v>
      </c>
    </row>
    <row r="2196" spans="1:11" x14ac:dyDescent="0.35">
      <c r="A2196">
        <v>2195</v>
      </c>
      <c r="B2196" t="s">
        <v>2</v>
      </c>
      <c r="C2196" t="s">
        <v>136</v>
      </c>
      <c r="D2196" t="s">
        <v>140</v>
      </c>
      <c r="E2196" s="2">
        <v>44229.617488425924</v>
      </c>
      <c r="F2196" s="2">
        <v>44229.624131944445</v>
      </c>
      <c r="G2196" s="3">
        <v>6.6435185217414983E-3</v>
      </c>
      <c r="H2196" s="3">
        <v>577.49639444901754</v>
      </c>
      <c r="I2196" s="3">
        <v>9.6249399074836255</v>
      </c>
      <c r="J2196" s="3">
        <v>0.1604156651247271</v>
      </c>
      <c r="K2196" t="s">
        <v>90</v>
      </c>
    </row>
    <row r="2197" spans="1:11" x14ac:dyDescent="0.35">
      <c r="A2197">
        <v>2196</v>
      </c>
      <c r="B2197" t="s">
        <v>2</v>
      </c>
      <c r="C2197" t="s">
        <v>72</v>
      </c>
      <c r="D2197" t="s">
        <v>140</v>
      </c>
      <c r="E2197" s="2">
        <v>44229.624236111114</v>
      </c>
      <c r="F2197" s="2">
        <v>44229.64471064815</v>
      </c>
      <c r="G2197" s="3">
        <v>2.0474537035624962E-2</v>
      </c>
      <c r="H2197" s="3">
        <v>1779.7754724986928</v>
      </c>
      <c r="I2197" s="3">
        <v>29.66292454164488</v>
      </c>
      <c r="J2197" s="3">
        <v>0.49438207569408132</v>
      </c>
      <c r="K2197" t="s">
        <v>73</v>
      </c>
    </row>
    <row r="2198" spans="1:11" x14ac:dyDescent="0.35">
      <c r="A2198">
        <v>2197</v>
      </c>
      <c r="B2198" t="s">
        <v>2</v>
      </c>
      <c r="C2198" t="s">
        <v>96</v>
      </c>
      <c r="D2198" t="s">
        <v>140</v>
      </c>
      <c r="E2198" s="2">
        <v>44229.645011574074</v>
      </c>
      <c r="F2198" s="2">
        <v>44229.726851851854</v>
      </c>
      <c r="G2198" s="3">
        <v>8.184027778042946E-2</v>
      </c>
      <c r="H2198" s="3">
        <v>7114.0714343210584</v>
      </c>
      <c r="I2198" s="3">
        <v>118.56785723868431</v>
      </c>
      <c r="J2198" s="3">
        <v>1.9761309539780718</v>
      </c>
    </row>
    <row r="2199" spans="1:11" x14ac:dyDescent="0.35">
      <c r="A2199">
        <v>2198</v>
      </c>
      <c r="B2199" t="s">
        <v>11</v>
      </c>
      <c r="C2199" t="s">
        <v>11</v>
      </c>
      <c r="D2199" t="s">
        <v>140</v>
      </c>
      <c r="E2199" s="2">
        <v>44230.32644675926</v>
      </c>
      <c r="F2199" s="2">
        <v>44230.330520833333</v>
      </c>
      <c r="G2199" s="3">
        <v>4.0740740732871927E-3</v>
      </c>
      <c r="H2199" s="3">
        <v>354.14413015361549</v>
      </c>
      <c r="I2199" s="3">
        <v>5.9024021692269253</v>
      </c>
      <c r="J2199" s="3">
        <v>9.837336948711542E-2</v>
      </c>
    </row>
    <row r="2200" spans="1:11" x14ac:dyDescent="0.35">
      <c r="A2200">
        <v>2199</v>
      </c>
      <c r="B2200" t="s">
        <v>2</v>
      </c>
      <c r="C2200" t="s">
        <v>72</v>
      </c>
      <c r="D2200" t="s">
        <v>140</v>
      </c>
      <c r="E2200" s="2">
        <v>44230.330682870372</v>
      </c>
      <c r="F2200" s="2">
        <v>44230.354201388887</v>
      </c>
      <c r="G2200" s="3">
        <v>2.3518518515629694E-2</v>
      </c>
      <c r="H2200" s="3">
        <v>2044.3774787577966</v>
      </c>
      <c r="I2200" s="3">
        <v>34.072957979296611</v>
      </c>
      <c r="J2200" s="3">
        <v>0.56788263298827679</v>
      </c>
      <c r="K2200" t="s">
        <v>73</v>
      </c>
    </row>
    <row r="2201" spans="1:11" x14ac:dyDescent="0.35">
      <c r="A2201">
        <v>2200</v>
      </c>
      <c r="B2201" t="s">
        <v>2</v>
      </c>
      <c r="C2201" t="s">
        <v>136</v>
      </c>
      <c r="D2201" t="s">
        <v>140</v>
      </c>
      <c r="E2201" s="2">
        <v>44230.354386574072</v>
      </c>
      <c r="F2201" s="2">
        <v>44230.355833333335</v>
      </c>
      <c r="G2201" s="3">
        <v>1.4467592627624981E-3</v>
      </c>
      <c r="H2201" s="3">
        <v>125.76141018450087</v>
      </c>
      <c r="I2201" s="3">
        <v>2.0960235030750147</v>
      </c>
      <c r="J2201" s="3">
        <v>3.4933725051250246E-2</v>
      </c>
      <c r="K2201" t="s">
        <v>90</v>
      </c>
    </row>
    <row r="2202" spans="1:11" x14ac:dyDescent="0.35">
      <c r="A2202">
        <v>2201</v>
      </c>
      <c r="B2202" t="s">
        <v>2</v>
      </c>
      <c r="C2202" t="s">
        <v>136</v>
      </c>
      <c r="D2202" t="s">
        <v>140</v>
      </c>
      <c r="E2202" s="2">
        <v>44230.35633101852</v>
      </c>
      <c r="F2202" s="2">
        <v>44230.374872685185</v>
      </c>
      <c r="G2202" s="3">
        <v>1.8541666664532386E-2</v>
      </c>
      <c r="H2202" s="3">
        <v>1611.7582288362644</v>
      </c>
      <c r="I2202" s="3">
        <v>26.862637147271073</v>
      </c>
      <c r="J2202" s="3">
        <v>0.44771061912118454</v>
      </c>
      <c r="K2202" t="s">
        <v>90</v>
      </c>
    </row>
    <row r="2203" spans="1:11" x14ac:dyDescent="0.35">
      <c r="A2203">
        <v>2202</v>
      </c>
      <c r="B2203" t="s">
        <v>2</v>
      </c>
      <c r="C2203" t="s">
        <v>72</v>
      </c>
      <c r="D2203" t="s">
        <v>140</v>
      </c>
      <c r="E2203" s="2">
        <v>44230.375011574077</v>
      </c>
      <c r="F2203" s="2">
        <v>44230.413240740738</v>
      </c>
      <c r="G2203" s="3">
        <v>3.8229166661039926E-2</v>
      </c>
      <c r="H2203" s="3">
        <v>3323.1194941794092</v>
      </c>
      <c r="I2203" s="3">
        <v>55.385324902990156</v>
      </c>
      <c r="J2203" s="3">
        <v>0.92308874838316923</v>
      </c>
      <c r="K2203" t="s">
        <v>73</v>
      </c>
    </row>
    <row r="2204" spans="1:11" x14ac:dyDescent="0.35">
      <c r="A2204">
        <v>2203</v>
      </c>
      <c r="B2204" t="s">
        <v>16</v>
      </c>
      <c r="C2204" t="s">
        <v>16</v>
      </c>
      <c r="D2204" t="s">
        <v>140</v>
      </c>
      <c r="E2204" s="2">
        <v>44230.413321759261</v>
      </c>
      <c r="F2204" s="2">
        <v>44230.422743055555</v>
      </c>
      <c r="G2204" s="3">
        <v>9.4212962940218858E-3</v>
      </c>
      <c r="H2204" s="3">
        <v>818.95830094070629</v>
      </c>
      <c r="I2204" s="3">
        <v>13.649305015678438</v>
      </c>
      <c r="J2204" s="3">
        <v>0.22748841692797397</v>
      </c>
    </row>
    <row r="2205" spans="1:11" x14ac:dyDescent="0.35">
      <c r="A2205">
        <v>2204</v>
      </c>
      <c r="B2205" t="s">
        <v>2</v>
      </c>
      <c r="C2205" t="s">
        <v>96</v>
      </c>
      <c r="D2205" t="s">
        <v>140</v>
      </c>
      <c r="E2205" s="2">
        <v>44230.422847222224</v>
      </c>
      <c r="F2205" s="2">
        <v>44230.46665509259</v>
      </c>
      <c r="G2205" s="3">
        <v>4.3807870366435964E-2</v>
      </c>
      <c r="H2205" s="3">
        <v>3808.05549082371</v>
      </c>
      <c r="I2205" s="3">
        <v>63.4675915137285</v>
      </c>
      <c r="J2205" s="3">
        <v>1.057793191895475</v>
      </c>
    </row>
    <row r="2206" spans="1:11" x14ac:dyDescent="0.35">
      <c r="A2206">
        <v>2205</v>
      </c>
      <c r="B2206" t="s">
        <v>16</v>
      </c>
      <c r="C2206" t="s">
        <v>16</v>
      </c>
      <c r="D2206" t="s">
        <v>140</v>
      </c>
      <c r="E2206" s="2">
        <v>44230.466851851852</v>
      </c>
      <c r="F2206" s="2">
        <v>44230.480821759258</v>
      </c>
      <c r="G2206" s="3">
        <v>1.3969907406135462E-2</v>
      </c>
      <c r="H2206" s="3">
        <v>1214.3521736904956</v>
      </c>
      <c r="I2206" s="3">
        <v>20.239202894841593</v>
      </c>
      <c r="J2206" s="3">
        <v>0.33732004824735989</v>
      </c>
    </row>
    <row r="2207" spans="1:11" x14ac:dyDescent="0.35">
      <c r="A2207">
        <v>2206</v>
      </c>
      <c r="B2207" t="s">
        <v>2</v>
      </c>
      <c r="C2207" t="s">
        <v>96</v>
      </c>
      <c r="D2207" t="s">
        <v>140</v>
      </c>
      <c r="E2207" s="2">
        <v>44230.481168981481</v>
      </c>
      <c r="F2207" s="2">
        <v>44230.516435185185</v>
      </c>
      <c r="G2207" s="3">
        <v>3.5266203703940846E-2</v>
      </c>
      <c r="H2207" s="3">
        <v>3065.5601272549411</v>
      </c>
      <c r="I2207" s="3">
        <v>51.092668787582355</v>
      </c>
      <c r="J2207" s="3">
        <v>0.85154447979303927</v>
      </c>
    </row>
    <row r="2208" spans="1:11" x14ac:dyDescent="0.35">
      <c r="A2208">
        <v>2207</v>
      </c>
      <c r="B2208" t="s">
        <v>2</v>
      </c>
      <c r="C2208" t="s">
        <v>96</v>
      </c>
      <c r="D2208" t="s">
        <v>140</v>
      </c>
      <c r="E2208" s="2">
        <v>44230.516574074078</v>
      </c>
      <c r="F2208" s="2">
        <v>44230.523379629631</v>
      </c>
      <c r="G2208" s="3">
        <v>6.805555553000886E-3</v>
      </c>
      <c r="H2208" s="3">
        <v>591.58167185334537</v>
      </c>
      <c r="I2208" s="3">
        <v>9.8596945308890902</v>
      </c>
      <c r="J2208" s="3">
        <v>0.16432824218148484</v>
      </c>
    </row>
    <row r="2209" spans="1:11" x14ac:dyDescent="0.35">
      <c r="A2209">
        <v>2208</v>
      </c>
      <c r="B2209" t="s">
        <v>2</v>
      </c>
      <c r="C2209" t="s">
        <v>96</v>
      </c>
      <c r="D2209" t="s">
        <v>140</v>
      </c>
      <c r="E2209" s="2">
        <v>44230.523553240739</v>
      </c>
      <c r="F2209" s="2">
        <v>44230.525891203702</v>
      </c>
      <c r="G2209" s="3">
        <v>2.3379629637929611E-3</v>
      </c>
      <c r="H2209" s="3">
        <v>203.23043843819201</v>
      </c>
      <c r="I2209" s="3">
        <v>3.3871739739698667</v>
      </c>
      <c r="J2209" s="3">
        <v>5.6452899566164443E-2</v>
      </c>
    </row>
    <row r="2210" spans="1:11" x14ac:dyDescent="0.35">
      <c r="A2210">
        <v>2209</v>
      </c>
      <c r="B2210" t="s">
        <v>16</v>
      </c>
      <c r="C2210" t="s">
        <v>16</v>
      </c>
      <c r="D2210" t="s">
        <v>140</v>
      </c>
      <c r="E2210" s="2">
        <v>44230.525983796295</v>
      </c>
      <c r="F2210" s="2">
        <v>44230.541215277779</v>
      </c>
      <c r="G2210" s="3">
        <v>1.5231481484079268E-2</v>
      </c>
      <c r="H2210" s="3">
        <v>1324.0161234422171</v>
      </c>
      <c r="I2210" s="3">
        <v>22.06693539070362</v>
      </c>
      <c r="J2210" s="3">
        <v>0.36778225651172697</v>
      </c>
    </row>
    <row r="2211" spans="1:11" x14ac:dyDescent="0.35">
      <c r="A2211">
        <v>2210</v>
      </c>
      <c r="B2211" t="s">
        <v>2</v>
      </c>
      <c r="C2211" t="s">
        <v>96</v>
      </c>
      <c r="D2211" t="s">
        <v>140</v>
      </c>
      <c r="E2211" s="2">
        <v>44230.541354166664</v>
      </c>
      <c r="F2211" s="2">
        <v>44230.579907407409</v>
      </c>
      <c r="G2211" s="3">
        <v>3.8553240745386574E-2</v>
      </c>
      <c r="H2211" s="3">
        <v>3351.2900508854809</v>
      </c>
      <c r="I2211" s="3">
        <v>55.854834181424685</v>
      </c>
      <c r="J2211" s="3">
        <v>0.93091390302374477</v>
      </c>
    </row>
    <row r="2212" spans="1:11" x14ac:dyDescent="0.35">
      <c r="A2212">
        <v>2211</v>
      </c>
      <c r="B2212" t="s">
        <v>2</v>
      </c>
      <c r="C2212" t="s">
        <v>96</v>
      </c>
      <c r="D2212" t="s">
        <v>140</v>
      </c>
      <c r="E2212" s="2">
        <v>44230.580011574071</v>
      </c>
      <c r="F2212" s="2">
        <v>44230.58084490741</v>
      </c>
      <c r="G2212" s="3">
        <v>8.3333333896007389E-4</v>
      </c>
      <c r="H2212" s="3">
        <v>72.438572579978597</v>
      </c>
      <c r="I2212" s="3">
        <v>1.2073095429996432</v>
      </c>
      <c r="J2212" s="3">
        <v>2.012182571666072E-2</v>
      </c>
    </row>
    <row r="2213" spans="1:11" x14ac:dyDescent="0.35">
      <c r="A2213">
        <v>2212</v>
      </c>
      <c r="B2213" t="s">
        <v>2</v>
      </c>
      <c r="C2213" t="s">
        <v>136</v>
      </c>
      <c r="D2213" t="s">
        <v>140</v>
      </c>
      <c r="E2213" s="2">
        <v>44230.581087962964</v>
      </c>
      <c r="F2213" s="2">
        <v>44230.586875000001</v>
      </c>
      <c r="G2213" s="3">
        <v>5.7870370364980772E-3</v>
      </c>
      <c r="H2213" s="3">
        <v>503.04563947305951</v>
      </c>
      <c r="I2213" s="3">
        <v>8.3840939912176591</v>
      </c>
      <c r="J2213" s="3">
        <v>0.13973489985362766</v>
      </c>
      <c r="K2213" t="s">
        <v>90</v>
      </c>
    </row>
    <row r="2214" spans="1:11" x14ac:dyDescent="0.35">
      <c r="A2214">
        <v>2213</v>
      </c>
      <c r="B2214" t="s">
        <v>2</v>
      </c>
      <c r="C2214" t="s">
        <v>136</v>
      </c>
      <c r="D2214" t="s">
        <v>140</v>
      </c>
      <c r="E2214" s="2">
        <v>44230.587002314816</v>
      </c>
      <c r="F2214" s="2">
        <v>44230.596944444442</v>
      </c>
      <c r="G2214" s="3">
        <v>9.9421296254149638E-3</v>
      </c>
      <c r="H2214" s="3">
        <v>864.23240832883891</v>
      </c>
      <c r="I2214" s="3">
        <v>14.403873472147316</v>
      </c>
      <c r="J2214" s="3">
        <v>0.24006455786912193</v>
      </c>
      <c r="K2214" t="s">
        <v>90</v>
      </c>
    </row>
    <row r="2215" spans="1:11" x14ac:dyDescent="0.35">
      <c r="A2215">
        <v>2214</v>
      </c>
      <c r="B2215" t="s">
        <v>2</v>
      </c>
      <c r="C2215" t="s">
        <v>136</v>
      </c>
      <c r="D2215" t="s">
        <v>140</v>
      </c>
      <c r="E2215" s="2">
        <v>44230.597118055557</v>
      </c>
      <c r="F2215" s="2">
        <v>44230.649189814816</v>
      </c>
      <c r="G2215" s="3">
        <v>5.2071759258979E-2</v>
      </c>
      <c r="H2215" s="3">
        <v>4526.404664375782</v>
      </c>
      <c r="I2215" s="3">
        <v>75.440077739596362</v>
      </c>
      <c r="J2215" s="3">
        <v>1.2573346289932728</v>
      </c>
      <c r="K2215" t="s">
        <v>90</v>
      </c>
    </row>
    <row r="2216" spans="1:11" x14ac:dyDescent="0.35">
      <c r="A2216">
        <v>2215</v>
      </c>
      <c r="B2216" t="s">
        <v>2</v>
      </c>
      <c r="C2216" t="s">
        <v>72</v>
      </c>
      <c r="D2216" t="s">
        <v>140</v>
      </c>
      <c r="E2216" s="2">
        <v>44230.649375000001</v>
      </c>
      <c r="F2216" s="2">
        <v>44230.652662037035</v>
      </c>
      <c r="G2216" s="3">
        <v>3.2870370341697708E-3</v>
      </c>
      <c r="H2216" s="3">
        <v>285.72992299806771</v>
      </c>
      <c r="I2216" s="3">
        <v>4.7621653833011282</v>
      </c>
      <c r="J2216" s="3">
        <v>7.9369423055018803E-2</v>
      </c>
      <c r="K2216" t="s">
        <v>73</v>
      </c>
    </row>
    <row r="2217" spans="1:11" x14ac:dyDescent="0.35">
      <c r="A2217">
        <v>2216</v>
      </c>
      <c r="B2217" t="s">
        <v>2</v>
      </c>
      <c r="C2217" t="s">
        <v>136</v>
      </c>
      <c r="D2217" t="s">
        <v>140</v>
      </c>
      <c r="E2217" s="2">
        <v>44230.652812499997</v>
      </c>
      <c r="F2217" s="2">
        <v>44230.719756944447</v>
      </c>
      <c r="G2217" s="3">
        <v>6.6944444450200535E-2</v>
      </c>
      <c r="H2217" s="3">
        <v>5819.2319584666666</v>
      </c>
      <c r="I2217" s="3">
        <v>96.987199307777772</v>
      </c>
      <c r="J2217" s="3">
        <v>1.6164533217962962</v>
      </c>
      <c r="K2217" t="s">
        <v>90</v>
      </c>
    </row>
    <row r="2218" spans="1:11" x14ac:dyDescent="0.35">
      <c r="A2218">
        <v>2217</v>
      </c>
      <c r="B2218" t="s">
        <v>2</v>
      </c>
      <c r="C2218" t="s">
        <v>136</v>
      </c>
      <c r="D2218" t="s">
        <v>140</v>
      </c>
      <c r="E2218" s="2">
        <v>44230.815787037034</v>
      </c>
      <c r="F2218" s="2">
        <v>44230.903738425928</v>
      </c>
      <c r="G2218" s="3">
        <v>8.7951388893998228E-2</v>
      </c>
      <c r="H2218" s="3">
        <v>7645.2876298677174</v>
      </c>
      <c r="I2218" s="3">
        <v>127.42146049779529</v>
      </c>
      <c r="J2218" s="3">
        <v>2.1236910082965883</v>
      </c>
      <c r="K2218" t="s">
        <v>90</v>
      </c>
    </row>
    <row r="2219" spans="1:11" x14ac:dyDescent="0.35">
      <c r="A2219">
        <v>2218</v>
      </c>
      <c r="B2219" t="s">
        <v>2</v>
      </c>
      <c r="C2219" t="s">
        <v>96</v>
      </c>
      <c r="D2219" t="s">
        <v>140</v>
      </c>
      <c r="E2219" s="2">
        <v>44230.903912037036</v>
      </c>
      <c r="F2219" s="2">
        <v>44230.905648148146</v>
      </c>
      <c r="G2219" s="3">
        <v>1.7361111094942316E-3</v>
      </c>
      <c r="H2219" s="3">
        <v>150.91369171542345</v>
      </c>
      <c r="I2219" s="3">
        <v>2.5152281952570577</v>
      </c>
      <c r="J2219" s="3">
        <v>4.1920469920950963E-2</v>
      </c>
    </row>
    <row r="2220" spans="1:11" x14ac:dyDescent="0.35">
      <c r="A2220">
        <v>2219</v>
      </c>
      <c r="B2220" t="s">
        <v>11</v>
      </c>
      <c r="C2220" t="s">
        <v>11</v>
      </c>
      <c r="D2220" t="s">
        <v>140</v>
      </c>
      <c r="E2220" s="2">
        <v>44231.331574074073</v>
      </c>
      <c r="F2220" s="2">
        <v>44231.333055555559</v>
      </c>
      <c r="G2220" s="3">
        <v>1.4814814858254977E-3</v>
      </c>
      <c r="H2220" s="3">
        <v>128.77968409470597</v>
      </c>
      <c r="I2220" s="3">
        <v>2.1463280682450994</v>
      </c>
      <c r="J2220" s="3">
        <v>3.5772134470751657E-2</v>
      </c>
    </row>
    <row r="2221" spans="1:11" x14ac:dyDescent="0.35">
      <c r="A2221">
        <v>2220</v>
      </c>
      <c r="B2221" t="s">
        <v>2</v>
      </c>
      <c r="C2221" t="s">
        <v>96</v>
      </c>
      <c r="D2221" t="s">
        <v>140</v>
      </c>
      <c r="E2221" s="2">
        <v>44231.33326388889</v>
      </c>
      <c r="F2221" s="2">
        <v>44231.373703703706</v>
      </c>
      <c r="G2221" s="3">
        <v>4.0439814816636499E-2</v>
      </c>
      <c r="H2221" s="3">
        <v>3515.2829291234784</v>
      </c>
      <c r="I2221" s="3">
        <v>58.588048818724637</v>
      </c>
      <c r="J2221" s="3">
        <v>0.97646748031207731</v>
      </c>
    </row>
    <row r="2222" spans="1:11" x14ac:dyDescent="0.35">
      <c r="A2222">
        <v>2221</v>
      </c>
      <c r="B2222" t="s">
        <v>2</v>
      </c>
      <c r="C2222" t="s">
        <v>136</v>
      </c>
      <c r="D2222" t="s">
        <v>140</v>
      </c>
      <c r="E2222" s="2">
        <v>44231.373865740738</v>
      </c>
      <c r="F2222" s="2">
        <v>44231.40079861111</v>
      </c>
      <c r="G2222" s="3">
        <v>2.6932870372547768E-2</v>
      </c>
      <c r="H2222" s="3">
        <v>2341.174406514931</v>
      </c>
      <c r="I2222" s="3">
        <v>39.019573441915519</v>
      </c>
      <c r="J2222" s="3">
        <v>0.6503262240319253</v>
      </c>
      <c r="K2222" t="s">
        <v>90</v>
      </c>
    </row>
    <row r="2223" spans="1:11" x14ac:dyDescent="0.35">
      <c r="A2223">
        <v>2222</v>
      </c>
      <c r="B2223" t="s">
        <v>16</v>
      </c>
      <c r="C2223" t="s">
        <v>16</v>
      </c>
      <c r="D2223" t="s">
        <v>140</v>
      </c>
      <c r="E2223" s="2">
        <v>44231.401030092595</v>
      </c>
      <c r="F2223" s="2">
        <v>44231.410949074074</v>
      </c>
      <c r="G2223" s="3">
        <v>9.9189814791316167E-3</v>
      </c>
      <c r="H2223" s="3">
        <v>862.22022593285953</v>
      </c>
      <c r="I2223" s="3">
        <v>14.370337098880992</v>
      </c>
      <c r="J2223" s="3">
        <v>0.2395056183146832</v>
      </c>
    </row>
    <row r="2224" spans="1:11" x14ac:dyDescent="0.35">
      <c r="A2224">
        <v>2223</v>
      </c>
      <c r="B2224" t="s">
        <v>16</v>
      </c>
      <c r="C2224" t="s">
        <v>16</v>
      </c>
      <c r="D2224" t="s">
        <v>140</v>
      </c>
      <c r="E2224" s="2">
        <v>44231.411111111112</v>
      </c>
      <c r="F2224" s="2">
        <v>44231.411898148152</v>
      </c>
      <c r="G2224" s="3">
        <v>7.8703703911742195E-4</v>
      </c>
      <c r="H2224" s="3">
        <v>68.4142071555478</v>
      </c>
      <c r="I2224" s="3">
        <v>1.1402367859257967</v>
      </c>
      <c r="J2224" s="3">
        <v>1.9003946432096613E-2</v>
      </c>
    </row>
    <row r="2225" spans="1:11" x14ac:dyDescent="0.35">
      <c r="A2225">
        <v>2224</v>
      </c>
      <c r="B2225" t="s">
        <v>2</v>
      </c>
      <c r="C2225" t="s">
        <v>96</v>
      </c>
      <c r="D2225" t="s">
        <v>140</v>
      </c>
      <c r="E2225" s="2">
        <v>44231.41207175926</v>
      </c>
      <c r="F2225" s="2">
        <v>44231.462523148148</v>
      </c>
      <c r="G2225" s="3">
        <v>5.0451388888177462E-2</v>
      </c>
      <c r="H2225" s="3">
        <v>4385.5518852727273</v>
      </c>
      <c r="I2225" s="3">
        <v>73.092531421212115</v>
      </c>
      <c r="J2225" s="3">
        <v>1.2182088570202019</v>
      </c>
    </row>
    <row r="2226" spans="1:11" x14ac:dyDescent="0.35">
      <c r="A2226">
        <v>2225</v>
      </c>
      <c r="B2226" t="s">
        <v>2</v>
      </c>
      <c r="C2226" t="s">
        <v>96</v>
      </c>
      <c r="D2226" t="s">
        <v>140</v>
      </c>
      <c r="E2226" s="2">
        <v>44231.462858796294</v>
      </c>
      <c r="F2226" s="2">
        <v>44231.493449074071</v>
      </c>
      <c r="G2226" s="3">
        <v>3.0590277776354924E-2</v>
      </c>
      <c r="H2226" s="3">
        <v>2659.0992503785574</v>
      </c>
      <c r="I2226" s="3">
        <v>44.318320839642624</v>
      </c>
      <c r="J2226" s="3">
        <v>0.73863868066071037</v>
      </c>
    </row>
    <row r="2227" spans="1:11" x14ac:dyDescent="0.35">
      <c r="A2227">
        <v>2226</v>
      </c>
      <c r="B2227" t="s">
        <v>16</v>
      </c>
      <c r="C2227" t="s">
        <v>16</v>
      </c>
      <c r="D2227" t="s">
        <v>140</v>
      </c>
      <c r="E2227" s="2">
        <v>44231.493587962963</v>
      </c>
      <c r="F2227" s="2">
        <v>44231.519178240742</v>
      </c>
      <c r="G2227" s="3">
        <v>2.5590277778974269E-2</v>
      </c>
      <c r="H2227" s="3">
        <v>2224.4678180610454</v>
      </c>
      <c r="I2227" s="3">
        <v>37.074463634350757</v>
      </c>
      <c r="J2227" s="3">
        <v>0.61790772723917931</v>
      </c>
    </row>
    <row r="2228" spans="1:11" x14ac:dyDescent="0.35">
      <c r="A2228">
        <v>2227</v>
      </c>
      <c r="B2228" t="s">
        <v>11</v>
      </c>
      <c r="C2228" t="s">
        <v>11</v>
      </c>
      <c r="D2228" t="s">
        <v>140</v>
      </c>
      <c r="E2228" s="2">
        <v>44231.519305555557</v>
      </c>
      <c r="F2228" s="2">
        <v>44231.526122685187</v>
      </c>
      <c r="G2228" s="3">
        <v>6.8171296297805384E-3</v>
      </c>
      <c r="H2228" s="3">
        <v>592.58776336757114</v>
      </c>
      <c r="I2228" s="3">
        <v>9.8764627227928532</v>
      </c>
      <c r="J2228" s="3">
        <v>0.16460771204654756</v>
      </c>
    </row>
    <row r="2229" spans="1:11" x14ac:dyDescent="0.35">
      <c r="A2229">
        <v>2228</v>
      </c>
      <c r="B2229" t="s">
        <v>2</v>
      </c>
      <c r="C2229" t="s">
        <v>136</v>
      </c>
      <c r="D2229" t="s">
        <v>140</v>
      </c>
      <c r="E2229" s="2">
        <v>44231.526296296295</v>
      </c>
      <c r="F2229" s="2">
        <v>44231.527824074074</v>
      </c>
      <c r="G2229" s="3">
        <v>1.527777778392192E-3</v>
      </c>
      <c r="H2229" s="3">
        <v>132.80404888666482</v>
      </c>
      <c r="I2229" s="3">
        <v>2.2134008147777471</v>
      </c>
      <c r="J2229" s="3">
        <v>3.6890013579629115E-2</v>
      </c>
      <c r="K2229" t="s">
        <v>90</v>
      </c>
    </row>
    <row r="2230" spans="1:11" x14ac:dyDescent="0.35">
      <c r="A2230">
        <v>2229</v>
      </c>
      <c r="B2230" t="s">
        <v>2</v>
      </c>
      <c r="C2230" t="s">
        <v>136</v>
      </c>
      <c r="D2230" t="s">
        <v>140</v>
      </c>
      <c r="E2230" s="2">
        <v>44231.528182870374</v>
      </c>
      <c r="F2230" s="2">
        <v>44231.563437500001</v>
      </c>
      <c r="G2230" s="3">
        <v>3.5254629627161194E-2</v>
      </c>
      <c r="H2230" s="3">
        <v>3064.5540357407153</v>
      </c>
      <c r="I2230" s="3">
        <v>51.07590059567859</v>
      </c>
      <c r="J2230" s="3">
        <v>0.85126500992797649</v>
      </c>
      <c r="K2230" t="s">
        <v>90</v>
      </c>
    </row>
    <row r="2231" spans="1:11" x14ac:dyDescent="0.35">
      <c r="A2231">
        <v>2230</v>
      </c>
      <c r="B2231" t="s">
        <v>11</v>
      </c>
      <c r="C2231" t="s">
        <v>11</v>
      </c>
      <c r="D2231" t="s">
        <v>140</v>
      </c>
      <c r="E2231" s="2">
        <v>44231.563888888886</v>
      </c>
      <c r="F2231" s="2">
        <v>44231.573506944442</v>
      </c>
      <c r="G2231" s="3">
        <v>9.6180555556202307E-3</v>
      </c>
      <c r="H2231" s="3">
        <v>836.06185288771121</v>
      </c>
      <c r="I2231" s="3">
        <v>13.934364214795186</v>
      </c>
      <c r="J2231" s="3">
        <v>0.23223940357991976</v>
      </c>
    </row>
    <row r="2232" spans="1:11" x14ac:dyDescent="0.35">
      <c r="A2232">
        <v>2231</v>
      </c>
      <c r="B2232" t="s">
        <v>11</v>
      </c>
      <c r="C2232" t="s">
        <v>11</v>
      </c>
      <c r="D2232" t="s">
        <v>140</v>
      </c>
      <c r="E2232" s="2">
        <v>44231.573634259257</v>
      </c>
      <c r="F2232" s="2">
        <v>44231.578229166669</v>
      </c>
      <c r="G2232" s="3">
        <v>4.5949074119562283E-3</v>
      </c>
      <c r="H2232" s="3">
        <v>399.41823817422011</v>
      </c>
      <c r="I2232" s="3">
        <v>6.656970636237002</v>
      </c>
      <c r="J2232" s="3">
        <v>0.11094951060395003</v>
      </c>
    </row>
    <row r="2233" spans="1:11" x14ac:dyDescent="0.35">
      <c r="A2233">
        <v>2232</v>
      </c>
      <c r="B2233" t="s">
        <v>16</v>
      </c>
      <c r="C2233" t="s">
        <v>16</v>
      </c>
      <c r="D2233" t="s">
        <v>140</v>
      </c>
      <c r="E2233" s="2">
        <v>44231.578379629631</v>
      </c>
      <c r="F2233" s="2">
        <v>44231.581655092596</v>
      </c>
      <c r="G2233" s="3">
        <v>3.275462964666076E-3</v>
      </c>
      <c r="H2233" s="3">
        <v>284.72383211631399</v>
      </c>
      <c r="I2233" s="3">
        <v>4.7453972019385668</v>
      </c>
      <c r="J2233" s="3">
        <v>7.9089953365642784E-2</v>
      </c>
    </row>
    <row r="2234" spans="1:11" x14ac:dyDescent="0.35">
      <c r="A2234">
        <v>2233</v>
      </c>
      <c r="B2234" t="s">
        <v>2</v>
      </c>
      <c r="C2234" t="s">
        <v>72</v>
      </c>
      <c r="D2234" t="s">
        <v>140</v>
      </c>
      <c r="E2234" s="2">
        <v>44231.581759259258</v>
      </c>
      <c r="F2234" s="2">
        <v>44231.617037037038</v>
      </c>
      <c r="G2234" s="3">
        <v>3.5277777780720498E-2</v>
      </c>
      <c r="H2234" s="3">
        <v>3066.5662187691669</v>
      </c>
      <c r="I2234" s="3">
        <v>51.109436979486112</v>
      </c>
      <c r="J2234" s="3">
        <v>0.85182394965810182</v>
      </c>
      <c r="K2234" t="s">
        <v>73</v>
      </c>
    </row>
    <row r="2235" spans="1:11" x14ac:dyDescent="0.35">
      <c r="A2235">
        <v>2234</v>
      </c>
      <c r="B2235" t="s">
        <v>11</v>
      </c>
      <c r="C2235" t="s">
        <v>11</v>
      </c>
      <c r="D2235" t="s">
        <v>140</v>
      </c>
      <c r="E2235" s="2">
        <v>44231.617175925923</v>
      </c>
      <c r="F2235" s="2">
        <v>44231.619641203702</v>
      </c>
      <c r="G2235" s="3">
        <v>2.4652777792653069E-3</v>
      </c>
      <c r="H2235" s="3">
        <v>214.29744256478673</v>
      </c>
      <c r="I2235" s="3">
        <v>3.5716240427464454</v>
      </c>
      <c r="J2235" s="3">
        <v>5.9527067379107422E-2</v>
      </c>
    </row>
    <row r="2236" spans="1:11" x14ac:dyDescent="0.35">
      <c r="A2236">
        <v>2235</v>
      </c>
      <c r="B2236" t="s">
        <v>2</v>
      </c>
      <c r="C2236" t="s">
        <v>96</v>
      </c>
      <c r="D2236" t="s">
        <v>140</v>
      </c>
      <c r="E2236" s="2">
        <v>44231.620011574072</v>
      </c>
      <c r="F2236" s="2">
        <v>44231.657592592594</v>
      </c>
      <c r="G2236" s="3">
        <v>3.758101852145046E-2</v>
      </c>
      <c r="H2236" s="3">
        <v>3266.7783832971541</v>
      </c>
      <c r="I2236" s="3">
        <v>54.446306388285898</v>
      </c>
      <c r="J2236" s="3">
        <v>0.90743843980476491</v>
      </c>
    </row>
    <row r="2237" spans="1:11" x14ac:dyDescent="0.35">
      <c r="A2237">
        <v>2236</v>
      </c>
      <c r="B2237" t="s">
        <v>2</v>
      </c>
      <c r="C2237" t="s">
        <v>96</v>
      </c>
      <c r="D2237" t="s">
        <v>140</v>
      </c>
      <c r="E2237" s="2">
        <v>44231.657696759263</v>
      </c>
      <c r="F2237" s="2">
        <v>44231.676620370374</v>
      </c>
      <c r="G2237" s="3">
        <v>1.8923611110949423E-2</v>
      </c>
      <c r="H2237" s="3">
        <v>1644.9592412160484</v>
      </c>
      <c r="I2237" s="3">
        <v>27.415987353600809</v>
      </c>
      <c r="J2237" s="3">
        <v>0.45693312256001345</v>
      </c>
    </row>
    <row r="2238" spans="1:11" x14ac:dyDescent="0.35">
      <c r="A2238">
        <v>2237</v>
      </c>
      <c r="B2238" t="s">
        <v>16</v>
      </c>
      <c r="C2238" t="s">
        <v>16</v>
      </c>
      <c r="D2238" t="s">
        <v>140</v>
      </c>
      <c r="E2238" s="2">
        <v>44231.676712962966</v>
      </c>
      <c r="F2238" s="2">
        <v>44231.685381944444</v>
      </c>
      <c r="G2238" s="3">
        <v>8.6689814779674634E-3</v>
      </c>
      <c r="H2238" s="3">
        <v>753.5623676953636</v>
      </c>
      <c r="I2238" s="3">
        <v>12.559372794922727</v>
      </c>
      <c r="J2238" s="3">
        <v>0.20932287991537876</v>
      </c>
    </row>
    <row r="2239" spans="1:11" x14ac:dyDescent="0.35">
      <c r="A2239">
        <v>2238</v>
      </c>
      <c r="B2239" t="s">
        <v>11</v>
      </c>
      <c r="C2239" t="s">
        <v>11</v>
      </c>
      <c r="D2239" t="s">
        <v>140</v>
      </c>
      <c r="E2239" s="2">
        <v>44231.685532407406</v>
      </c>
      <c r="F2239" s="2">
        <v>44231.689317129632</v>
      </c>
      <c r="G2239" s="3">
        <v>3.7847222265554592E-3</v>
      </c>
      <c r="H2239" s="3">
        <v>328.99184862269288</v>
      </c>
      <c r="I2239" s="3">
        <v>5.4831974770448815</v>
      </c>
      <c r="J2239" s="3">
        <v>9.1386624617414688E-2</v>
      </c>
    </row>
    <row r="2240" spans="1:11" x14ac:dyDescent="0.35">
      <c r="A2240">
        <v>2239</v>
      </c>
      <c r="B2240" t="s">
        <v>2</v>
      </c>
      <c r="C2240" t="s">
        <v>96</v>
      </c>
      <c r="D2240" t="s">
        <v>140</v>
      </c>
      <c r="E2240" s="2">
        <v>44231.68954861111</v>
      </c>
      <c r="F2240" s="2">
        <v>44231.721504629626</v>
      </c>
      <c r="G2240" s="3">
        <v>3.195601851621177E-2</v>
      </c>
      <c r="H2240" s="3">
        <v>2777.8180212284224</v>
      </c>
      <c r="I2240" s="3">
        <v>46.296967020473708</v>
      </c>
      <c r="J2240" s="3">
        <v>0.77161611700789512</v>
      </c>
    </row>
    <row r="2241" spans="1:11" x14ac:dyDescent="0.35">
      <c r="A2241">
        <v>2240</v>
      </c>
      <c r="B2241" t="s">
        <v>2</v>
      </c>
      <c r="C2241" t="s">
        <v>72</v>
      </c>
      <c r="D2241" t="s">
        <v>140</v>
      </c>
      <c r="E2241" s="2">
        <v>44232.291666666664</v>
      </c>
      <c r="F2241" s="2">
        <v>44232.3125</v>
      </c>
      <c r="G2241" s="3">
        <v>2.0833333335758653E-2</v>
      </c>
      <c r="H2241" s="3">
        <v>1810.9643024824977</v>
      </c>
      <c r="I2241" s="3">
        <v>30.182738374708297</v>
      </c>
      <c r="J2241" s="3">
        <v>0.50304563957847159</v>
      </c>
      <c r="K2241" t="s">
        <v>73</v>
      </c>
    </row>
    <row r="2242" spans="1:11" x14ac:dyDescent="0.35">
      <c r="A2242">
        <v>2241</v>
      </c>
      <c r="B2242" t="s">
        <v>11</v>
      </c>
      <c r="C2242" t="s">
        <v>11</v>
      </c>
      <c r="D2242" t="s">
        <v>140</v>
      </c>
      <c r="E2242" s="2">
        <v>44232.339560185188</v>
      </c>
      <c r="F2242" s="2">
        <v>44232.342395833337</v>
      </c>
      <c r="G2242" s="3">
        <v>2.8356481489026919E-3</v>
      </c>
      <c r="H2242" s="3">
        <v>246.49236343034525</v>
      </c>
      <c r="I2242" s="3">
        <v>4.1082060571724206</v>
      </c>
      <c r="J2242" s="3">
        <v>6.8470100952873675E-2</v>
      </c>
    </row>
    <row r="2243" spans="1:11" x14ac:dyDescent="0.35">
      <c r="A2243">
        <v>2242</v>
      </c>
      <c r="B2243" t="s">
        <v>11</v>
      </c>
      <c r="C2243" t="s">
        <v>11</v>
      </c>
      <c r="D2243" t="s">
        <v>140</v>
      </c>
      <c r="E2243" s="2">
        <v>44232.342800925922</v>
      </c>
      <c r="F2243" s="2">
        <v>44232.354861111111</v>
      </c>
      <c r="G2243" s="3">
        <v>1.206018518860219E-2</v>
      </c>
      <c r="H2243" s="3">
        <v>1048.3471130565185</v>
      </c>
      <c r="I2243" s="3">
        <v>17.472451884275308</v>
      </c>
      <c r="J2243" s="3">
        <v>0.29120753140458849</v>
      </c>
    </row>
    <row r="2244" spans="1:11" x14ac:dyDescent="0.35">
      <c r="A2244">
        <v>2243</v>
      </c>
      <c r="B2244" t="s">
        <v>2</v>
      </c>
      <c r="C2244" t="s">
        <v>96</v>
      </c>
      <c r="D2244" t="s">
        <v>140</v>
      </c>
      <c r="E2244" s="2">
        <v>44232.354988425926</v>
      </c>
      <c r="F2244" s="2">
        <v>44232.366030092591</v>
      </c>
      <c r="G2244" s="3">
        <v>1.1041666664823424E-2</v>
      </c>
      <c r="H2244" s="3">
        <v>959.81108004376074</v>
      </c>
      <c r="I2244" s="3">
        <v>15.996851334062679</v>
      </c>
      <c r="J2244" s="3">
        <v>0.26661418890104466</v>
      </c>
    </row>
    <row r="2245" spans="1:11" x14ac:dyDescent="0.35">
      <c r="A2245">
        <v>2244</v>
      </c>
      <c r="B2245" t="s">
        <v>11</v>
      </c>
      <c r="C2245" t="s">
        <v>11</v>
      </c>
      <c r="D2245" t="s">
        <v>140</v>
      </c>
      <c r="E2245" s="2">
        <v>44232.366122685184</v>
      </c>
      <c r="F2245" s="2">
        <v>44232.375381944446</v>
      </c>
      <c r="G2245" s="3">
        <v>9.2592592627624981E-3</v>
      </c>
      <c r="H2245" s="3">
        <v>804.87302353637847</v>
      </c>
      <c r="I2245" s="3">
        <v>13.414550392272975</v>
      </c>
      <c r="J2245" s="3">
        <v>0.22357583987121626</v>
      </c>
    </row>
    <row r="2246" spans="1:11" x14ac:dyDescent="0.35">
      <c r="A2246">
        <v>2245</v>
      </c>
      <c r="B2246" t="s">
        <v>2</v>
      </c>
      <c r="C2246" t="s">
        <v>72</v>
      </c>
      <c r="D2246" t="s">
        <v>140</v>
      </c>
      <c r="E2246" s="2">
        <v>44232.375486111108</v>
      </c>
      <c r="F2246" s="2">
        <v>44232.416030092594</v>
      </c>
      <c r="G2246" s="3">
        <v>4.0543981485825498E-2</v>
      </c>
      <c r="H2246" s="3">
        <v>3524.3377508540939</v>
      </c>
      <c r="I2246" s="3">
        <v>58.738962514234899</v>
      </c>
      <c r="J2246" s="3">
        <v>0.97898270857058167</v>
      </c>
      <c r="K2246" t="s">
        <v>73</v>
      </c>
    </row>
    <row r="2247" spans="1:11" x14ac:dyDescent="0.35">
      <c r="A2247">
        <v>2246</v>
      </c>
      <c r="B2247" t="s">
        <v>11</v>
      </c>
      <c r="C2247" t="s">
        <v>11</v>
      </c>
      <c r="D2247" t="s">
        <v>140</v>
      </c>
      <c r="E2247" s="2">
        <v>44232.416134259256</v>
      </c>
      <c r="F2247" s="2">
        <v>44232.424027777779</v>
      </c>
      <c r="G2247" s="3">
        <v>7.8935185229056515E-3</v>
      </c>
      <c r="H2247" s="3">
        <v>686.15425268651347</v>
      </c>
      <c r="I2247" s="3">
        <v>11.435904211441891</v>
      </c>
      <c r="J2247" s="3">
        <v>0.19059840352403151</v>
      </c>
    </row>
    <row r="2248" spans="1:11" x14ac:dyDescent="0.35">
      <c r="A2248">
        <v>2247</v>
      </c>
      <c r="B2248" t="s">
        <v>16</v>
      </c>
      <c r="C2248" t="s">
        <v>16</v>
      </c>
      <c r="D2248" t="s">
        <v>140</v>
      </c>
      <c r="E2248" s="2">
        <v>44232.424166666664</v>
      </c>
      <c r="F2248" s="2">
        <v>44232.454409722224</v>
      </c>
      <c r="G2248" s="3">
        <v>3.0243055560276844E-2</v>
      </c>
      <c r="H2248" s="3">
        <v>2628.9165125414502</v>
      </c>
      <c r="I2248" s="3">
        <v>43.815275209024172</v>
      </c>
      <c r="J2248" s="3">
        <v>0.73025458681706956</v>
      </c>
    </row>
    <row r="2249" spans="1:11" x14ac:dyDescent="0.35">
      <c r="A2249">
        <v>2248</v>
      </c>
      <c r="B2249" t="s">
        <v>11</v>
      </c>
      <c r="C2249" t="s">
        <v>11</v>
      </c>
      <c r="D2249" t="s">
        <v>140</v>
      </c>
      <c r="E2249" s="2">
        <v>44232.454525462963</v>
      </c>
      <c r="F2249" s="2">
        <v>44232.50503472222</v>
      </c>
      <c r="G2249" s="3">
        <v>5.0509259257523809E-2</v>
      </c>
      <c r="H2249" s="3">
        <v>4390.5823415789118</v>
      </c>
      <c r="I2249" s="3">
        <v>73.176372359648525</v>
      </c>
      <c r="J2249" s="3">
        <v>1.2196062059941422</v>
      </c>
    </row>
    <row r="2250" spans="1:11" x14ac:dyDescent="0.35">
      <c r="A2250">
        <v>2249</v>
      </c>
      <c r="B2250" t="s">
        <v>2</v>
      </c>
      <c r="C2250" t="s">
        <v>72</v>
      </c>
      <c r="D2250" t="s">
        <v>140</v>
      </c>
      <c r="E2250" s="2">
        <v>44232.621724537035</v>
      </c>
      <c r="F2250" s="2">
        <v>44232.667349537034</v>
      </c>
      <c r="G2250" s="3">
        <v>4.5624999998835847E-2</v>
      </c>
      <c r="H2250" s="3">
        <v>3966.0118218737693</v>
      </c>
      <c r="I2250" s="3">
        <v>66.100197031229484</v>
      </c>
      <c r="J2250" s="3">
        <v>1.1016699505204914</v>
      </c>
      <c r="K2250" t="s">
        <v>73</v>
      </c>
    </row>
    <row r="2251" spans="1:11" x14ac:dyDescent="0.35">
      <c r="A2251">
        <v>2250</v>
      </c>
      <c r="B2251" t="s">
        <v>2</v>
      </c>
      <c r="C2251" t="s">
        <v>96</v>
      </c>
      <c r="D2251" t="s">
        <v>140</v>
      </c>
      <c r="E2251" s="2">
        <v>44232.667442129627</v>
      </c>
      <c r="F2251" s="2">
        <v>44232.693611111114</v>
      </c>
      <c r="G2251" s="3">
        <v>2.6168981486989651E-2</v>
      </c>
      <c r="H2251" s="3">
        <v>2274.7723823878346</v>
      </c>
      <c r="I2251" s="3">
        <v>37.91287303979724</v>
      </c>
      <c r="J2251" s="3">
        <v>0.63188121732995406</v>
      </c>
    </row>
    <row r="2252" spans="1:11" x14ac:dyDescent="0.35">
      <c r="A2252">
        <v>2251</v>
      </c>
      <c r="B2252" t="s">
        <v>11</v>
      </c>
      <c r="C2252" t="s">
        <v>11</v>
      </c>
      <c r="D2252" t="s">
        <v>140</v>
      </c>
      <c r="E2252" s="2">
        <v>44232.776331018518</v>
      </c>
      <c r="F2252" s="2">
        <v>44232.809282407405</v>
      </c>
      <c r="G2252" s="3">
        <v>3.2951388886431232E-2</v>
      </c>
      <c r="H2252" s="3">
        <v>2864.3418712127286</v>
      </c>
      <c r="I2252" s="3">
        <v>47.739031186878812</v>
      </c>
      <c r="J2252" s="3">
        <v>0.79565051978131351</v>
      </c>
    </row>
    <row r="2253" spans="1:11" x14ac:dyDescent="0.35">
      <c r="A2253">
        <v>2252</v>
      </c>
      <c r="B2253" t="s">
        <v>11</v>
      </c>
      <c r="C2253" t="s">
        <v>11</v>
      </c>
      <c r="D2253" t="s">
        <v>140</v>
      </c>
      <c r="E2253" s="2">
        <v>44233.461805555555</v>
      </c>
      <c r="F2253" s="2">
        <v>44233.513877314814</v>
      </c>
      <c r="G2253" s="3">
        <v>5.2071759258979E-2</v>
      </c>
      <c r="H2253" s="3">
        <v>4526.404664375782</v>
      </c>
      <c r="I2253" s="3">
        <v>75.440077739596362</v>
      </c>
      <c r="J2253" s="3">
        <v>1.2573346289932728</v>
      </c>
    </row>
    <row r="2254" spans="1:11" x14ac:dyDescent="0.35">
      <c r="A2254">
        <v>2253</v>
      </c>
      <c r="B2254" t="s">
        <v>11</v>
      </c>
      <c r="C2254" t="s">
        <v>11</v>
      </c>
      <c r="D2254" t="s">
        <v>140</v>
      </c>
      <c r="E2254" s="2">
        <v>44233.561921296299</v>
      </c>
      <c r="F2254" s="2">
        <v>44233.570069444446</v>
      </c>
      <c r="G2254" s="3">
        <v>8.1481481465743855E-3</v>
      </c>
      <c r="H2254" s="3">
        <v>708.28826030723098</v>
      </c>
      <c r="I2254" s="3">
        <v>11.804804338453851</v>
      </c>
      <c r="J2254" s="3">
        <v>0.19674673897423084</v>
      </c>
    </row>
    <row r="2255" spans="1:11" x14ac:dyDescent="0.35">
      <c r="A2255">
        <v>2254</v>
      </c>
      <c r="B2255" t="s">
        <v>11</v>
      </c>
      <c r="C2255" t="s">
        <v>11</v>
      </c>
      <c r="D2255" t="s">
        <v>140</v>
      </c>
      <c r="E2255" s="2">
        <v>44233.604212962964</v>
      </c>
      <c r="F2255" s="2">
        <v>44233.635231481479</v>
      </c>
      <c r="G2255" s="3">
        <v>3.1018518515338656E-2</v>
      </c>
      <c r="H2255" s="3">
        <v>2696.3246275503002</v>
      </c>
      <c r="I2255" s="3">
        <v>44.938743792505001</v>
      </c>
      <c r="J2255" s="3">
        <v>0.74897906320841667</v>
      </c>
    </row>
    <row r="2256" spans="1:11" x14ac:dyDescent="0.35">
      <c r="A2256">
        <v>2255</v>
      </c>
      <c r="B2256" t="s">
        <v>11</v>
      </c>
      <c r="C2256" t="s">
        <v>11</v>
      </c>
      <c r="D2256" t="s">
        <v>140</v>
      </c>
      <c r="E2256" s="2">
        <v>44233.744803240741</v>
      </c>
      <c r="F2256" s="2">
        <v>44233.912453703706</v>
      </c>
      <c r="G2256" s="3">
        <v>0.16765046296495711</v>
      </c>
      <c r="H2256" s="3">
        <v>14573.232177065116</v>
      </c>
      <c r="I2256" s="3">
        <v>242.88720295108527</v>
      </c>
      <c r="J2256" s="3">
        <v>4.0481200491847549</v>
      </c>
    </row>
    <row r="2257" spans="1:10" x14ac:dyDescent="0.35">
      <c r="A2257">
        <v>2256</v>
      </c>
      <c r="B2257" t="s">
        <v>11</v>
      </c>
      <c r="C2257" t="s">
        <v>11</v>
      </c>
      <c r="D2257" t="s">
        <v>140</v>
      </c>
      <c r="E2257" s="2">
        <v>44235.271851851852</v>
      </c>
      <c r="F2257" s="2">
        <v>44235.280810185184</v>
      </c>
      <c r="G2257" s="3">
        <v>8.9583333319751546E-3</v>
      </c>
      <c r="H2257" s="3">
        <v>778.71464985875821</v>
      </c>
      <c r="I2257" s="3">
        <v>12.97857749764597</v>
      </c>
      <c r="J2257" s="3">
        <v>0.21630962496076617</v>
      </c>
    </row>
    <row r="2258" spans="1:10" x14ac:dyDescent="0.35">
      <c r="A2258">
        <v>2257</v>
      </c>
      <c r="B2258" t="s">
        <v>11</v>
      </c>
      <c r="C2258" t="s">
        <v>11</v>
      </c>
      <c r="D2258" t="s">
        <v>140</v>
      </c>
      <c r="E2258" s="2">
        <v>44235.280925925923</v>
      </c>
      <c r="F2258" s="2">
        <v>44235.283750000002</v>
      </c>
      <c r="G2258" s="3">
        <v>2.8240740793989971E-3</v>
      </c>
      <c r="H2258" s="3">
        <v>245.48627254859153</v>
      </c>
      <c r="I2258" s="3">
        <v>4.0914378758098584</v>
      </c>
      <c r="J2258" s="3">
        <v>6.8190631263497642E-2</v>
      </c>
    </row>
    <row r="2259" spans="1:10" x14ac:dyDescent="0.35">
      <c r="A2259">
        <v>2258</v>
      </c>
      <c r="B2259" t="s">
        <v>11</v>
      </c>
      <c r="C2259" t="s">
        <v>11</v>
      </c>
      <c r="D2259" t="s">
        <v>140</v>
      </c>
      <c r="E2259" s="2">
        <v>44235.283935185187</v>
      </c>
      <c r="F2259" s="2">
        <v>44235.287187499998</v>
      </c>
      <c r="G2259" s="3">
        <v>3.2523148111067712E-3</v>
      </c>
      <c r="H2259" s="3">
        <v>282.71164908786255</v>
      </c>
      <c r="I2259" s="3">
        <v>4.7118608181310426</v>
      </c>
      <c r="J2259" s="3">
        <v>7.8531013635517372E-2</v>
      </c>
    </row>
    <row r="2260" spans="1:10" x14ac:dyDescent="0.35">
      <c r="A2260">
        <v>2259</v>
      </c>
      <c r="B2260" t="s">
        <v>2</v>
      </c>
      <c r="C2260" t="s">
        <v>96</v>
      </c>
      <c r="D2260" t="s">
        <v>140</v>
      </c>
      <c r="E2260" s="2">
        <v>44235.287326388891</v>
      </c>
      <c r="F2260" s="2">
        <v>44235.29619212963</v>
      </c>
      <c r="G2260" s="3">
        <v>8.8657407395658083E-3</v>
      </c>
      <c r="H2260" s="3">
        <v>770.66591964236852</v>
      </c>
      <c r="I2260" s="3">
        <v>12.844431994039475</v>
      </c>
      <c r="J2260" s="3">
        <v>0.21407386656732458</v>
      </c>
    </row>
    <row r="2261" spans="1:10" x14ac:dyDescent="0.35">
      <c r="A2261">
        <v>2260</v>
      </c>
      <c r="B2261" t="s">
        <v>2</v>
      </c>
      <c r="C2261" t="s">
        <v>96</v>
      </c>
      <c r="D2261" t="s">
        <v>140</v>
      </c>
      <c r="E2261" s="2">
        <v>44235.296400462961</v>
      </c>
      <c r="F2261" s="2">
        <v>44235.298611111109</v>
      </c>
      <c r="G2261" s="3">
        <v>2.2106481483206153E-3</v>
      </c>
      <c r="H2261" s="3">
        <v>192.16343431159729</v>
      </c>
      <c r="I2261" s="3">
        <v>3.2027239051932881</v>
      </c>
      <c r="J2261" s="3">
        <v>5.337873175322147E-2</v>
      </c>
    </row>
    <row r="2262" spans="1:10" x14ac:dyDescent="0.35">
      <c r="A2262">
        <v>2261</v>
      </c>
      <c r="B2262" t="s">
        <v>2</v>
      </c>
      <c r="C2262" t="s">
        <v>96</v>
      </c>
      <c r="D2262" t="s">
        <v>140</v>
      </c>
      <c r="E2262" s="2">
        <v>44235.298773148148</v>
      </c>
      <c r="F2262" s="2">
        <v>44235.346678240741</v>
      </c>
      <c r="G2262" s="3">
        <v>4.7905092593282461E-2</v>
      </c>
      <c r="H2262" s="3">
        <v>4164.2118040057767</v>
      </c>
      <c r="I2262" s="3">
        <v>69.40353006676294</v>
      </c>
      <c r="J2262" s="3">
        <v>1.1567255011127158</v>
      </c>
    </row>
    <row r="2263" spans="1:10" x14ac:dyDescent="0.35">
      <c r="A2263">
        <v>2262</v>
      </c>
      <c r="B2263" t="s">
        <v>16</v>
      </c>
      <c r="C2263" t="s">
        <v>16</v>
      </c>
      <c r="D2263" t="s">
        <v>140</v>
      </c>
      <c r="E2263" s="2">
        <v>44235.346817129626</v>
      </c>
      <c r="F2263" s="2">
        <v>44235.36577546296</v>
      </c>
      <c r="G2263" s="3">
        <v>1.8958333334012423E-2</v>
      </c>
      <c r="H2263" s="3">
        <v>1647.9775151262536</v>
      </c>
      <c r="I2263" s="3">
        <v>27.466291918770892</v>
      </c>
      <c r="J2263" s="3">
        <v>0.45777153197951487</v>
      </c>
    </row>
    <row r="2264" spans="1:10" x14ac:dyDescent="0.35">
      <c r="A2264">
        <v>2263</v>
      </c>
      <c r="B2264" t="s">
        <v>11</v>
      </c>
      <c r="C2264" t="s">
        <v>11</v>
      </c>
      <c r="D2264" t="s">
        <v>140</v>
      </c>
      <c r="E2264" s="2">
        <v>44235.366018518522</v>
      </c>
      <c r="F2264" s="2">
        <v>44235.372083333335</v>
      </c>
      <c r="G2264" s="3">
        <v>6.064814813726116E-3</v>
      </c>
      <c r="H2264" s="3">
        <v>527.19183012222845</v>
      </c>
      <c r="I2264" s="3">
        <v>8.7865305020371416</v>
      </c>
      <c r="J2264" s="3">
        <v>0.14644217503395235</v>
      </c>
    </row>
    <row r="2265" spans="1:10" x14ac:dyDescent="0.35">
      <c r="A2265">
        <v>2264</v>
      </c>
      <c r="B2265" t="s">
        <v>2</v>
      </c>
      <c r="C2265" t="s">
        <v>96</v>
      </c>
      <c r="D2265" t="s">
        <v>140</v>
      </c>
      <c r="E2265" s="2">
        <v>44235.372199074074</v>
      </c>
      <c r="F2265" s="2">
        <v>44235.386921296296</v>
      </c>
      <c r="G2265" s="3">
        <v>1.4722222222189885E-2</v>
      </c>
      <c r="H2265" s="3">
        <v>1279.7481069358382</v>
      </c>
      <c r="I2265" s="3">
        <v>21.329135115597303</v>
      </c>
      <c r="J2265" s="3">
        <v>0.35548558525995505</v>
      </c>
    </row>
    <row r="2266" spans="1:10" x14ac:dyDescent="0.35">
      <c r="A2266">
        <v>2265</v>
      </c>
      <c r="B2266" t="s">
        <v>16</v>
      </c>
      <c r="C2266" t="s">
        <v>16</v>
      </c>
      <c r="D2266" t="s">
        <v>140</v>
      </c>
      <c r="E2266" s="2">
        <v>44235.387025462966</v>
      </c>
      <c r="F2266" s="2">
        <v>44235.394988425927</v>
      </c>
      <c r="G2266" s="3">
        <v>7.962962961755693E-3</v>
      </c>
      <c r="H2266" s="3">
        <v>692.19079987445173</v>
      </c>
      <c r="I2266" s="3">
        <v>11.536513331240862</v>
      </c>
      <c r="J2266" s="3">
        <v>0.19227522218734769</v>
      </c>
    </row>
    <row r="2267" spans="1:10" x14ac:dyDescent="0.35">
      <c r="A2267">
        <v>2266</v>
      </c>
      <c r="B2267" t="s">
        <v>11</v>
      </c>
      <c r="C2267" t="s">
        <v>11</v>
      </c>
      <c r="D2267" t="s">
        <v>140</v>
      </c>
      <c r="E2267" s="2">
        <v>44235.39503472222</v>
      </c>
      <c r="F2267" s="2">
        <v>44235.397418981483</v>
      </c>
      <c r="G2267" s="3">
        <v>2.384259263635613E-3</v>
      </c>
      <c r="H2267" s="3">
        <v>207.25480386262282</v>
      </c>
      <c r="I2267" s="3">
        <v>3.4542467310437135</v>
      </c>
      <c r="J2267" s="3">
        <v>5.757077885072856E-2</v>
      </c>
    </row>
    <row r="2268" spans="1:10" x14ac:dyDescent="0.35">
      <c r="A2268">
        <v>2267</v>
      </c>
      <c r="B2268" t="s">
        <v>2</v>
      </c>
      <c r="C2268" t="s">
        <v>96</v>
      </c>
      <c r="D2268" t="s">
        <v>140</v>
      </c>
      <c r="E2268" s="2">
        <v>44235.397581018522</v>
      </c>
      <c r="F2268" s="2">
        <v>44235.419710648152</v>
      </c>
      <c r="G2268" s="3">
        <v>2.21296296294895E-2</v>
      </c>
      <c r="H2268" s="3">
        <v>1923.6465255119522</v>
      </c>
      <c r="I2268" s="3">
        <v>32.060775425199203</v>
      </c>
      <c r="J2268" s="3">
        <v>0.5343462570866534</v>
      </c>
    </row>
    <row r="2269" spans="1:10" x14ac:dyDescent="0.35">
      <c r="A2269">
        <v>2268</v>
      </c>
      <c r="B2269" t="s">
        <v>11</v>
      </c>
      <c r="C2269" t="s">
        <v>11</v>
      </c>
      <c r="D2269" t="s">
        <v>140</v>
      </c>
      <c r="E2269" s="2">
        <v>44235.419895833336</v>
      </c>
      <c r="F2269" s="2">
        <v>44235.43681712963</v>
      </c>
      <c r="G2269" s="3">
        <v>1.6921296293730848E-2</v>
      </c>
      <c r="H2269" s="3">
        <v>1470.9054497332099</v>
      </c>
      <c r="I2269" s="3">
        <v>24.515090828886834</v>
      </c>
      <c r="J2269" s="3">
        <v>0.40858484714811388</v>
      </c>
    </row>
    <row r="2270" spans="1:10" x14ac:dyDescent="0.35">
      <c r="A2270">
        <v>2269</v>
      </c>
      <c r="B2270" t="s">
        <v>2</v>
      </c>
      <c r="C2270" t="s">
        <v>96</v>
      </c>
      <c r="D2270" t="s">
        <v>140</v>
      </c>
      <c r="E2270" s="2">
        <v>44235.437118055554</v>
      </c>
      <c r="F2270" s="2">
        <v>44235.447280092594</v>
      </c>
      <c r="G2270" s="3">
        <v>1.0162037040572613E-2</v>
      </c>
      <c r="H2270" s="3">
        <v>883.34814330429526</v>
      </c>
      <c r="I2270" s="3">
        <v>14.722469055071588</v>
      </c>
      <c r="J2270" s="3">
        <v>0.24537448425119315</v>
      </c>
    </row>
    <row r="2271" spans="1:10" x14ac:dyDescent="0.35">
      <c r="A2271">
        <v>2270</v>
      </c>
      <c r="B2271" t="s">
        <v>2</v>
      </c>
      <c r="C2271" t="s">
        <v>96</v>
      </c>
      <c r="D2271" t="s">
        <v>140</v>
      </c>
      <c r="E2271" s="2">
        <v>44235.447384259256</v>
      </c>
      <c r="F2271" s="2">
        <v>44235.457071759258</v>
      </c>
      <c r="G2271" s="3">
        <v>9.6875000017462298E-3</v>
      </c>
      <c r="H2271" s="3">
        <v>842.09840070812152</v>
      </c>
      <c r="I2271" s="3">
        <v>14.034973345135359</v>
      </c>
      <c r="J2271" s="3">
        <v>0.23391622241892265</v>
      </c>
    </row>
    <row r="2272" spans="1:10" x14ac:dyDescent="0.35">
      <c r="A2272">
        <v>2271</v>
      </c>
      <c r="B2272" t="s">
        <v>2</v>
      </c>
      <c r="C2272" t="s">
        <v>96</v>
      </c>
      <c r="D2272" t="s">
        <v>140</v>
      </c>
      <c r="E2272" s="2">
        <v>44235.457175925927</v>
      </c>
      <c r="F2272" s="2">
        <v>44235.464039351849</v>
      </c>
      <c r="G2272" s="3">
        <v>6.8634259223472327E-3</v>
      </c>
      <c r="H2272" s="3">
        <v>596.6121281595299</v>
      </c>
      <c r="I2272" s="3">
        <v>9.9435354693254983</v>
      </c>
      <c r="J2272" s="3">
        <v>0.16572559115542498</v>
      </c>
    </row>
    <row r="2273" spans="1:10" x14ac:dyDescent="0.35">
      <c r="A2273">
        <v>2272</v>
      </c>
      <c r="B2273" t="s">
        <v>2</v>
      </c>
      <c r="C2273" t="s">
        <v>96</v>
      </c>
      <c r="D2273" t="s">
        <v>140</v>
      </c>
      <c r="E2273" s="2">
        <v>44235.464201388888</v>
      </c>
      <c r="F2273" s="2">
        <v>44235.476354166669</v>
      </c>
      <c r="G2273" s="3">
        <v>1.2152777781011537E-2</v>
      </c>
      <c r="H2273" s="3">
        <v>1056.3958432729082</v>
      </c>
      <c r="I2273" s="3">
        <v>17.606597387881802</v>
      </c>
      <c r="J2273" s="3">
        <v>0.29344328979803003</v>
      </c>
    </row>
    <row r="2274" spans="1:10" x14ac:dyDescent="0.35">
      <c r="A2274">
        <v>2273</v>
      </c>
      <c r="B2274" t="s">
        <v>2</v>
      </c>
      <c r="C2274" t="s">
        <v>96</v>
      </c>
      <c r="D2274" t="s">
        <v>140</v>
      </c>
      <c r="E2274" s="2">
        <v>44235.476458333331</v>
      </c>
      <c r="F2274" s="2">
        <v>44235.481851851851</v>
      </c>
      <c r="G2274" s="3">
        <v>5.393518520577345E-3</v>
      </c>
      <c r="H2274" s="3">
        <v>468.83853621152161</v>
      </c>
      <c r="I2274" s="3">
        <v>7.8139756035253605</v>
      </c>
      <c r="J2274" s="3">
        <v>0.13023292672542267</v>
      </c>
    </row>
    <row r="2275" spans="1:10" x14ac:dyDescent="0.35">
      <c r="A2275">
        <v>2274</v>
      </c>
      <c r="B2275" t="s">
        <v>16</v>
      </c>
      <c r="C2275" t="s">
        <v>16</v>
      </c>
      <c r="D2275" t="s">
        <v>140</v>
      </c>
      <c r="E2275" s="2">
        <v>44235.48201388889</v>
      </c>
      <c r="F2275" s="2">
        <v>44235.500972222224</v>
      </c>
      <c r="G2275" s="3">
        <v>1.8958333334012423E-2</v>
      </c>
      <c r="H2275" s="3">
        <v>1647.9775151262536</v>
      </c>
      <c r="I2275" s="3">
        <v>27.466291918770892</v>
      </c>
      <c r="J2275" s="3">
        <v>0.45777153197951487</v>
      </c>
    </row>
    <row r="2276" spans="1:10" x14ac:dyDescent="0.35">
      <c r="A2276">
        <v>2275</v>
      </c>
      <c r="B2276" t="s">
        <v>2</v>
      </c>
      <c r="C2276" t="s">
        <v>96</v>
      </c>
      <c r="D2276" t="s">
        <v>140</v>
      </c>
      <c r="E2276" s="2">
        <v>44235.501180555555</v>
      </c>
      <c r="F2276" s="2">
        <v>44235.564629629633</v>
      </c>
      <c r="G2276" s="3">
        <v>6.3449074077652767E-2</v>
      </c>
      <c r="H2276" s="3">
        <v>5515.3923920073685</v>
      </c>
      <c r="I2276" s="3">
        <v>91.923206533456138</v>
      </c>
      <c r="J2276" s="3">
        <v>1.5320534422242689</v>
      </c>
    </row>
    <row r="2277" spans="1:10" x14ac:dyDescent="0.35">
      <c r="A2277">
        <v>2276</v>
      </c>
      <c r="B2277" t="s">
        <v>11</v>
      </c>
      <c r="C2277" t="s">
        <v>11</v>
      </c>
      <c r="D2277" t="s">
        <v>140</v>
      </c>
      <c r="E2277" s="2">
        <v>44235.565138888887</v>
      </c>
      <c r="F2277" s="2">
        <v>44235.569618055553</v>
      </c>
      <c r="G2277" s="3">
        <v>4.4791666659875773E-3</v>
      </c>
      <c r="H2277" s="3">
        <v>389.3573249293791</v>
      </c>
      <c r="I2277" s="3">
        <v>6.4892887488229851</v>
      </c>
      <c r="J2277" s="3">
        <v>0.10815481248038308</v>
      </c>
    </row>
    <row r="2278" spans="1:10" x14ac:dyDescent="0.35">
      <c r="A2278">
        <v>2277</v>
      </c>
      <c r="B2278" t="s">
        <v>2</v>
      </c>
      <c r="C2278" t="s">
        <v>96</v>
      </c>
      <c r="D2278" t="s">
        <v>140</v>
      </c>
      <c r="E2278" s="2">
        <v>44235.569861111115</v>
      </c>
      <c r="F2278" s="2">
        <v>44235.628067129626</v>
      </c>
      <c r="G2278" s="3">
        <v>5.8206018511555158E-2</v>
      </c>
      <c r="H2278" s="3">
        <v>5059.6330416859491</v>
      </c>
      <c r="I2278" s="3">
        <v>84.327217361432488</v>
      </c>
      <c r="J2278" s="3">
        <v>1.4054536226905414</v>
      </c>
    </row>
    <row r="2279" spans="1:10" x14ac:dyDescent="0.35">
      <c r="A2279">
        <v>2278</v>
      </c>
      <c r="B2279" t="s">
        <v>16</v>
      </c>
      <c r="C2279" t="s">
        <v>16</v>
      </c>
      <c r="D2279" t="s">
        <v>140</v>
      </c>
      <c r="E2279" s="2">
        <v>44235.628263888888</v>
      </c>
      <c r="F2279" s="2">
        <v>44235.636990740742</v>
      </c>
      <c r="G2279" s="3">
        <v>8.7268518545897678E-3</v>
      </c>
      <c r="H2279" s="3">
        <v>758.59282463402008</v>
      </c>
      <c r="I2279" s="3">
        <v>12.643213743900334</v>
      </c>
      <c r="J2279" s="3">
        <v>0.21072022906500557</v>
      </c>
    </row>
    <row r="2280" spans="1:10" x14ac:dyDescent="0.35">
      <c r="A2280">
        <v>2279</v>
      </c>
      <c r="B2280" t="s">
        <v>11</v>
      </c>
      <c r="C2280" t="s">
        <v>11</v>
      </c>
      <c r="D2280" t="s">
        <v>140</v>
      </c>
      <c r="E2280" s="2">
        <v>44235.637094907404</v>
      </c>
      <c r="F2280" s="2">
        <v>44235.643194444441</v>
      </c>
      <c r="G2280" s="3">
        <v>6.0995370367891155E-3</v>
      </c>
      <c r="H2280" s="3">
        <v>530.21010403243349</v>
      </c>
      <c r="I2280" s="3">
        <v>8.8368350672072253</v>
      </c>
      <c r="J2280" s="3">
        <v>0.14728058445345377</v>
      </c>
    </row>
    <row r="2281" spans="1:10" x14ac:dyDescent="0.35">
      <c r="A2281">
        <v>2280</v>
      </c>
      <c r="B2281" t="s">
        <v>11</v>
      </c>
      <c r="C2281" t="s">
        <v>11</v>
      </c>
      <c r="D2281" t="s">
        <v>140</v>
      </c>
      <c r="E2281" s="2">
        <v>44235.643449074072</v>
      </c>
      <c r="F2281" s="2">
        <v>44235.669791666667</v>
      </c>
      <c r="G2281" s="3">
        <v>2.6342592595028691E-2</v>
      </c>
      <c r="H2281" s="3">
        <v>2289.8637513063882</v>
      </c>
      <c r="I2281" s="3">
        <v>38.16439585510647</v>
      </c>
      <c r="J2281" s="3">
        <v>0.63607326425177446</v>
      </c>
    </row>
    <row r="2282" spans="1:10" x14ac:dyDescent="0.35">
      <c r="A2282">
        <v>2281</v>
      </c>
      <c r="B2282" t="s">
        <v>2</v>
      </c>
      <c r="C2282" t="s">
        <v>96</v>
      </c>
      <c r="D2282" t="s">
        <v>140</v>
      </c>
      <c r="E2282" s="2">
        <v>44235.670266203706</v>
      </c>
      <c r="F2282" s="2">
        <v>44235.69153935185</v>
      </c>
      <c r="G2282" s="3">
        <v>2.1273148144246079E-2</v>
      </c>
      <c r="H2282" s="3">
        <v>1849.1957705359941</v>
      </c>
      <c r="I2282" s="3">
        <v>30.819929508933235</v>
      </c>
      <c r="J2282" s="3">
        <v>0.51366549181555388</v>
      </c>
    </row>
    <row r="2283" spans="1:10" x14ac:dyDescent="0.35">
      <c r="A2283">
        <v>2282</v>
      </c>
      <c r="B2283" t="s">
        <v>11</v>
      </c>
      <c r="C2283" t="s">
        <v>11</v>
      </c>
      <c r="D2283" t="s">
        <v>140</v>
      </c>
      <c r="E2283" s="2">
        <v>44235.691631944443</v>
      </c>
      <c r="F2283" s="2">
        <v>44235.706134259257</v>
      </c>
      <c r="G2283" s="3">
        <v>1.4502314814308193E-2</v>
      </c>
      <c r="H2283" s="3">
        <v>1260.6323725928539</v>
      </c>
      <c r="I2283" s="3">
        <v>21.010539543214232</v>
      </c>
      <c r="J2283" s="3">
        <v>0.35017565905357056</v>
      </c>
    </row>
    <row r="2284" spans="1:10" x14ac:dyDescent="0.35">
      <c r="A2284">
        <v>2283</v>
      </c>
      <c r="B2284" t="s">
        <v>11</v>
      </c>
      <c r="C2284" t="s">
        <v>11</v>
      </c>
      <c r="D2284" t="s">
        <v>140</v>
      </c>
      <c r="E2284" s="2">
        <v>44236.235196759262</v>
      </c>
      <c r="F2284" s="2">
        <v>44236.2424537037</v>
      </c>
      <c r="G2284" s="3">
        <v>7.2569444382679649E-3</v>
      </c>
      <c r="H2284" s="3">
        <v>630.8192314210678</v>
      </c>
      <c r="I2284" s="3">
        <v>10.513653857017797</v>
      </c>
      <c r="J2284" s="3">
        <v>0.17522756428362996</v>
      </c>
    </row>
    <row r="2285" spans="1:10" x14ac:dyDescent="0.35">
      <c r="A2285">
        <v>2284</v>
      </c>
      <c r="B2285" t="s">
        <v>2</v>
      </c>
      <c r="C2285" t="s">
        <v>96</v>
      </c>
      <c r="D2285" t="s">
        <v>140</v>
      </c>
      <c r="E2285" s="2">
        <v>44236.242569444446</v>
      </c>
      <c r="F2285" s="2">
        <v>44236.309965277775</v>
      </c>
      <c r="G2285" s="3">
        <v>6.7395833328191657E-2</v>
      </c>
      <c r="H2285" s="3">
        <v>5858.4695174019171</v>
      </c>
      <c r="I2285" s="3">
        <v>97.641158623365286</v>
      </c>
      <c r="J2285" s="3">
        <v>1.6273526437227548</v>
      </c>
    </row>
    <row r="2286" spans="1:10" x14ac:dyDescent="0.35">
      <c r="A2286">
        <v>2285</v>
      </c>
      <c r="B2286" t="s">
        <v>16</v>
      </c>
      <c r="C2286" t="s">
        <v>16</v>
      </c>
      <c r="D2286" t="s">
        <v>140</v>
      </c>
      <c r="E2286" s="2">
        <v>44236.310543981483</v>
      </c>
      <c r="F2286" s="2">
        <v>44236.318506944444</v>
      </c>
      <c r="G2286" s="3">
        <v>7.962962961755693E-3</v>
      </c>
      <c r="H2286" s="3">
        <v>692.19079987445173</v>
      </c>
      <c r="I2286" s="3">
        <v>11.536513331240862</v>
      </c>
      <c r="J2286" s="3">
        <v>0.19227522218734769</v>
      </c>
    </row>
    <row r="2287" spans="1:10" x14ac:dyDescent="0.35">
      <c r="A2287">
        <v>2286</v>
      </c>
      <c r="B2287" t="s">
        <v>16</v>
      </c>
      <c r="C2287" t="s">
        <v>16</v>
      </c>
      <c r="D2287" t="s">
        <v>140</v>
      </c>
      <c r="E2287" s="2">
        <v>44236.318576388891</v>
      </c>
      <c r="F2287" s="2">
        <v>44236.345752314817</v>
      </c>
      <c r="G2287" s="3">
        <v>2.7175925926712807E-2</v>
      </c>
      <c r="H2287" s="3">
        <v>2362.3023232538949</v>
      </c>
      <c r="I2287" s="3">
        <v>39.371705387564916</v>
      </c>
      <c r="J2287" s="3">
        <v>0.65619508979274854</v>
      </c>
    </row>
    <row r="2288" spans="1:10" x14ac:dyDescent="0.35">
      <c r="A2288">
        <v>2287</v>
      </c>
      <c r="B2288" t="s">
        <v>2</v>
      </c>
      <c r="C2288" t="s">
        <v>96</v>
      </c>
      <c r="D2288" t="s">
        <v>140</v>
      </c>
      <c r="E2288" s="2">
        <v>44236.34584490741</v>
      </c>
      <c r="F2288" s="2">
        <v>44236.350439814814</v>
      </c>
      <c r="G2288" s="3">
        <v>4.5949074046802707E-3</v>
      </c>
      <c r="H2288" s="3">
        <v>399.41823754174811</v>
      </c>
      <c r="I2288" s="3">
        <v>6.6569706256958021</v>
      </c>
      <c r="J2288" s="3">
        <v>0.11094951042826337</v>
      </c>
    </row>
    <row r="2289" spans="1:11" x14ac:dyDescent="0.35">
      <c r="A2289">
        <v>2288</v>
      </c>
      <c r="B2289" t="s">
        <v>2</v>
      </c>
      <c r="C2289" t="s">
        <v>96</v>
      </c>
      <c r="D2289" t="s">
        <v>140</v>
      </c>
      <c r="E2289" s="2">
        <v>44236.35056712963</v>
      </c>
      <c r="F2289" s="2">
        <v>44236.354699074072</v>
      </c>
      <c r="G2289" s="3">
        <v>4.1319444426335394E-3</v>
      </c>
      <c r="H2289" s="3">
        <v>359.17458645980003</v>
      </c>
      <c r="I2289" s="3">
        <v>5.9862431076633333</v>
      </c>
      <c r="J2289" s="3">
        <v>9.9770718461055549E-2</v>
      </c>
    </row>
    <row r="2290" spans="1:11" x14ac:dyDescent="0.35">
      <c r="A2290">
        <v>2289</v>
      </c>
      <c r="B2290" t="s">
        <v>2</v>
      </c>
      <c r="C2290" t="s">
        <v>96</v>
      </c>
      <c r="D2290" t="s">
        <v>140</v>
      </c>
      <c r="E2290" s="2">
        <v>44236.35496527778</v>
      </c>
      <c r="F2290" s="2">
        <v>44236.373217592591</v>
      </c>
      <c r="G2290" s="3">
        <v>1.8252314810524695E-2</v>
      </c>
      <c r="H2290" s="3">
        <v>1586.6059466728698</v>
      </c>
      <c r="I2290" s="3">
        <v>26.443432444547831</v>
      </c>
      <c r="J2290" s="3">
        <v>0.44072387407579716</v>
      </c>
    </row>
    <row r="2291" spans="1:11" x14ac:dyDescent="0.35">
      <c r="A2291">
        <v>2290</v>
      </c>
      <c r="B2291" t="s">
        <v>11</v>
      </c>
      <c r="C2291" t="s">
        <v>11</v>
      </c>
      <c r="D2291" t="s">
        <v>140</v>
      </c>
      <c r="E2291" s="2">
        <v>44236.373668981483</v>
      </c>
      <c r="F2291" s="2">
        <v>44236.386099537034</v>
      </c>
      <c r="G2291" s="3">
        <v>1.2430555550963618E-2</v>
      </c>
      <c r="H2291" s="3">
        <v>1080.5420332896051</v>
      </c>
      <c r="I2291" s="3">
        <v>18.009033888160086</v>
      </c>
      <c r="J2291" s="3">
        <v>0.30015056480266811</v>
      </c>
    </row>
    <row r="2292" spans="1:11" x14ac:dyDescent="0.35">
      <c r="A2292">
        <v>2291</v>
      </c>
      <c r="B2292" t="s">
        <v>2</v>
      </c>
      <c r="C2292" t="s">
        <v>96</v>
      </c>
      <c r="D2292" t="s">
        <v>140</v>
      </c>
      <c r="E2292" s="2">
        <v>44236.38621527778</v>
      </c>
      <c r="F2292" s="2">
        <v>44236.441400462965</v>
      </c>
      <c r="G2292" s="3">
        <v>5.5185185185109731E-2</v>
      </c>
      <c r="H2292" s="3">
        <v>4797.0432184552965</v>
      </c>
      <c r="I2292" s="3">
        <v>79.95072030758827</v>
      </c>
      <c r="J2292" s="3">
        <v>1.3325120051264712</v>
      </c>
    </row>
    <row r="2293" spans="1:11" x14ac:dyDescent="0.35">
      <c r="A2293">
        <v>2292</v>
      </c>
      <c r="B2293" t="s">
        <v>11</v>
      </c>
      <c r="C2293" t="s">
        <v>11</v>
      </c>
      <c r="D2293" t="s">
        <v>140</v>
      </c>
      <c r="E2293" s="2">
        <v>44236.44153935185</v>
      </c>
      <c r="F2293" s="2">
        <v>44236.443935185183</v>
      </c>
      <c r="G2293" s="3">
        <v>2.3958333331393078E-3</v>
      </c>
      <c r="H2293" s="3">
        <v>208.26089474437654</v>
      </c>
      <c r="I2293" s="3">
        <v>3.4710149124062757</v>
      </c>
      <c r="J2293" s="3">
        <v>5.7850248540104593E-2</v>
      </c>
    </row>
    <row r="2294" spans="1:11" x14ac:dyDescent="0.35">
      <c r="A2294">
        <v>2293</v>
      </c>
      <c r="B2294" t="s">
        <v>2</v>
      </c>
      <c r="C2294" t="s">
        <v>96</v>
      </c>
      <c r="D2294" t="s">
        <v>140</v>
      </c>
      <c r="E2294" s="2">
        <v>44236.444097222222</v>
      </c>
      <c r="F2294" s="2">
        <v>44236.465057870373</v>
      </c>
      <c r="G2294" s="3">
        <v>2.0960648151230998E-2</v>
      </c>
      <c r="H2294" s="3">
        <v>1822.0313066090923</v>
      </c>
      <c r="I2294" s="3">
        <v>30.367188443484871</v>
      </c>
      <c r="J2294" s="3">
        <v>0.50611980739141449</v>
      </c>
    </row>
    <row r="2295" spans="1:11" x14ac:dyDescent="0.35">
      <c r="A2295">
        <v>2294</v>
      </c>
      <c r="B2295" t="s">
        <v>11</v>
      </c>
      <c r="C2295" t="s">
        <v>11</v>
      </c>
      <c r="D2295" t="s">
        <v>140</v>
      </c>
      <c r="E2295" s="2">
        <v>44236.465358796297</v>
      </c>
      <c r="F2295" s="2">
        <v>44236.470416666663</v>
      </c>
      <c r="G2295" s="3">
        <v>5.057870366727002E-3</v>
      </c>
      <c r="H2295" s="3">
        <v>439.66188862369626</v>
      </c>
      <c r="I2295" s="3">
        <v>7.3276981437282709</v>
      </c>
      <c r="J2295" s="3">
        <v>0.12212830239547118</v>
      </c>
    </row>
    <row r="2296" spans="1:11" x14ac:dyDescent="0.35">
      <c r="A2296">
        <v>2295</v>
      </c>
      <c r="B2296" t="s">
        <v>2</v>
      </c>
      <c r="C2296" t="s">
        <v>136</v>
      </c>
      <c r="D2296" t="s">
        <v>140</v>
      </c>
      <c r="E2296" s="2">
        <v>44236.470891203702</v>
      </c>
      <c r="F2296" s="2">
        <v>44236.478402777779</v>
      </c>
      <c r="G2296" s="3">
        <v>7.5115740764886141E-3</v>
      </c>
      <c r="H2296" s="3">
        <v>652.9532403067293</v>
      </c>
      <c r="I2296" s="3">
        <v>10.882554005112155</v>
      </c>
      <c r="J2296" s="3">
        <v>0.18137590008520257</v>
      </c>
      <c r="K2296" t="s">
        <v>90</v>
      </c>
    </row>
    <row r="2297" spans="1:11" x14ac:dyDescent="0.35">
      <c r="A2297">
        <v>2296</v>
      </c>
      <c r="B2297" t="s">
        <v>16</v>
      </c>
      <c r="C2297" t="s">
        <v>16</v>
      </c>
      <c r="D2297" t="s">
        <v>140</v>
      </c>
      <c r="E2297" s="2">
        <v>44236.478495370371</v>
      </c>
      <c r="F2297" s="2">
        <v>44236.500405092593</v>
      </c>
      <c r="G2297" s="3">
        <v>2.1909722221607808E-2</v>
      </c>
      <c r="H2297" s="3">
        <v>1904.5307911689679</v>
      </c>
      <c r="I2297" s="3">
        <v>31.742179852816133</v>
      </c>
      <c r="J2297" s="3">
        <v>0.52903633088026891</v>
      </c>
    </row>
    <row r="2298" spans="1:11" x14ac:dyDescent="0.35">
      <c r="A2298">
        <v>2297</v>
      </c>
      <c r="B2298" t="s">
        <v>11</v>
      </c>
      <c r="C2298" t="s">
        <v>11</v>
      </c>
      <c r="D2298" t="s">
        <v>140</v>
      </c>
      <c r="E2298" s="2">
        <v>44236.500590277778</v>
      </c>
      <c r="F2298" s="2">
        <v>44236.500694444447</v>
      </c>
      <c r="G2298" s="3">
        <v>1.0416666918899864E-4</v>
      </c>
      <c r="H2298" s="3">
        <v>9.0548217306153198</v>
      </c>
      <c r="I2298" s="3">
        <v>0.15091369551025532</v>
      </c>
      <c r="J2298" s="3">
        <v>2.5152282585042553E-3</v>
      </c>
    </row>
    <row r="2299" spans="1:11" x14ac:dyDescent="0.35">
      <c r="A2299">
        <v>2298</v>
      </c>
      <c r="B2299" t="s">
        <v>2</v>
      </c>
      <c r="C2299" t="s">
        <v>96</v>
      </c>
      <c r="D2299" t="s">
        <v>140</v>
      </c>
      <c r="E2299" s="2">
        <v>44236.500798611109</v>
      </c>
      <c r="F2299" s="2">
        <v>44236.575173611112</v>
      </c>
      <c r="G2299" s="3">
        <v>7.4375000003783498E-2</v>
      </c>
      <c r="H2299" s="3">
        <v>6465.1425594387601</v>
      </c>
      <c r="I2299" s="3">
        <v>107.752375990646</v>
      </c>
      <c r="J2299" s="3">
        <v>1.7958729331774335</v>
      </c>
    </row>
    <row r="2300" spans="1:11" x14ac:dyDescent="0.35">
      <c r="A2300">
        <v>2299</v>
      </c>
      <c r="B2300" t="s">
        <v>11</v>
      </c>
      <c r="C2300" t="s">
        <v>11</v>
      </c>
      <c r="D2300" t="s">
        <v>140</v>
      </c>
      <c r="E2300" s="2">
        <v>44236.575277777774</v>
      </c>
      <c r="F2300" s="2">
        <v>44236.586562500001</v>
      </c>
      <c r="G2300" s="3">
        <v>1.1284722226264421E-2</v>
      </c>
      <c r="H2300" s="3">
        <v>980.93899741519647</v>
      </c>
      <c r="I2300" s="3">
        <v>16.348983290253276</v>
      </c>
      <c r="J2300" s="3">
        <v>0.27248305483755458</v>
      </c>
    </row>
    <row r="2301" spans="1:11" x14ac:dyDescent="0.35">
      <c r="A2301">
        <v>2300</v>
      </c>
      <c r="B2301" t="s">
        <v>11</v>
      </c>
      <c r="C2301" t="s">
        <v>11</v>
      </c>
      <c r="D2301" t="s">
        <v>140</v>
      </c>
      <c r="E2301" s="2">
        <v>44236.586840277778</v>
      </c>
      <c r="F2301" s="2">
        <v>44236.593159722222</v>
      </c>
      <c r="G2301" s="3">
        <v>6.3194444446708076E-3</v>
      </c>
      <c r="H2301" s="3">
        <v>549.3258383754179</v>
      </c>
      <c r="I2301" s="3">
        <v>9.155430639590298</v>
      </c>
      <c r="J2301" s="3">
        <v>0.15259051065983831</v>
      </c>
    </row>
    <row r="2302" spans="1:11" x14ac:dyDescent="0.35">
      <c r="A2302">
        <v>2301</v>
      </c>
      <c r="B2302" t="s">
        <v>2</v>
      </c>
      <c r="C2302" t="s">
        <v>96</v>
      </c>
      <c r="D2302" t="s">
        <v>140</v>
      </c>
      <c r="E2302" s="2">
        <v>44236.593240740738</v>
      </c>
      <c r="F2302" s="2">
        <v>44236.602118055554</v>
      </c>
      <c r="G2302" s="3">
        <v>8.8773148163454607E-3</v>
      </c>
      <c r="H2302" s="3">
        <v>771.67201115659429</v>
      </c>
      <c r="I2302" s="3">
        <v>12.861200185943238</v>
      </c>
      <c r="J2302" s="3">
        <v>0.2143533364323873</v>
      </c>
    </row>
    <row r="2303" spans="1:11" x14ac:dyDescent="0.35">
      <c r="A2303">
        <v>2302</v>
      </c>
      <c r="B2303" t="s">
        <v>2</v>
      </c>
      <c r="C2303" t="s">
        <v>96</v>
      </c>
      <c r="D2303" t="s">
        <v>140</v>
      </c>
      <c r="E2303" s="2">
        <v>44236.602256944447</v>
      </c>
      <c r="F2303" s="2">
        <v>44236.620011574072</v>
      </c>
      <c r="G2303" s="3">
        <v>1.7754629625414964E-2</v>
      </c>
      <c r="H2303" s="3">
        <v>1543.3440216807164</v>
      </c>
      <c r="I2303" s="3">
        <v>25.722400361345272</v>
      </c>
      <c r="J2303" s="3">
        <v>0.42870667268908785</v>
      </c>
    </row>
    <row r="2304" spans="1:11" x14ac:dyDescent="0.35">
      <c r="A2304">
        <v>2303</v>
      </c>
      <c r="B2304" t="s">
        <v>2</v>
      </c>
      <c r="C2304" t="s">
        <v>72</v>
      </c>
      <c r="D2304" t="s">
        <v>140</v>
      </c>
      <c r="E2304" s="2">
        <v>44236.622523148151</v>
      </c>
      <c r="F2304" s="2">
        <v>44236.644861111112</v>
      </c>
      <c r="G2304" s="3">
        <v>2.233796296059154E-2</v>
      </c>
      <c r="H2304" s="3">
        <v>1941.7561683407109</v>
      </c>
      <c r="I2304" s="3">
        <v>32.362602805678513</v>
      </c>
      <c r="J2304" s="3">
        <v>0.53937671342797522</v>
      </c>
      <c r="K2304" t="s">
        <v>73</v>
      </c>
    </row>
    <row r="2305" spans="1:11" x14ac:dyDescent="0.35">
      <c r="A2305">
        <v>2304</v>
      </c>
      <c r="B2305" t="s">
        <v>11</v>
      </c>
      <c r="C2305" t="s">
        <v>11</v>
      </c>
      <c r="D2305" t="s">
        <v>140</v>
      </c>
      <c r="E2305" s="2">
        <v>44236.862847222219</v>
      </c>
      <c r="F2305" s="2">
        <v>44236.892916666664</v>
      </c>
      <c r="G2305" s="3">
        <v>3.0069444444961846E-2</v>
      </c>
      <c r="H2305" s="3">
        <v>2613.8251429904244</v>
      </c>
      <c r="I2305" s="3">
        <v>43.563752383173743</v>
      </c>
      <c r="J2305" s="3">
        <v>0.72606253971956236</v>
      </c>
    </row>
    <row r="2306" spans="1:11" x14ac:dyDescent="0.35">
      <c r="A2306">
        <v>2305</v>
      </c>
      <c r="B2306" t="s">
        <v>11</v>
      </c>
      <c r="C2306" t="s">
        <v>11</v>
      </c>
      <c r="D2306" t="s">
        <v>140</v>
      </c>
      <c r="E2306" s="2">
        <v>44237.289293981485</v>
      </c>
      <c r="F2306" s="2">
        <v>44237.294803240744</v>
      </c>
      <c r="G2306" s="3">
        <v>5.5092592592700385E-3</v>
      </c>
      <c r="H2306" s="3">
        <v>478.89944882389068</v>
      </c>
      <c r="I2306" s="3">
        <v>7.9816574803981784</v>
      </c>
      <c r="J2306" s="3">
        <v>0.13302762467330298</v>
      </c>
    </row>
    <row r="2307" spans="1:11" x14ac:dyDescent="0.35">
      <c r="A2307">
        <v>2306</v>
      </c>
      <c r="B2307" t="s">
        <v>2</v>
      </c>
      <c r="C2307" t="s">
        <v>96</v>
      </c>
      <c r="D2307" t="s">
        <v>140</v>
      </c>
      <c r="E2307" s="2">
        <v>44237.295046296298</v>
      </c>
      <c r="F2307" s="2">
        <v>44237.301805555559</v>
      </c>
      <c r="G2307" s="3">
        <v>6.7592592604341917E-3</v>
      </c>
      <c r="H2307" s="3">
        <v>587.55730706138661</v>
      </c>
      <c r="I2307" s="3">
        <v>9.7926217843564434</v>
      </c>
      <c r="J2307" s="3">
        <v>0.16321036307260739</v>
      </c>
    </row>
    <row r="2308" spans="1:11" x14ac:dyDescent="0.35">
      <c r="A2308">
        <v>2307</v>
      </c>
      <c r="B2308" t="s">
        <v>2</v>
      </c>
      <c r="C2308" t="s">
        <v>96</v>
      </c>
      <c r="D2308" t="s">
        <v>140</v>
      </c>
      <c r="E2308" s="2">
        <v>44237.301944444444</v>
      </c>
      <c r="F2308" s="2">
        <v>44237.334236111114</v>
      </c>
      <c r="G2308" s="3">
        <v>3.2291666670062114E-2</v>
      </c>
      <c r="H2308" s="3">
        <v>2806.9946688162477</v>
      </c>
      <c r="I2308" s="3">
        <v>46.783244480270795</v>
      </c>
      <c r="J2308" s="3">
        <v>0.77972074133784663</v>
      </c>
    </row>
    <row r="2309" spans="1:11" x14ac:dyDescent="0.35">
      <c r="A2309">
        <v>2308</v>
      </c>
      <c r="B2309" t="s">
        <v>2</v>
      </c>
      <c r="C2309" t="s">
        <v>72</v>
      </c>
      <c r="D2309" t="s">
        <v>140</v>
      </c>
      <c r="E2309" s="2">
        <v>44237.334328703706</v>
      </c>
      <c r="F2309" s="2">
        <v>44237.353472222225</v>
      </c>
      <c r="G2309" s="3">
        <v>1.9143518518831115E-2</v>
      </c>
      <c r="H2309" s="3">
        <v>1664.074975559033</v>
      </c>
      <c r="I2309" s="3">
        <v>27.734582925983883</v>
      </c>
      <c r="J2309" s="3">
        <v>0.46224304876639805</v>
      </c>
      <c r="K2309" t="s">
        <v>73</v>
      </c>
    </row>
    <row r="2310" spans="1:11" x14ac:dyDescent="0.35">
      <c r="A2310">
        <v>2309</v>
      </c>
      <c r="B2310" t="s">
        <v>2</v>
      </c>
      <c r="C2310" t="s">
        <v>96</v>
      </c>
      <c r="D2310" t="s">
        <v>140</v>
      </c>
      <c r="E2310" s="2">
        <v>44237.353622685187</v>
      </c>
      <c r="F2310" s="2">
        <v>44237.371006944442</v>
      </c>
      <c r="G2310" s="3">
        <v>1.7384259255777579E-2</v>
      </c>
      <c r="H2310" s="3">
        <v>1511.1491008151579</v>
      </c>
      <c r="I2310" s="3">
        <v>25.185818346919298</v>
      </c>
      <c r="J2310" s="3">
        <v>0.41976363911532161</v>
      </c>
    </row>
    <row r="2311" spans="1:11" x14ac:dyDescent="0.35">
      <c r="A2311">
        <v>2310</v>
      </c>
      <c r="B2311" t="s">
        <v>2</v>
      </c>
      <c r="C2311" t="s">
        <v>96</v>
      </c>
      <c r="D2311" t="s">
        <v>140</v>
      </c>
      <c r="E2311" s="2">
        <v>44237.371157407404</v>
      </c>
      <c r="F2311" s="2">
        <v>44237.401238425926</v>
      </c>
      <c r="G2311" s="3">
        <v>3.0081018521741498E-2</v>
      </c>
      <c r="H2311" s="3">
        <v>2614.8312345046502</v>
      </c>
      <c r="I2311" s="3">
        <v>43.5805205750775</v>
      </c>
      <c r="J2311" s="3">
        <v>0.72634200958462503</v>
      </c>
    </row>
    <row r="2312" spans="1:11" x14ac:dyDescent="0.35">
      <c r="A2312">
        <v>2311</v>
      </c>
      <c r="B2312" t="s">
        <v>2</v>
      </c>
      <c r="C2312" t="s">
        <v>96</v>
      </c>
      <c r="D2312" t="s">
        <v>140</v>
      </c>
      <c r="E2312" s="2">
        <v>44237.40148148148</v>
      </c>
      <c r="F2312" s="2">
        <v>44237.406770833331</v>
      </c>
      <c r="G2312" s="3">
        <v>5.2893518513883464E-3</v>
      </c>
      <c r="H2312" s="3">
        <v>459.78371448090633</v>
      </c>
      <c r="I2312" s="3">
        <v>7.6630619080151057</v>
      </c>
      <c r="J2312" s="3">
        <v>0.12771769846691844</v>
      </c>
    </row>
    <row r="2313" spans="1:11" x14ac:dyDescent="0.35">
      <c r="A2313">
        <v>2312</v>
      </c>
      <c r="B2313" t="s">
        <v>2</v>
      </c>
      <c r="C2313" t="s">
        <v>96</v>
      </c>
      <c r="D2313" t="s">
        <v>140</v>
      </c>
      <c r="E2313" s="2">
        <v>44237.406898148147</v>
      </c>
      <c r="F2313" s="2">
        <v>44237.452291666668</v>
      </c>
      <c r="G2313" s="3">
        <v>4.539351852145046E-2</v>
      </c>
      <c r="H2313" s="3">
        <v>3945.8899966490312</v>
      </c>
      <c r="I2313" s="3">
        <v>65.764833277483859</v>
      </c>
      <c r="J2313" s="3">
        <v>1.096080554624731</v>
      </c>
    </row>
    <row r="2314" spans="1:11" x14ac:dyDescent="0.35">
      <c r="A2314">
        <v>2313</v>
      </c>
      <c r="B2314" t="s">
        <v>2</v>
      </c>
      <c r="C2314" t="s">
        <v>96</v>
      </c>
      <c r="D2314" t="s">
        <v>140</v>
      </c>
      <c r="E2314" s="2">
        <v>44237.452407407407</v>
      </c>
      <c r="F2314" s="2">
        <v>44237.48164351852</v>
      </c>
      <c r="G2314" s="3">
        <v>2.923611111327773E-2</v>
      </c>
      <c r="H2314" s="3">
        <v>2541.3865710429181</v>
      </c>
      <c r="I2314" s="3">
        <v>42.356442850715304</v>
      </c>
      <c r="J2314" s="3">
        <v>0.70594071417858839</v>
      </c>
    </row>
    <row r="2315" spans="1:11" x14ac:dyDescent="0.35">
      <c r="A2315">
        <v>2314</v>
      </c>
      <c r="B2315" t="s">
        <v>16</v>
      </c>
      <c r="C2315" t="s">
        <v>16</v>
      </c>
      <c r="D2315" t="s">
        <v>140</v>
      </c>
      <c r="E2315" s="2">
        <v>44237.481736111113</v>
      </c>
      <c r="F2315" s="2">
        <v>44237.492442129631</v>
      </c>
      <c r="G2315" s="3">
        <v>1.0706018518249039E-2</v>
      </c>
      <c r="H2315" s="3">
        <v>930.63443308840738</v>
      </c>
      <c r="I2315" s="3">
        <v>15.51057388480679</v>
      </c>
      <c r="J2315" s="3">
        <v>0.25850956474677983</v>
      </c>
    </row>
    <row r="2316" spans="1:11" x14ac:dyDescent="0.35">
      <c r="A2316">
        <v>2315</v>
      </c>
      <c r="B2316" t="s">
        <v>11</v>
      </c>
      <c r="C2316" t="s">
        <v>11</v>
      </c>
      <c r="D2316" t="s">
        <v>140</v>
      </c>
      <c r="E2316" s="2">
        <v>44237.492777777778</v>
      </c>
      <c r="F2316" s="2">
        <v>44237.507986111108</v>
      </c>
      <c r="G2316" s="3">
        <v>1.5208333330519963E-2</v>
      </c>
      <c r="H2316" s="3">
        <v>1322.0039404137658</v>
      </c>
      <c r="I2316" s="3">
        <v>22.033399006896097</v>
      </c>
      <c r="J2316" s="3">
        <v>0.36722331678160164</v>
      </c>
    </row>
    <row r="2317" spans="1:11" x14ac:dyDescent="0.35">
      <c r="A2317">
        <v>2316</v>
      </c>
      <c r="B2317" t="s">
        <v>11</v>
      </c>
      <c r="C2317" t="s">
        <v>11</v>
      </c>
      <c r="D2317" t="s">
        <v>140</v>
      </c>
      <c r="E2317" s="2">
        <v>44237.508090277777</v>
      </c>
      <c r="F2317" s="2">
        <v>44237.511423611111</v>
      </c>
      <c r="G2317" s="3">
        <v>3.3333333340124227E-3</v>
      </c>
      <c r="H2317" s="3">
        <v>289.75428842249846</v>
      </c>
      <c r="I2317" s="3">
        <v>4.829238140374974</v>
      </c>
      <c r="J2317" s="3">
        <v>8.04873023395829E-2</v>
      </c>
    </row>
    <row r="2318" spans="1:11" x14ac:dyDescent="0.35">
      <c r="A2318">
        <v>2317</v>
      </c>
      <c r="B2318" t="s">
        <v>2</v>
      </c>
      <c r="C2318" t="s">
        <v>96</v>
      </c>
      <c r="D2318" t="s">
        <v>140</v>
      </c>
      <c r="E2318" s="2">
        <v>44237.511550925927</v>
      </c>
      <c r="F2318" s="2">
        <v>44237.522094907406</v>
      </c>
      <c r="G2318" s="3">
        <v>1.0543981479713693E-2</v>
      </c>
      <c r="H2318" s="3">
        <v>916.5491550516075</v>
      </c>
      <c r="I2318" s="3">
        <v>15.275819250860126</v>
      </c>
      <c r="J2318" s="3">
        <v>0.2545969875143354</v>
      </c>
    </row>
    <row r="2319" spans="1:11" x14ac:dyDescent="0.35">
      <c r="A2319">
        <v>2318</v>
      </c>
      <c r="B2319" t="s">
        <v>16</v>
      </c>
      <c r="C2319" t="s">
        <v>16</v>
      </c>
      <c r="D2319" t="s">
        <v>140</v>
      </c>
      <c r="E2319" s="2">
        <v>44237.522187499999</v>
      </c>
      <c r="F2319" s="2">
        <v>44237.595509259256</v>
      </c>
      <c r="G2319" s="3">
        <v>7.3321759256941732E-2</v>
      </c>
      <c r="H2319" s="3">
        <v>6373.5882525157967</v>
      </c>
      <c r="I2319" s="3">
        <v>106.22647087526327</v>
      </c>
      <c r="J2319" s="3">
        <v>1.7704411812543879</v>
      </c>
    </row>
    <row r="2320" spans="1:11" x14ac:dyDescent="0.35">
      <c r="A2320">
        <v>2319</v>
      </c>
      <c r="B2320" t="s">
        <v>11</v>
      </c>
      <c r="C2320" t="s">
        <v>11</v>
      </c>
      <c r="D2320" t="s">
        <v>140</v>
      </c>
      <c r="E2320" s="2">
        <v>44237.595729166664</v>
      </c>
      <c r="F2320" s="2">
        <v>44237.596655092595</v>
      </c>
      <c r="G2320" s="3">
        <v>9.2592593136942014E-4</v>
      </c>
      <c r="H2320" s="3">
        <v>80.487302796368226</v>
      </c>
      <c r="I2320" s="3">
        <v>1.341455046606137</v>
      </c>
      <c r="J2320" s="3">
        <v>2.2357584110102285E-2</v>
      </c>
    </row>
    <row r="2321" spans="1:11" x14ac:dyDescent="0.35">
      <c r="A2321">
        <v>2320</v>
      </c>
      <c r="B2321" t="s">
        <v>2</v>
      </c>
      <c r="C2321" t="s">
        <v>96</v>
      </c>
      <c r="D2321" t="s">
        <v>140</v>
      </c>
      <c r="E2321" s="2">
        <v>44237.59679398148</v>
      </c>
      <c r="F2321" s="2">
        <v>44237.663263888891</v>
      </c>
      <c r="G2321" s="3">
        <v>6.6469907411374152E-2</v>
      </c>
      <c r="H2321" s="3">
        <v>5777.9822158704928</v>
      </c>
      <c r="I2321" s="3">
        <v>96.299703597841543</v>
      </c>
      <c r="J2321" s="3">
        <v>1.6049950599640257</v>
      </c>
    </row>
    <row r="2322" spans="1:11" x14ac:dyDescent="0.35">
      <c r="A2322">
        <v>2321</v>
      </c>
      <c r="B2322" t="s">
        <v>2</v>
      </c>
      <c r="C2322" t="s">
        <v>96</v>
      </c>
      <c r="D2322" t="s">
        <v>140</v>
      </c>
      <c r="E2322" s="2">
        <v>44237.670983796299</v>
      </c>
      <c r="F2322" s="2">
        <v>44237.703981481478</v>
      </c>
      <c r="G2322" s="3">
        <v>3.2997685178997926E-2</v>
      </c>
      <c r="H2322" s="3">
        <v>2868.3662360046874</v>
      </c>
      <c r="I2322" s="3">
        <v>47.806103933411457</v>
      </c>
      <c r="J2322" s="3">
        <v>0.79676839889019091</v>
      </c>
    </row>
    <row r="2323" spans="1:11" x14ac:dyDescent="0.35">
      <c r="A2323">
        <v>2322</v>
      </c>
      <c r="B2323" t="s">
        <v>11</v>
      </c>
      <c r="C2323" t="s">
        <v>11</v>
      </c>
      <c r="D2323" t="s">
        <v>140</v>
      </c>
      <c r="E2323" s="2">
        <v>44238.304502314815</v>
      </c>
      <c r="F2323" s="2">
        <v>44238.314166666663</v>
      </c>
      <c r="G2323" s="3">
        <v>9.6643518481869251E-3</v>
      </c>
      <c r="H2323" s="3">
        <v>840.08621767967009</v>
      </c>
      <c r="I2323" s="3">
        <v>14.001436961327835</v>
      </c>
      <c r="J2323" s="3">
        <v>0.23335728268879724</v>
      </c>
    </row>
    <row r="2324" spans="1:11" x14ac:dyDescent="0.35">
      <c r="A2324">
        <v>2323</v>
      </c>
      <c r="B2324" t="s">
        <v>2</v>
      </c>
      <c r="C2324" t="s">
        <v>96</v>
      </c>
      <c r="D2324" t="s">
        <v>140</v>
      </c>
      <c r="E2324" s="2">
        <v>44238.314317129632</v>
      </c>
      <c r="F2324" s="2">
        <v>44238.395555555559</v>
      </c>
      <c r="G2324" s="3">
        <v>8.1238425926130731E-2</v>
      </c>
      <c r="H2324" s="3">
        <v>7061.7546875982898</v>
      </c>
      <c r="I2324" s="3">
        <v>117.6959114599715</v>
      </c>
      <c r="J2324" s="3">
        <v>1.9615985243328582</v>
      </c>
    </row>
    <row r="2325" spans="1:11" x14ac:dyDescent="0.35">
      <c r="A2325">
        <v>2324</v>
      </c>
      <c r="B2325" t="s">
        <v>2</v>
      </c>
      <c r="C2325" t="s">
        <v>72</v>
      </c>
      <c r="D2325" t="s">
        <v>140</v>
      </c>
      <c r="E2325" s="2">
        <v>44238.395729166667</v>
      </c>
      <c r="F2325" s="2">
        <v>44238.43645833333</v>
      </c>
      <c r="G2325" s="3">
        <v>4.0729166663368233E-2</v>
      </c>
      <c r="H2325" s="3">
        <v>3540.4352106544011</v>
      </c>
      <c r="I2325" s="3">
        <v>59.007253510906686</v>
      </c>
      <c r="J2325" s="3">
        <v>0.98345422518177805</v>
      </c>
      <c r="K2325" t="s">
        <v>73</v>
      </c>
    </row>
    <row r="2326" spans="1:11" x14ac:dyDescent="0.35">
      <c r="A2326">
        <v>2325</v>
      </c>
      <c r="B2326" t="s">
        <v>2</v>
      </c>
      <c r="C2326" t="s">
        <v>96</v>
      </c>
      <c r="D2326" t="s">
        <v>140</v>
      </c>
      <c r="E2326" s="2">
        <v>44238.436574074076</v>
      </c>
      <c r="F2326" s="2">
        <v>44238.45040509259</v>
      </c>
      <c r="G2326" s="3">
        <v>1.3831018513883464E-2</v>
      </c>
      <c r="H2326" s="3">
        <v>1202.2790780496753</v>
      </c>
      <c r="I2326" s="3">
        <v>20.037984634161255</v>
      </c>
      <c r="J2326" s="3">
        <v>0.33396641056935422</v>
      </c>
    </row>
    <row r="2327" spans="1:11" x14ac:dyDescent="0.35">
      <c r="A2327">
        <v>2326</v>
      </c>
      <c r="B2327" t="s">
        <v>16</v>
      </c>
      <c r="C2327" t="s">
        <v>16</v>
      </c>
      <c r="D2327" t="s">
        <v>140</v>
      </c>
      <c r="E2327" s="2">
        <v>44238.450486111113</v>
      </c>
      <c r="F2327" s="2">
        <v>44238.453530092593</v>
      </c>
      <c r="G2327" s="3">
        <v>3.0439814800047316E-3</v>
      </c>
      <c r="H2327" s="3">
        <v>264.60200625910392</v>
      </c>
      <c r="I2327" s="3">
        <v>4.4100334376517321</v>
      </c>
      <c r="J2327" s="3">
        <v>7.3500557294195537E-2</v>
      </c>
    </row>
    <row r="2328" spans="1:11" x14ac:dyDescent="0.35">
      <c r="A2328">
        <v>2327</v>
      </c>
      <c r="B2328" t="s">
        <v>2</v>
      </c>
      <c r="C2328" t="s">
        <v>96</v>
      </c>
      <c r="D2328" t="s">
        <v>140</v>
      </c>
      <c r="E2328" s="2">
        <v>44238.453657407408</v>
      </c>
      <c r="F2328" s="2">
        <v>44238.47859953704</v>
      </c>
      <c r="G2328" s="3">
        <v>2.4942129632108845E-2</v>
      </c>
      <c r="H2328" s="3">
        <v>2168.126706546318</v>
      </c>
      <c r="I2328" s="3">
        <v>36.135445109105298</v>
      </c>
      <c r="J2328" s="3">
        <v>0.60225741848508829</v>
      </c>
    </row>
    <row r="2329" spans="1:11" x14ac:dyDescent="0.35">
      <c r="A2329">
        <v>2328</v>
      </c>
      <c r="B2329" t="s">
        <v>11</v>
      </c>
      <c r="C2329" t="s">
        <v>11</v>
      </c>
      <c r="D2329" t="s">
        <v>140</v>
      </c>
      <c r="E2329" s="2">
        <v>44238.478831018518</v>
      </c>
      <c r="F2329" s="2">
        <v>44238.516608796293</v>
      </c>
      <c r="G2329" s="3">
        <v>3.7777777775772847E-2</v>
      </c>
      <c r="H2329" s="3">
        <v>3283.881934611687</v>
      </c>
      <c r="I2329" s="3">
        <v>54.73136557686145</v>
      </c>
      <c r="J2329" s="3">
        <v>0.91218942628102417</v>
      </c>
    </row>
    <row r="2330" spans="1:11" x14ac:dyDescent="0.35">
      <c r="A2330">
        <v>2329</v>
      </c>
      <c r="B2330" t="s">
        <v>2</v>
      </c>
      <c r="C2330" t="s">
        <v>132</v>
      </c>
      <c r="D2330" t="s">
        <v>140</v>
      </c>
      <c r="E2330" s="2">
        <v>44238.516793981478</v>
      </c>
      <c r="F2330" s="2">
        <v>44238.556539351855</v>
      </c>
      <c r="G2330" s="3">
        <v>3.9745370377204381E-2</v>
      </c>
      <c r="H2330" s="3">
        <v>3454.9174528167923</v>
      </c>
      <c r="I2330" s="3">
        <v>57.581957546946541</v>
      </c>
      <c r="J2330" s="3">
        <v>0.95969929244910901</v>
      </c>
      <c r="K2330" t="s">
        <v>93</v>
      </c>
    </row>
    <row r="2331" spans="1:11" x14ac:dyDescent="0.35">
      <c r="A2331">
        <v>2330</v>
      </c>
      <c r="B2331" t="s">
        <v>2</v>
      </c>
      <c r="C2331" t="s">
        <v>96</v>
      </c>
      <c r="D2331" t="s">
        <v>140</v>
      </c>
      <c r="E2331" s="2">
        <v>44238.556689814817</v>
      </c>
      <c r="F2331" s="2">
        <v>44238.569456018522</v>
      </c>
      <c r="G2331" s="3">
        <v>1.2766203704813961E-2</v>
      </c>
      <c r="H2331" s="3">
        <v>1109.7186808774304</v>
      </c>
      <c r="I2331" s="3">
        <v>18.495311347957173</v>
      </c>
      <c r="J2331" s="3">
        <v>0.30825518913261957</v>
      </c>
    </row>
    <row r="2332" spans="1:11" x14ac:dyDescent="0.35">
      <c r="A2332">
        <v>2331</v>
      </c>
      <c r="B2332" t="s">
        <v>2</v>
      </c>
      <c r="C2332" t="s">
        <v>72</v>
      </c>
      <c r="D2332" t="s">
        <v>140</v>
      </c>
      <c r="E2332" s="2">
        <v>44238.569571759261</v>
      </c>
      <c r="F2332" s="2">
        <v>44238.577893518515</v>
      </c>
      <c r="G2332" s="3">
        <v>8.3217592546134256E-3</v>
      </c>
      <c r="H2332" s="3">
        <v>723.37962922578447</v>
      </c>
      <c r="I2332" s="3">
        <v>12.056327153763075</v>
      </c>
      <c r="J2332" s="3">
        <v>0.20093878589605124</v>
      </c>
      <c r="K2332" t="s">
        <v>73</v>
      </c>
    </row>
    <row r="2333" spans="1:11" x14ac:dyDescent="0.35">
      <c r="A2333">
        <v>2332</v>
      </c>
      <c r="B2333" t="s">
        <v>16</v>
      </c>
      <c r="C2333" t="s">
        <v>16</v>
      </c>
      <c r="D2333" t="s">
        <v>140</v>
      </c>
      <c r="E2333" s="2">
        <v>44238.577962962961</v>
      </c>
      <c r="F2333" s="2">
        <v>44238.585601851853</v>
      </c>
      <c r="G2333" s="3">
        <v>7.6388888919609599E-3</v>
      </c>
      <c r="H2333" s="3">
        <v>664.02024443332402</v>
      </c>
      <c r="I2333" s="3">
        <v>11.067004073888734</v>
      </c>
      <c r="J2333" s="3">
        <v>0.18445006789814558</v>
      </c>
    </row>
    <row r="2334" spans="1:11" x14ac:dyDescent="0.35">
      <c r="A2334">
        <v>2333</v>
      </c>
      <c r="B2334" t="s">
        <v>11</v>
      </c>
      <c r="C2334" t="s">
        <v>11</v>
      </c>
      <c r="D2334" t="s">
        <v>140</v>
      </c>
      <c r="E2334" s="2">
        <v>44238.585694444446</v>
      </c>
      <c r="F2334" s="2">
        <v>44238.588009259256</v>
      </c>
      <c r="G2334" s="3">
        <v>2.3148148102336563E-3</v>
      </c>
      <c r="H2334" s="3">
        <v>201.21825540974064</v>
      </c>
      <c r="I2334" s="3">
        <v>3.3536375901623439</v>
      </c>
      <c r="J2334" s="3">
        <v>5.5893959836039064E-2</v>
      </c>
    </row>
    <row r="2335" spans="1:11" x14ac:dyDescent="0.35">
      <c r="A2335">
        <v>2334</v>
      </c>
      <c r="B2335" t="s">
        <v>16</v>
      </c>
      <c r="C2335" t="s">
        <v>16</v>
      </c>
      <c r="D2335" t="s">
        <v>140</v>
      </c>
      <c r="E2335" s="2">
        <v>44238.588090277779</v>
      </c>
      <c r="F2335" s="2">
        <v>44238.645428240743</v>
      </c>
      <c r="G2335" s="3">
        <v>5.7337962964083999E-2</v>
      </c>
      <c r="H2335" s="3">
        <v>4984.1761964607094</v>
      </c>
      <c r="I2335" s="3">
        <v>83.069603274345155</v>
      </c>
      <c r="J2335" s="3">
        <v>1.3844933879057526</v>
      </c>
    </row>
    <row r="2336" spans="1:11" x14ac:dyDescent="0.35">
      <c r="A2336">
        <v>2335</v>
      </c>
      <c r="B2336" t="s">
        <v>11</v>
      </c>
      <c r="C2336" t="s">
        <v>11</v>
      </c>
      <c r="D2336" t="s">
        <v>140</v>
      </c>
      <c r="E2336" s="2">
        <v>44238.645636574074</v>
      </c>
      <c r="F2336" s="2">
        <v>44238.64638888889</v>
      </c>
      <c r="G2336" s="3">
        <v>7.5231481605442241E-4</v>
      </c>
      <c r="H2336" s="3">
        <v>65.39593324534269</v>
      </c>
      <c r="I2336" s="3">
        <v>1.0899322207557114</v>
      </c>
      <c r="J2336" s="3">
        <v>1.8165537012595191E-2</v>
      </c>
    </row>
    <row r="2337" spans="1:10" x14ac:dyDescent="0.35">
      <c r="A2337">
        <v>2336</v>
      </c>
      <c r="B2337" t="s">
        <v>2</v>
      </c>
      <c r="C2337" t="s">
        <v>96</v>
      </c>
      <c r="D2337" t="s">
        <v>140</v>
      </c>
      <c r="E2337" s="2">
        <v>44238.646550925929</v>
      </c>
      <c r="F2337" s="2">
        <v>44238.647118055553</v>
      </c>
      <c r="G2337" s="3">
        <v>5.6712962395977229E-4</v>
      </c>
      <c r="H2337" s="3">
        <v>49.298472180091466</v>
      </c>
      <c r="I2337" s="3">
        <v>0.82164120300152443</v>
      </c>
      <c r="J2337" s="3">
        <v>1.3694020050025407E-2</v>
      </c>
    </row>
    <row r="2338" spans="1:10" x14ac:dyDescent="0.35">
      <c r="A2338">
        <v>2337</v>
      </c>
      <c r="B2338" t="s">
        <v>11</v>
      </c>
      <c r="C2338" t="s">
        <v>11</v>
      </c>
      <c r="D2338" t="s">
        <v>140</v>
      </c>
      <c r="E2338" s="2">
        <v>44238.647222222222</v>
      </c>
      <c r="F2338" s="2">
        <v>44238.655648148146</v>
      </c>
      <c r="G2338" s="3">
        <v>8.4259259238024242E-3</v>
      </c>
      <c r="H2338" s="3">
        <v>732.43445095639981</v>
      </c>
      <c r="I2338" s="3">
        <v>12.20724084927333</v>
      </c>
      <c r="J2338" s="3">
        <v>0.2034540141545555</v>
      </c>
    </row>
    <row r="2339" spans="1:10" x14ac:dyDescent="0.35">
      <c r="A2339">
        <v>2338</v>
      </c>
      <c r="B2339" t="s">
        <v>2</v>
      </c>
      <c r="C2339" t="s">
        <v>96</v>
      </c>
      <c r="D2339" t="s">
        <v>140</v>
      </c>
      <c r="E2339" s="2">
        <v>44238.655833333331</v>
      </c>
      <c r="F2339" s="2">
        <v>44238.664398148147</v>
      </c>
      <c r="G2339" s="3">
        <v>8.5648148160544224E-3</v>
      </c>
      <c r="H2339" s="3">
        <v>744.50754659722031</v>
      </c>
      <c r="I2339" s="3">
        <v>12.408459109953672</v>
      </c>
      <c r="J2339" s="3">
        <v>0.2068076518325612</v>
      </c>
    </row>
    <row r="2340" spans="1:10" x14ac:dyDescent="0.35">
      <c r="A2340">
        <v>2339</v>
      </c>
      <c r="B2340" t="s">
        <v>11</v>
      </c>
      <c r="C2340" t="s">
        <v>11</v>
      </c>
      <c r="D2340" t="s">
        <v>140</v>
      </c>
      <c r="E2340" s="2">
        <v>44238.664502314816</v>
      </c>
      <c r="F2340" s="2">
        <v>44238.669629629629</v>
      </c>
      <c r="G2340" s="3">
        <v>5.1273148128530011E-3</v>
      </c>
      <c r="H2340" s="3">
        <v>445.69843644410645</v>
      </c>
      <c r="I2340" s="3">
        <v>7.428307274068441</v>
      </c>
      <c r="J2340" s="3">
        <v>0.12380512123447401</v>
      </c>
    </row>
    <row r="2341" spans="1:10" x14ac:dyDescent="0.35">
      <c r="A2341">
        <v>2340</v>
      </c>
      <c r="B2341" t="s">
        <v>2</v>
      </c>
      <c r="C2341" t="s">
        <v>96</v>
      </c>
      <c r="D2341" t="s">
        <v>140</v>
      </c>
      <c r="E2341" s="2">
        <v>44238.669872685183</v>
      </c>
      <c r="F2341" s="2">
        <v>44238.681851851848</v>
      </c>
      <c r="G2341" s="3">
        <v>1.1979166665696539E-2</v>
      </c>
      <c r="H2341" s="3">
        <v>1041.3044737218827</v>
      </c>
      <c r="I2341" s="3">
        <v>17.35507456203138</v>
      </c>
      <c r="J2341" s="3">
        <v>0.28925124270052299</v>
      </c>
    </row>
    <row r="2342" spans="1:10" x14ac:dyDescent="0.35">
      <c r="A2342">
        <v>2341</v>
      </c>
      <c r="B2342" t="s">
        <v>2</v>
      </c>
      <c r="C2342" t="s">
        <v>96</v>
      </c>
      <c r="D2342" t="s">
        <v>140</v>
      </c>
      <c r="E2342" s="2">
        <v>44238.682141203702</v>
      </c>
      <c r="F2342" s="2">
        <v>44238.695798611108</v>
      </c>
      <c r="G2342" s="3">
        <v>1.3657407405844424E-2</v>
      </c>
      <c r="H2342" s="3">
        <v>1187.1877091311217</v>
      </c>
      <c r="I2342" s="3">
        <v>19.786461818852029</v>
      </c>
      <c r="J2342" s="3">
        <v>0.32977436364753382</v>
      </c>
    </row>
    <row r="2343" spans="1:10" x14ac:dyDescent="0.35">
      <c r="A2343">
        <v>2342</v>
      </c>
      <c r="B2343" t="s">
        <v>11</v>
      </c>
      <c r="C2343" t="s">
        <v>11</v>
      </c>
      <c r="D2343" t="s">
        <v>140</v>
      </c>
      <c r="E2343" s="2">
        <v>44239.245891203704</v>
      </c>
      <c r="F2343" s="2">
        <v>44239.251967592594</v>
      </c>
      <c r="G2343" s="3">
        <v>6.0763888905057684E-3</v>
      </c>
      <c r="H2343" s="3">
        <v>528.19792163645411</v>
      </c>
      <c r="I2343" s="3">
        <v>8.803298693940901</v>
      </c>
      <c r="J2343" s="3">
        <v>0.14672164489901501</v>
      </c>
    </row>
    <row r="2344" spans="1:10" x14ac:dyDescent="0.35">
      <c r="A2344">
        <v>2343</v>
      </c>
      <c r="B2344" t="s">
        <v>2</v>
      </c>
      <c r="C2344" t="s">
        <v>96</v>
      </c>
      <c r="D2344" t="s">
        <v>140</v>
      </c>
      <c r="E2344" s="2">
        <v>44239.252268518518</v>
      </c>
      <c r="F2344" s="2">
        <v>44239.305405092593</v>
      </c>
      <c r="G2344" s="3">
        <v>5.3136574075324461E-2</v>
      </c>
      <c r="H2344" s="3">
        <v>4618.9650621804985</v>
      </c>
      <c r="I2344" s="3">
        <v>76.982751036341639</v>
      </c>
      <c r="J2344" s="3">
        <v>1.2830458506056941</v>
      </c>
    </row>
    <row r="2345" spans="1:10" x14ac:dyDescent="0.35">
      <c r="A2345">
        <v>2344</v>
      </c>
      <c r="B2345" t="s">
        <v>16</v>
      </c>
      <c r="C2345" t="s">
        <v>16</v>
      </c>
      <c r="D2345" t="s">
        <v>140</v>
      </c>
      <c r="E2345" s="2">
        <v>44239.305497685185</v>
      </c>
      <c r="F2345" s="2">
        <v>44239.308865740742</v>
      </c>
      <c r="G2345" s="3">
        <v>3.3680555570754223E-3</v>
      </c>
      <c r="H2345" s="3">
        <v>292.77256233270361</v>
      </c>
      <c r="I2345" s="3">
        <v>4.8795427055450604</v>
      </c>
      <c r="J2345" s="3">
        <v>8.1325711759084346E-2</v>
      </c>
    </row>
    <row r="2346" spans="1:10" x14ac:dyDescent="0.35">
      <c r="A2346">
        <v>2345</v>
      </c>
      <c r="B2346" t="s">
        <v>2</v>
      </c>
      <c r="C2346" t="s">
        <v>96</v>
      </c>
      <c r="D2346" t="s">
        <v>140</v>
      </c>
      <c r="E2346" s="2">
        <v>44239.309039351851</v>
      </c>
      <c r="F2346" s="2">
        <v>44239.317754629628</v>
      </c>
      <c r="G2346" s="3">
        <v>8.7152777778101154E-3</v>
      </c>
      <c r="H2346" s="3">
        <v>757.58673311979442</v>
      </c>
      <c r="I2346" s="3">
        <v>12.626445551996573</v>
      </c>
      <c r="J2346" s="3">
        <v>0.2104407591999429</v>
      </c>
    </row>
    <row r="2347" spans="1:10" x14ac:dyDescent="0.35">
      <c r="A2347">
        <v>2346</v>
      </c>
      <c r="B2347" t="s">
        <v>2</v>
      </c>
      <c r="C2347" t="s">
        <v>96</v>
      </c>
      <c r="D2347" t="s">
        <v>140</v>
      </c>
      <c r="E2347" s="2">
        <v>44239.317986111113</v>
      </c>
      <c r="F2347" s="2">
        <v>44239.324236111112</v>
      </c>
      <c r="G2347" s="3">
        <v>6.2499999985448085E-3</v>
      </c>
      <c r="H2347" s="3">
        <v>543.28929055500771</v>
      </c>
      <c r="I2347" s="3">
        <v>9.0548215092501287</v>
      </c>
      <c r="J2347" s="3">
        <v>0.15091369182083547</v>
      </c>
    </row>
    <row r="2348" spans="1:10" x14ac:dyDescent="0.35">
      <c r="A2348">
        <v>2347</v>
      </c>
      <c r="B2348" t="s">
        <v>2</v>
      </c>
      <c r="C2348" t="s">
        <v>96</v>
      </c>
      <c r="D2348" t="s">
        <v>140</v>
      </c>
      <c r="E2348" s="2">
        <v>44239.324421296296</v>
      </c>
      <c r="F2348" s="2">
        <v>44239.350416666668</v>
      </c>
      <c r="G2348" s="3">
        <v>2.5995370371674653E-2</v>
      </c>
      <c r="H2348" s="3">
        <v>2259.6810128368093</v>
      </c>
      <c r="I2348" s="3">
        <v>37.661350213946818</v>
      </c>
      <c r="J2348" s="3">
        <v>0.62768917023244697</v>
      </c>
    </row>
    <row r="2349" spans="1:10" x14ac:dyDescent="0.35">
      <c r="A2349">
        <v>2348</v>
      </c>
      <c r="B2349" t="s">
        <v>2</v>
      </c>
      <c r="C2349" t="s">
        <v>96</v>
      </c>
      <c r="D2349" t="s">
        <v>140</v>
      </c>
      <c r="E2349" s="2">
        <v>44239.35052083333</v>
      </c>
      <c r="F2349" s="2">
        <v>44239.359351851854</v>
      </c>
      <c r="G2349" s="3">
        <v>8.8310185237787664E-3</v>
      </c>
      <c r="H2349" s="3">
        <v>767.64764636463542</v>
      </c>
      <c r="I2349" s="3">
        <v>12.794127439410591</v>
      </c>
      <c r="J2349" s="3">
        <v>0.21323545732350985</v>
      </c>
    </row>
    <row r="2350" spans="1:10" x14ac:dyDescent="0.35">
      <c r="A2350">
        <v>2349</v>
      </c>
      <c r="B2350" t="s">
        <v>11</v>
      </c>
      <c r="C2350" t="s">
        <v>11</v>
      </c>
      <c r="D2350" t="s">
        <v>140</v>
      </c>
      <c r="E2350" s="2">
        <v>44239.359490740739</v>
      </c>
      <c r="F2350" s="2">
        <v>44239.367129629631</v>
      </c>
      <c r="G2350" s="3">
        <v>7.6388888919609599E-3</v>
      </c>
      <c r="H2350" s="3">
        <v>664.02024443332402</v>
      </c>
      <c r="I2350" s="3">
        <v>11.067004073888734</v>
      </c>
      <c r="J2350" s="3">
        <v>0.18445006789814558</v>
      </c>
    </row>
    <row r="2351" spans="1:10" x14ac:dyDescent="0.35">
      <c r="A2351">
        <v>2350</v>
      </c>
      <c r="B2351" t="s">
        <v>2</v>
      </c>
      <c r="C2351" t="s">
        <v>96</v>
      </c>
      <c r="D2351" t="s">
        <v>140</v>
      </c>
      <c r="E2351" s="2">
        <v>44239.367268518516</v>
      </c>
      <c r="F2351" s="2">
        <v>44239.379699074074</v>
      </c>
      <c r="G2351" s="3">
        <v>1.2430555558239575E-2</v>
      </c>
      <c r="H2351" s="3">
        <v>1080.5420339220771</v>
      </c>
      <c r="I2351" s="3">
        <v>18.009033898701283</v>
      </c>
      <c r="J2351" s="3">
        <v>0.30015056497835474</v>
      </c>
    </row>
    <row r="2352" spans="1:10" x14ac:dyDescent="0.35">
      <c r="A2352">
        <v>2351</v>
      </c>
      <c r="B2352" t="s">
        <v>2</v>
      </c>
      <c r="C2352" t="s">
        <v>96</v>
      </c>
      <c r="D2352" t="s">
        <v>140</v>
      </c>
      <c r="E2352" s="2">
        <v>44239.379988425928</v>
      </c>
      <c r="F2352" s="2">
        <v>44239.38521990741</v>
      </c>
      <c r="G2352" s="3">
        <v>5.2314814820419997E-3</v>
      </c>
      <c r="H2352" s="3">
        <v>454.75325817472179</v>
      </c>
      <c r="I2352" s="3">
        <v>7.5792209695786967</v>
      </c>
      <c r="J2352" s="3">
        <v>0.12632034949297827</v>
      </c>
    </row>
    <row r="2353" spans="1:11" x14ac:dyDescent="0.35">
      <c r="A2353">
        <v>2352</v>
      </c>
      <c r="B2353" t="s">
        <v>2</v>
      </c>
      <c r="C2353" t="s">
        <v>96</v>
      </c>
      <c r="D2353" t="s">
        <v>140</v>
      </c>
      <c r="E2353" s="2">
        <v>44239.385347222225</v>
      </c>
      <c r="F2353" s="2">
        <v>44239.404999999999</v>
      </c>
      <c r="G2353" s="3">
        <v>1.9652777773444541E-2</v>
      </c>
      <c r="H2353" s="3">
        <v>1708.3429914329399</v>
      </c>
      <c r="I2353" s="3">
        <v>28.472383190548999</v>
      </c>
      <c r="J2353" s="3">
        <v>0.47453971984248333</v>
      </c>
    </row>
    <row r="2354" spans="1:11" x14ac:dyDescent="0.35">
      <c r="A2354">
        <v>2353</v>
      </c>
      <c r="B2354" t="s">
        <v>2</v>
      </c>
      <c r="C2354" t="s">
        <v>96</v>
      </c>
      <c r="D2354" t="s">
        <v>140</v>
      </c>
      <c r="E2354" s="2">
        <v>44239.405150462961</v>
      </c>
      <c r="F2354" s="2">
        <v>44239.415196759262</v>
      </c>
      <c r="G2354" s="3">
        <v>1.004629630187992E-2</v>
      </c>
      <c r="H2354" s="3">
        <v>873.2872306919262</v>
      </c>
      <c r="I2354" s="3">
        <v>14.554787178198771</v>
      </c>
      <c r="J2354" s="3">
        <v>0.24257978630331284</v>
      </c>
    </row>
    <row r="2355" spans="1:11" x14ac:dyDescent="0.35">
      <c r="A2355">
        <v>2354</v>
      </c>
      <c r="B2355" t="s">
        <v>2</v>
      </c>
      <c r="C2355" t="s">
        <v>96</v>
      </c>
      <c r="D2355" t="s">
        <v>140</v>
      </c>
      <c r="E2355" s="2">
        <v>44239.41547453704</v>
      </c>
      <c r="F2355" s="2">
        <v>44239.428298611114</v>
      </c>
      <c r="G2355" s="3">
        <v>1.2824074074160308E-2</v>
      </c>
      <c r="H2355" s="3">
        <v>1114.7491371836149</v>
      </c>
      <c r="I2355" s="3">
        <v>18.579152286393583</v>
      </c>
      <c r="J2355" s="3">
        <v>0.30965253810655974</v>
      </c>
    </row>
    <row r="2356" spans="1:11" x14ac:dyDescent="0.35">
      <c r="A2356">
        <v>2355</v>
      </c>
      <c r="B2356" t="s">
        <v>11</v>
      </c>
      <c r="C2356" t="s">
        <v>11</v>
      </c>
      <c r="D2356" t="s">
        <v>140</v>
      </c>
      <c r="E2356" s="2">
        <v>44239.428738425922</v>
      </c>
      <c r="F2356" s="2">
        <v>44239.439016203702</v>
      </c>
      <c r="G2356" s="3">
        <v>1.0277777779265307E-2</v>
      </c>
      <c r="H2356" s="3">
        <v>893.40905591666433</v>
      </c>
      <c r="I2356" s="3">
        <v>14.890150931944406</v>
      </c>
      <c r="J2356" s="3">
        <v>0.24816918219907344</v>
      </c>
    </row>
    <row r="2357" spans="1:11" x14ac:dyDescent="0.35">
      <c r="A2357">
        <v>2356</v>
      </c>
      <c r="B2357" t="s">
        <v>16</v>
      </c>
      <c r="C2357" t="s">
        <v>16</v>
      </c>
      <c r="D2357" t="s">
        <v>140</v>
      </c>
      <c r="E2357" s="2">
        <v>44239.439166666663</v>
      </c>
      <c r="F2357" s="2">
        <v>44239.458807870367</v>
      </c>
      <c r="G2357" s="3">
        <v>1.9641203703940846E-2</v>
      </c>
      <c r="H2357" s="3">
        <v>1707.3369005511861</v>
      </c>
      <c r="I2357" s="3">
        <v>28.455615009186435</v>
      </c>
      <c r="J2357" s="3">
        <v>0.47426025015310724</v>
      </c>
    </row>
    <row r="2358" spans="1:11" x14ac:dyDescent="0.35">
      <c r="A2358">
        <v>2357</v>
      </c>
      <c r="B2358" t="s">
        <v>11</v>
      </c>
      <c r="C2358" t="s">
        <v>11</v>
      </c>
      <c r="D2358" t="s">
        <v>140</v>
      </c>
      <c r="E2358" s="2">
        <v>44239.458958333336</v>
      </c>
      <c r="F2358" s="2">
        <v>44239.474282407406</v>
      </c>
      <c r="G2358" s="3">
        <v>1.5324074069212656E-2</v>
      </c>
      <c r="H2358" s="3">
        <v>1332.0648530261349</v>
      </c>
      <c r="I2358" s="3">
        <v>22.201080883768913</v>
      </c>
      <c r="J2358" s="3">
        <v>0.37001801472948187</v>
      </c>
    </row>
    <row r="2359" spans="1:11" x14ac:dyDescent="0.35">
      <c r="A2359">
        <v>2358</v>
      </c>
      <c r="B2359" t="s">
        <v>11</v>
      </c>
      <c r="C2359" t="s">
        <v>11</v>
      </c>
      <c r="D2359" t="s">
        <v>140</v>
      </c>
      <c r="E2359" s="2">
        <v>44239.474386574075</v>
      </c>
      <c r="F2359" s="2">
        <v>44239.477731481478</v>
      </c>
      <c r="G2359" s="3">
        <v>3.3449074035161175E-3</v>
      </c>
      <c r="H2359" s="3">
        <v>290.76037930425218</v>
      </c>
      <c r="I2359" s="3">
        <v>4.8460063217375362</v>
      </c>
      <c r="J2359" s="3">
        <v>8.0766772028958933E-2</v>
      </c>
    </row>
    <row r="2360" spans="1:11" x14ac:dyDescent="0.35">
      <c r="A2360">
        <v>2359</v>
      </c>
      <c r="B2360" t="s">
        <v>2</v>
      </c>
      <c r="C2360" t="s">
        <v>96</v>
      </c>
      <c r="D2360" t="s">
        <v>140</v>
      </c>
      <c r="E2360" s="2">
        <v>44239.477916666663</v>
      </c>
      <c r="F2360" s="2">
        <v>44239.478414351855</v>
      </c>
      <c r="G2360" s="3">
        <v>4.9768519238568842E-4</v>
      </c>
      <c r="H2360" s="3">
        <v>43.261925624625206</v>
      </c>
      <c r="I2360" s="3">
        <v>0.72103209374375343</v>
      </c>
      <c r="J2360" s="3">
        <v>1.201720156239589E-2</v>
      </c>
    </row>
    <row r="2361" spans="1:11" x14ac:dyDescent="0.35">
      <c r="A2361">
        <v>2360</v>
      </c>
      <c r="B2361" t="s">
        <v>11</v>
      </c>
      <c r="C2361" t="s">
        <v>11</v>
      </c>
      <c r="D2361" t="s">
        <v>140</v>
      </c>
      <c r="E2361" s="2">
        <v>44239.478506944448</v>
      </c>
      <c r="F2361" s="2">
        <v>44239.526412037034</v>
      </c>
      <c r="G2361" s="3">
        <v>4.7905092586006504E-2</v>
      </c>
      <c r="H2361" s="3">
        <v>4164.211803373305</v>
      </c>
      <c r="I2361" s="3">
        <v>69.403530056221754</v>
      </c>
      <c r="J2361" s="3">
        <v>1.1567255009370292</v>
      </c>
    </row>
    <row r="2362" spans="1:11" x14ac:dyDescent="0.35">
      <c r="A2362">
        <v>2361</v>
      </c>
      <c r="B2362" t="s">
        <v>11</v>
      </c>
      <c r="C2362" t="s">
        <v>11</v>
      </c>
      <c r="D2362" t="s">
        <v>140</v>
      </c>
      <c r="E2362" s="2">
        <v>44241.416967592595</v>
      </c>
      <c r="F2362" s="2">
        <v>44241.757002314815</v>
      </c>
      <c r="G2362" s="3">
        <v>0.34003472221957054</v>
      </c>
      <c r="H2362" s="3">
        <v>29557.955686680329</v>
      </c>
      <c r="I2362" s="3">
        <v>492.63259477800545</v>
      </c>
      <c r="J2362" s="3">
        <v>8.2105432463000909</v>
      </c>
    </row>
    <row r="2363" spans="1:11" x14ac:dyDescent="0.35">
      <c r="A2363">
        <v>2362</v>
      </c>
      <c r="B2363" t="s">
        <v>11</v>
      </c>
      <c r="C2363" t="s">
        <v>11</v>
      </c>
      <c r="D2363" t="s">
        <v>140</v>
      </c>
      <c r="E2363" s="2">
        <v>44242.333344907405</v>
      </c>
      <c r="F2363" s="2">
        <v>44242.373715277776</v>
      </c>
      <c r="G2363" s="3">
        <v>4.03703703705105E-2</v>
      </c>
      <c r="H2363" s="3">
        <v>3509.2463813030686</v>
      </c>
      <c r="I2363" s="3">
        <v>58.487439688384477</v>
      </c>
      <c r="J2363" s="3">
        <v>0.97479066147307458</v>
      </c>
    </row>
    <row r="2364" spans="1:11" x14ac:dyDescent="0.35">
      <c r="A2364">
        <v>2363</v>
      </c>
      <c r="B2364" t="s">
        <v>2</v>
      </c>
      <c r="C2364" t="s">
        <v>96</v>
      </c>
      <c r="D2364" t="s">
        <v>140</v>
      </c>
      <c r="E2364" s="2">
        <v>44242.373900462961</v>
      </c>
      <c r="F2364" s="2">
        <v>44242.380543981482</v>
      </c>
      <c r="G2364" s="3">
        <v>6.6435185217414983E-3</v>
      </c>
      <c r="H2364" s="3">
        <v>577.49639444901754</v>
      </c>
      <c r="I2364" s="3">
        <v>9.6249399074836255</v>
      </c>
      <c r="J2364" s="3">
        <v>0.1604156651247271</v>
      </c>
    </row>
    <row r="2365" spans="1:11" x14ac:dyDescent="0.35">
      <c r="A2365">
        <v>2364</v>
      </c>
      <c r="B2365" t="s">
        <v>11</v>
      </c>
      <c r="C2365" t="s">
        <v>11</v>
      </c>
      <c r="D2365" t="s">
        <v>140</v>
      </c>
      <c r="E2365" s="2">
        <v>44242.380682870367</v>
      </c>
      <c r="F2365" s="2">
        <v>44242.41615740741</v>
      </c>
      <c r="G2365" s="3">
        <v>3.5474537042318843E-2</v>
      </c>
      <c r="H2365" s="3">
        <v>3083.669770716172</v>
      </c>
      <c r="I2365" s="3">
        <v>51.394496178602864</v>
      </c>
      <c r="J2365" s="3">
        <v>0.85657493631004777</v>
      </c>
    </row>
    <row r="2366" spans="1:11" x14ac:dyDescent="0.35">
      <c r="A2366">
        <v>2365</v>
      </c>
      <c r="B2366" t="s">
        <v>11</v>
      </c>
      <c r="C2366" t="s">
        <v>11</v>
      </c>
      <c r="D2366" t="s">
        <v>140</v>
      </c>
      <c r="E2366" s="2">
        <v>44243.332962962966</v>
      </c>
      <c r="F2366" s="2">
        <v>44243.376574074071</v>
      </c>
      <c r="G2366" s="3">
        <v>4.3611111104837619E-2</v>
      </c>
      <c r="H2366" s="3">
        <v>3790.9519388767053</v>
      </c>
      <c r="I2366" s="3">
        <v>63.182532314611755</v>
      </c>
      <c r="J2366" s="3">
        <v>1.0530422052435293</v>
      </c>
    </row>
    <row r="2367" spans="1:11" x14ac:dyDescent="0.35">
      <c r="A2367">
        <v>2366</v>
      </c>
      <c r="B2367" t="s">
        <v>2</v>
      </c>
      <c r="C2367" t="s">
        <v>136</v>
      </c>
      <c r="D2367" t="s">
        <v>140</v>
      </c>
      <c r="E2367" s="2">
        <v>44243.376712962963</v>
      </c>
      <c r="F2367" s="2">
        <v>44243.414155092592</v>
      </c>
      <c r="G2367" s="3">
        <v>3.7442129629198462E-2</v>
      </c>
      <c r="H2367" s="3">
        <v>3254.7052876563334</v>
      </c>
      <c r="I2367" s="3">
        <v>54.245088127605555</v>
      </c>
      <c r="J2367" s="3">
        <v>0.90408480212675923</v>
      </c>
      <c r="K2367" t="s">
        <v>90</v>
      </c>
    </row>
    <row r="2368" spans="1:11" x14ac:dyDescent="0.35">
      <c r="A2368">
        <v>2367</v>
      </c>
      <c r="B2368" t="s">
        <v>2</v>
      </c>
      <c r="C2368" t="s">
        <v>72</v>
      </c>
      <c r="D2368" t="s">
        <v>140</v>
      </c>
      <c r="E2368" s="2">
        <v>44243.414409722223</v>
      </c>
      <c r="F2368" s="2">
        <v>44243.464085648149</v>
      </c>
      <c r="G2368" s="3">
        <v>4.9675925925839692E-2</v>
      </c>
      <c r="H2368" s="3">
        <v>4318.1437696314051</v>
      </c>
      <c r="I2368" s="3">
        <v>71.969062827190086</v>
      </c>
      <c r="J2368" s="3">
        <v>1.1994843804531681</v>
      </c>
      <c r="K2368" t="s">
        <v>73</v>
      </c>
    </row>
    <row r="2369" spans="1:11" x14ac:dyDescent="0.35">
      <c r="A2369">
        <v>2368</v>
      </c>
      <c r="B2369" t="s">
        <v>16</v>
      </c>
      <c r="C2369" t="s">
        <v>16</v>
      </c>
      <c r="D2369" t="s">
        <v>140</v>
      </c>
      <c r="E2369" s="2">
        <v>44243.464189814818</v>
      </c>
      <c r="F2369" s="2">
        <v>44243.507905092592</v>
      </c>
      <c r="G2369" s="3">
        <v>4.3715277774026617E-2</v>
      </c>
      <c r="H2369" s="3">
        <v>3800.0067606073203</v>
      </c>
      <c r="I2369" s="3">
        <v>63.333446010122003</v>
      </c>
      <c r="J2369" s="3">
        <v>1.0555574335020335</v>
      </c>
    </row>
    <row r="2370" spans="1:11" x14ac:dyDescent="0.35">
      <c r="A2370">
        <v>2369</v>
      </c>
      <c r="B2370" t="s">
        <v>11</v>
      </c>
      <c r="C2370" t="s">
        <v>11</v>
      </c>
      <c r="D2370" t="s">
        <v>140</v>
      </c>
      <c r="E2370" s="2">
        <v>44243.508043981485</v>
      </c>
      <c r="F2370" s="2">
        <v>44243.720578703702</v>
      </c>
      <c r="G2370" s="3">
        <v>0.21253472221724223</v>
      </c>
      <c r="H2370" s="3">
        <v>18474.8541565753</v>
      </c>
      <c r="I2370" s="3">
        <v>307.91423594292166</v>
      </c>
      <c r="J2370" s="3">
        <v>5.1319039323820279</v>
      </c>
    </row>
    <row r="2371" spans="1:11" x14ac:dyDescent="0.35">
      <c r="A2371">
        <v>2370</v>
      </c>
      <c r="B2371" t="s">
        <v>2</v>
      </c>
      <c r="C2371" t="s">
        <v>72</v>
      </c>
      <c r="D2371" t="s">
        <v>140</v>
      </c>
      <c r="E2371" s="2">
        <v>44243.333333333336</v>
      </c>
      <c r="F2371" s="2">
        <v>44243.354166666664</v>
      </c>
      <c r="G2371" s="3">
        <v>2.0833333328482695E-2</v>
      </c>
      <c r="H2371" s="3">
        <v>1810.9643018500258</v>
      </c>
      <c r="I2371" s="3">
        <v>30.182738364167097</v>
      </c>
      <c r="J2371" s="3">
        <v>0.50304563940278491</v>
      </c>
      <c r="K2371" t="s">
        <v>73</v>
      </c>
    </row>
    <row r="2372" spans="1:11" x14ac:dyDescent="0.35">
      <c r="A2372">
        <v>2371</v>
      </c>
      <c r="B2372" t="s">
        <v>2</v>
      </c>
      <c r="C2372" t="s">
        <v>136</v>
      </c>
      <c r="D2372" t="s">
        <v>140</v>
      </c>
      <c r="E2372" s="2">
        <v>44244.352210648147</v>
      </c>
      <c r="F2372" s="2">
        <v>44244.454050925924</v>
      </c>
      <c r="G2372" s="3">
        <v>0.10184027777722804</v>
      </c>
      <c r="H2372" s="3">
        <v>8852.5971642235781</v>
      </c>
      <c r="I2372" s="3">
        <v>147.54328607039298</v>
      </c>
      <c r="J2372" s="3">
        <v>2.4590547678398829</v>
      </c>
      <c r="K2372" t="s">
        <v>90</v>
      </c>
    </row>
    <row r="2373" spans="1:11" x14ac:dyDescent="0.35">
      <c r="A2373">
        <v>2372</v>
      </c>
      <c r="B2373" t="s">
        <v>11</v>
      </c>
      <c r="C2373" t="s">
        <v>11</v>
      </c>
      <c r="D2373" t="s">
        <v>140</v>
      </c>
      <c r="E2373" s="2">
        <v>44245.341053240743</v>
      </c>
      <c r="F2373" s="2">
        <v>44245.3437037037</v>
      </c>
      <c r="G2373" s="3">
        <v>2.6504629568080418E-3</v>
      </c>
      <c r="H2373" s="3">
        <v>230.39490236509403</v>
      </c>
      <c r="I2373" s="3">
        <v>3.839915039418234</v>
      </c>
      <c r="J2373" s="3">
        <v>6.3998583990303906E-2</v>
      </c>
    </row>
    <row r="2374" spans="1:11" x14ac:dyDescent="0.35">
      <c r="A2374">
        <v>2373</v>
      </c>
      <c r="B2374" t="s">
        <v>2</v>
      </c>
      <c r="C2374" t="s">
        <v>96</v>
      </c>
      <c r="D2374" t="s">
        <v>140</v>
      </c>
      <c r="E2374" s="2">
        <v>44245.343831018516</v>
      </c>
      <c r="F2374" s="2">
        <v>44245.346979166665</v>
      </c>
      <c r="G2374" s="3">
        <v>3.1481481491937302E-3</v>
      </c>
      <c r="H2374" s="3">
        <v>273.6568279897192</v>
      </c>
      <c r="I2374" s="3">
        <v>4.5609471331619869</v>
      </c>
      <c r="J2374" s="3">
        <v>7.6015785552699777E-2</v>
      </c>
    </row>
    <row r="2375" spans="1:11" x14ac:dyDescent="0.35">
      <c r="A2375">
        <v>2374</v>
      </c>
      <c r="B2375" t="s">
        <v>2</v>
      </c>
      <c r="C2375" t="s">
        <v>136</v>
      </c>
      <c r="D2375" t="s">
        <v>140</v>
      </c>
      <c r="E2375" s="2">
        <v>44245.347129629627</v>
      </c>
      <c r="F2375" s="2">
        <v>44245.351840277777</v>
      </c>
      <c r="G2375" s="3">
        <v>4.7106481506489217E-3</v>
      </c>
      <c r="H2375" s="3">
        <v>409.47915078658912</v>
      </c>
      <c r="I2375" s="3">
        <v>6.824652513109819</v>
      </c>
      <c r="J2375" s="3">
        <v>0.11374420855183032</v>
      </c>
      <c r="K2375" t="s">
        <v>90</v>
      </c>
    </row>
    <row r="2376" spans="1:11" x14ac:dyDescent="0.35">
      <c r="A2376">
        <v>2375</v>
      </c>
      <c r="B2376" t="s">
        <v>11</v>
      </c>
      <c r="C2376" t="s">
        <v>11</v>
      </c>
      <c r="D2376" t="s">
        <v>140</v>
      </c>
      <c r="E2376" s="2">
        <v>44245.351967592593</v>
      </c>
      <c r="F2376" s="2">
        <v>44245.357581018521</v>
      </c>
      <c r="G2376" s="3">
        <v>5.6134259284590371E-3</v>
      </c>
      <c r="H2376" s="3">
        <v>487.95427055450597</v>
      </c>
      <c r="I2376" s="3">
        <v>8.1325711759084331</v>
      </c>
      <c r="J2376" s="3">
        <v>0.13554285293180721</v>
      </c>
    </row>
    <row r="2377" spans="1:11" x14ac:dyDescent="0.35">
      <c r="A2377">
        <v>2376</v>
      </c>
      <c r="B2377" t="s">
        <v>2</v>
      </c>
      <c r="C2377" t="s">
        <v>136</v>
      </c>
      <c r="D2377" t="s">
        <v>140</v>
      </c>
      <c r="E2377" s="2">
        <v>44245.357731481483</v>
      </c>
      <c r="F2377" s="2">
        <v>44245.370462962965</v>
      </c>
      <c r="G2377" s="3">
        <v>1.2731481481750961E-2</v>
      </c>
      <c r="H2377" s="3">
        <v>1106.7004069672253</v>
      </c>
      <c r="I2377" s="3">
        <v>18.445006782787086</v>
      </c>
      <c r="J2377" s="3">
        <v>0.30741677971311809</v>
      </c>
      <c r="K2377" t="s">
        <v>90</v>
      </c>
    </row>
    <row r="2378" spans="1:11" x14ac:dyDescent="0.35">
      <c r="A2378">
        <v>2377</v>
      </c>
      <c r="B2378" t="s">
        <v>2</v>
      </c>
      <c r="C2378" t="s">
        <v>72</v>
      </c>
      <c r="D2378" t="s">
        <v>140</v>
      </c>
      <c r="E2378" s="2">
        <v>44245.37060185185</v>
      </c>
      <c r="F2378" s="2">
        <v>44245.408645833333</v>
      </c>
      <c r="G2378" s="3">
        <v>3.8043981483497191E-2</v>
      </c>
      <c r="H2378" s="3">
        <v>3307.022034379102</v>
      </c>
      <c r="I2378" s="3">
        <v>55.117033906318369</v>
      </c>
      <c r="J2378" s="3">
        <v>0.91861723177197285</v>
      </c>
      <c r="K2378" t="s">
        <v>73</v>
      </c>
    </row>
    <row r="2379" spans="1:11" x14ac:dyDescent="0.35">
      <c r="A2379">
        <v>2378</v>
      </c>
      <c r="B2379" t="s">
        <v>2</v>
      </c>
      <c r="C2379" t="s">
        <v>136</v>
      </c>
      <c r="D2379" t="s">
        <v>140</v>
      </c>
      <c r="E2379" s="2">
        <v>44245.408761574072</v>
      </c>
      <c r="F2379" s="2">
        <v>44245.492060185185</v>
      </c>
      <c r="G2379" s="3">
        <v>8.3298611112695653E-2</v>
      </c>
      <c r="H2379" s="3">
        <v>7240.8389353873126</v>
      </c>
      <c r="I2379" s="3">
        <v>120.68064892312188</v>
      </c>
      <c r="J2379" s="3">
        <v>2.011344148718698</v>
      </c>
      <c r="K2379" t="s">
        <v>90</v>
      </c>
    </row>
    <row r="2380" spans="1:11" x14ac:dyDescent="0.35">
      <c r="A2380">
        <v>2379</v>
      </c>
      <c r="B2380" t="s">
        <v>16</v>
      </c>
      <c r="C2380" t="s">
        <v>16</v>
      </c>
      <c r="D2380" t="s">
        <v>140</v>
      </c>
      <c r="E2380" s="2">
        <v>44245.492152777777</v>
      </c>
      <c r="F2380" s="2">
        <v>44245.535520833335</v>
      </c>
      <c r="G2380" s="3">
        <v>4.3368055557948537E-2</v>
      </c>
      <c r="H2380" s="3">
        <v>3769.8240227702136</v>
      </c>
      <c r="I2380" s="3">
        <v>62.830400379503558</v>
      </c>
      <c r="J2380" s="3">
        <v>1.0471733396583927</v>
      </c>
    </row>
    <row r="2381" spans="1:11" x14ac:dyDescent="0.35">
      <c r="A2381">
        <v>2380</v>
      </c>
      <c r="B2381" t="s">
        <v>2</v>
      </c>
      <c r="C2381" t="s">
        <v>136</v>
      </c>
      <c r="D2381" t="s">
        <v>140</v>
      </c>
      <c r="E2381" s="2">
        <v>44245.535717592589</v>
      </c>
      <c r="F2381" s="2">
        <v>44245.537743055553</v>
      </c>
      <c r="G2381" s="3">
        <v>2.0254629635019228E-3</v>
      </c>
      <c r="H2381" s="3">
        <v>176.06597387881803</v>
      </c>
      <c r="I2381" s="3">
        <v>2.9344328979803005</v>
      </c>
      <c r="J2381" s="3">
        <v>4.890721496633834E-2</v>
      </c>
      <c r="K2381" t="s">
        <v>90</v>
      </c>
    </row>
    <row r="2382" spans="1:11" x14ac:dyDescent="0.35">
      <c r="A2382">
        <v>2381</v>
      </c>
      <c r="B2382" t="s">
        <v>2</v>
      </c>
      <c r="C2382" t="s">
        <v>96</v>
      </c>
      <c r="D2382" t="s">
        <v>140</v>
      </c>
      <c r="E2382" s="2">
        <v>44245.537870370368</v>
      </c>
      <c r="F2382" s="2">
        <v>44245.564733796295</v>
      </c>
      <c r="G2382" s="3">
        <v>2.6863425926421769E-2</v>
      </c>
      <c r="H2382" s="3">
        <v>2335.1378586945207</v>
      </c>
      <c r="I2382" s="3">
        <v>38.918964311575344</v>
      </c>
      <c r="J2382" s="3">
        <v>0.64864940519292236</v>
      </c>
    </row>
    <row r="2383" spans="1:11" x14ac:dyDescent="0.35">
      <c r="A2383">
        <v>2382</v>
      </c>
      <c r="B2383" t="s">
        <v>2</v>
      </c>
      <c r="C2383" t="s">
        <v>136</v>
      </c>
      <c r="D2383" t="s">
        <v>140</v>
      </c>
      <c r="E2383" s="2">
        <v>44245.564895833333</v>
      </c>
      <c r="F2383" s="2">
        <v>44245.572118055556</v>
      </c>
      <c r="G2383" s="3">
        <v>7.2222222224809229E-3</v>
      </c>
      <c r="H2383" s="3">
        <v>627.8009581433347</v>
      </c>
      <c r="I2383" s="3">
        <v>10.463349302388911</v>
      </c>
      <c r="J2383" s="3">
        <v>0.1743891550398152</v>
      </c>
      <c r="K2383" t="s">
        <v>90</v>
      </c>
    </row>
    <row r="2384" spans="1:11" x14ac:dyDescent="0.35">
      <c r="A2384">
        <v>2383</v>
      </c>
      <c r="B2384" t="s">
        <v>2</v>
      </c>
      <c r="C2384" t="s">
        <v>96</v>
      </c>
      <c r="D2384" t="s">
        <v>140</v>
      </c>
      <c r="E2384" s="2">
        <v>44245.572233796294</v>
      </c>
      <c r="F2384" s="2">
        <v>44245.583784722221</v>
      </c>
      <c r="G2384" s="3">
        <v>1.1550925926712807E-2</v>
      </c>
      <c r="H2384" s="3">
        <v>1004.0790965501396</v>
      </c>
      <c r="I2384" s="3">
        <v>16.734651609168996</v>
      </c>
      <c r="J2384" s="3">
        <v>0.27891086015281658</v>
      </c>
    </row>
    <row r="2385" spans="1:11" x14ac:dyDescent="0.35">
      <c r="A2385">
        <v>2384</v>
      </c>
      <c r="B2385" t="s">
        <v>2</v>
      </c>
      <c r="C2385" t="s">
        <v>136</v>
      </c>
      <c r="D2385" t="s">
        <v>140</v>
      </c>
      <c r="E2385" s="2">
        <v>44245.583912037036</v>
      </c>
      <c r="F2385" s="2">
        <v>44245.712708333333</v>
      </c>
      <c r="G2385" s="3">
        <v>0.12879629629605915</v>
      </c>
      <c r="H2385" s="3">
        <v>11195.783753134489</v>
      </c>
      <c r="I2385" s="3">
        <v>186.59639588557482</v>
      </c>
      <c r="J2385" s="3">
        <v>3.109939931426247</v>
      </c>
      <c r="K2385" t="s">
        <v>90</v>
      </c>
    </row>
    <row r="2386" spans="1:11" x14ac:dyDescent="0.35">
      <c r="A2386">
        <v>2385</v>
      </c>
      <c r="B2386" t="s">
        <v>11</v>
      </c>
      <c r="C2386" t="s">
        <v>11</v>
      </c>
      <c r="D2386" t="s">
        <v>140</v>
      </c>
      <c r="E2386" s="2">
        <v>44245.712824074071</v>
      </c>
      <c r="F2386" s="2">
        <v>44245.729583333334</v>
      </c>
      <c r="G2386" s="3">
        <v>1.675925926247146E-2</v>
      </c>
      <c r="H2386" s="3">
        <v>1456.8201723288821</v>
      </c>
      <c r="I2386" s="3">
        <v>24.280336205481369</v>
      </c>
      <c r="J2386" s="3">
        <v>0.40467227009135615</v>
      </c>
    </row>
    <row r="2387" spans="1:11" x14ac:dyDescent="0.35">
      <c r="A2387">
        <v>2386</v>
      </c>
      <c r="B2387" t="s">
        <v>11</v>
      </c>
      <c r="C2387" t="s">
        <v>11</v>
      </c>
      <c r="D2387" t="s">
        <v>140</v>
      </c>
      <c r="E2387" s="2">
        <v>44246.333148148151</v>
      </c>
      <c r="F2387" s="2">
        <v>44246.350231481483</v>
      </c>
      <c r="G2387" s="3">
        <v>1.7083333332266193E-2</v>
      </c>
      <c r="H2387" s="3">
        <v>1484.9907277700097</v>
      </c>
      <c r="I2387" s="3">
        <v>24.749845462833495</v>
      </c>
      <c r="J2387" s="3">
        <v>0.41249742438055825</v>
      </c>
    </row>
    <row r="2388" spans="1:11" x14ac:dyDescent="0.35">
      <c r="A2388">
        <v>2387</v>
      </c>
      <c r="B2388" t="s">
        <v>11</v>
      </c>
      <c r="C2388" t="s">
        <v>11</v>
      </c>
      <c r="D2388" t="s">
        <v>140</v>
      </c>
      <c r="E2388" s="2">
        <v>44246.350428240738</v>
      </c>
      <c r="F2388" s="2">
        <v>44246.357037037036</v>
      </c>
      <c r="G2388" s="3">
        <v>6.6087962986784987E-3</v>
      </c>
      <c r="H2388" s="3">
        <v>574.47812053881239</v>
      </c>
      <c r="I2388" s="3">
        <v>9.57463534231354</v>
      </c>
      <c r="J2388" s="3">
        <v>0.15957725570522566</v>
      </c>
    </row>
    <row r="2389" spans="1:11" x14ac:dyDescent="0.35">
      <c r="A2389">
        <v>2388</v>
      </c>
      <c r="B2389" t="s">
        <v>2</v>
      </c>
      <c r="C2389" t="s">
        <v>96</v>
      </c>
      <c r="D2389" t="s">
        <v>140</v>
      </c>
      <c r="E2389" s="2">
        <v>44246.357199074075</v>
      </c>
      <c r="F2389" s="2">
        <v>44246.511493055557</v>
      </c>
      <c r="G2389" s="3">
        <v>0.15429398148262408</v>
      </c>
      <c r="H2389" s="3">
        <v>13412.202840979144</v>
      </c>
      <c r="I2389" s="3">
        <v>223.53671401631905</v>
      </c>
      <c r="J2389" s="3">
        <v>3.7256119002719843</v>
      </c>
    </row>
    <row r="2390" spans="1:11" x14ac:dyDescent="0.35">
      <c r="A2390">
        <v>2389</v>
      </c>
      <c r="B2390" t="s">
        <v>16</v>
      </c>
      <c r="C2390" t="s">
        <v>16</v>
      </c>
      <c r="D2390" t="s">
        <v>140</v>
      </c>
      <c r="E2390" s="2">
        <v>44246.51158564815</v>
      </c>
      <c r="F2390" s="2">
        <v>44246.536643518521</v>
      </c>
      <c r="G2390" s="3">
        <v>2.5057870370801538E-2</v>
      </c>
      <c r="H2390" s="3">
        <v>2178.1876191586871</v>
      </c>
      <c r="I2390" s="3">
        <v>36.303126985978118</v>
      </c>
      <c r="J2390" s="3">
        <v>0.60505211643296863</v>
      </c>
    </row>
    <row r="2391" spans="1:11" x14ac:dyDescent="0.35">
      <c r="A2391">
        <v>2390</v>
      </c>
      <c r="B2391" t="s">
        <v>11</v>
      </c>
      <c r="C2391" t="s">
        <v>11</v>
      </c>
      <c r="D2391" t="s">
        <v>140</v>
      </c>
      <c r="E2391" s="2">
        <v>44246.536747685182</v>
      </c>
      <c r="F2391" s="2">
        <v>44246.539930555555</v>
      </c>
      <c r="G2391" s="3">
        <v>3.1828703722567298E-3</v>
      </c>
      <c r="H2391" s="3">
        <v>276.67510189992436</v>
      </c>
      <c r="I2391" s="3">
        <v>4.6112516983320724</v>
      </c>
      <c r="J2391" s="3">
        <v>7.6854194972201209E-2</v>
      </c>
    </row>
    <row r="2392" spans="1:11" x14ac:dyDescent="0.35">
      <c r="A2392">
        <v>2391</v>
      </c>
      <c r="B2392" t="s">
        <v>11</v>
      </c>
      <c r="C2392" t="s">
        <v>11</v>
      </c>
      <c r="D2392" t="s">
        <v>140</v>
      </c>
      <c r="E2392" s="2">
        <v>44246.540023148147</v>
      </c>
      <c r="F2392" s="2">
        <v>44246.541875000003</v>
      </c>
      <c r="G2392" s="3">
        <v>1.8518518554628827E-3</v>
      </c>
      <c r="H2392" s="3">
        <v>160.97460496026449</v>
      </c>
      <c r="I2392" s="3">
        <v>2.6829100826710746</v>
      </c>
      <c r="J2392" s="3">
        <v>4.471516804451791E-2</v>
      </c>
    </row>
    <row r="2393" spans="1:11" x14ac:dyDescent="0.35">
      <c r="A2393">
        <v>2392</v>
      </c>
      <c r="B2393" t="s">
        <v>2</v>
      </c>
      <c r="C2393" t="s">
        <v>96</v>
      </c>
      <c r="D2393" t="s">
        <v>140</v>
      </c>
      <c r="E2393" s="2">
        <v>44246.542141203703</v>
      </c>
      <c r="F2393" s="2">
        <v>44246.569675925923</v>
      </c>
      <c r="G2393" s="3">
        <v>2.753472221957054E-2</v>
      </c>
      <c r="H2393" s="3">
        <v>2393.4911526052274</v>
      </c>
      <c r="I2393" s="3">
        <v>39.891519210087125</v>
      </c>
      <c r="J2393" s="3">
        <v>0.66485865350145212</v>
      </c>
    </row>
    <row r="2394" spans="1:11" x14ac:dyDescent="0.35">
      <c r="A2394">
        <v>2393</v>
      </c>
      <c r="B2394" t="s">
        <v>2</v>
      </c>
      <c r="C2394" t="s">
        <v>96</v>
      </c>
      <c r="D2394" t="s">
        <v>140</v>
      </c>
      <c r="E2394" s="2">
        <v>44246.570011574076</v>
      </c>
      <c r="F2394" s="2">
        <v>44246.652060185188</v>
      </c>
      <c r="G2394" s="3">
        <v>8.20486111115315E-2</v>
      </c>
      <c r="H2394" s="3">
        <v>7132.1810771498167</v>
      </c>
      <c r="I2394" s="3">
        <v>118.86968461916361</v>
      </c>
      <c r="J2394" s="3">
        <v>1.9811614103193935</v>
      </c>
    </row>
    <row r="2395" spans="1:11" x14ac:dyDescent="0.35">
      <c r="A2395">
        <v>2394</v>
      </c>
      <c r="B2395" t="s">
        <v>11</v>
      </c>
      <c r="C2395" t="s">
        <v>11</v>
      </c>
      <c r="D2395" t="s">
        <v>140</v>
      </c>
      <c r="E2395" s="2">
        <v>44246.65221064815</v>
      </c>
      <c r="F2395" s="2">
        <v>44246.744560185187</v>
      </c>
      <c r="G2395" s="3">
        <v>9.2349537037080154E-2</v>
      </c>
      <c r="H2395" s="3">
        <v>8027.6023154624609</v>
      </c>
      <c r="I2395" s="3">
        <v>133.79337192437436</v>
      </c>
      <c r="J2395" s="3">
        <v>2.2298895320729057</v>
      </c>
    </row>
    <row r="2396" spans="1:11" x14ac:dyDescent="0.35">
      <c r="A2396">
        <v>2395</v>
      </c>
      <c r="B2396" t="s">
        <v>11</v>
      </c>
      <c r="C2396" t="s">
        <v>11</v>
      </c>
      <c r="D2396" t="s">
        <v>140</v>
      </c>
      <c r="E2396" s="2">
        <v>44249.322939814818</v>
      </c>
      <c r="F2396" s="2">
        <v>44249.332951388889</v>
      </c>
      <c r="G2396" s="3">
        <v>1.0011574071540963E-2</v>
      </c>
      <c r="H2396" s="3">
        <v>870.26895614924911</v>
      </c>
      <c r="I2396" s="3">
        <v>14.504482602487485</v>
      </c>
      <c r="J2396" s="3">
        <v>0.24174137670812476</v>
      </c>
    </row>
    <row r="2397" spans="1:11" x14ac:dyDescent="0.35">
      <c r="A2397">
        <v>2396</v>
      </c>
      <c r="B2397" t="s">
        <v>2</v>
      </c>
      <c r="C2397" t="s">
        <v>136</v>
      </c>
      <c r="D2397" t="s">
        <v>140</v>
      </c>
      <c r="E2397" s="2">
        <v>44249.333136574074</v>
      </c>
      <c r="F2397" s="2">
        <v>44249.33929398148</v>
      </c>
      <c r="G2397" s="3">
        <v>6.1574074061354622E-3</v>
      </c>
      <c r="H2397" s="3">
        <v>535.24056033861802</v>
      </c>
      <c r="I2397" s="3">
        <v>8.9206760056436334</v>
      </c>
      <c r="J2397" s="3">
        <v>0.14867793342739388</v>
      </c>
      <c r="K2397" t="s">
        <v>90</v>
      </c>
    </row>
    <row r="2398" spans="1:11" x14ac:dyDescent="0.35">
      <c r="A2398">
        <v>2397</v>
      </c>
      <c r="B2398" t="s">
        <v>2</v>
      </c>
      <c r="C2398" t="s">
        <v>96</v>
      </c>
      <c r="D2398" t="s">
        <v>140</v>
      </c>
      <c r="E2398" s="2">
        <v>44249.339444444442</v>
      </c>
      <c r="F2398" s="2">
        <v>44249.339606481481</v>
      </c>
      <c r="G2398" s="3">
        <v>1.6203703853534535E-4</v>
      </c>
      <c r="H2398" s="3">
        <v>14.085278036799838</v>
      </c>
      <c r="I2398" s="3">
        <v>0.23475463394666399</v>
      </c>
      <c r="J2398" s="3">
        <v>3.9125772324444001E-3</v>
      </c>
    </row>
    <row r="2399" spans="1:11" x14ac:dyDescent="0.35">
      <c r="A2399">
        <v>2398</v>
      </c>
      <c r="B2399" t="s">
        <v>11</v>
      </c>
      <c r="C2399" t="s">
        <v>11</v>
      </c>
      <c r="D2399" t="s">
        <v>140</v>
      </c>
      <c r="E2399" s="2">
        <v>44249.339687500003</v>
      </c>
      <c r="F2399" s="2">
        <v>44249.345416666663</v>
      </c>
      <c r="G2399" s="3">
        <v>5.7291666598757729E-3</v>
      </c>
      <c r="H2399" s="3">
        <v>498.01518253440304</v>
      </c>
      <c r="I2399" s="3">
        <v>8.3002530422400511</v>
      </c>
      <c r="J2399" s="3">
        <v>0.13833755070400086</v>
      </c>
    </row>
    <row r="2400" spans="1:11" x14ac:dyDescent="0.35">
      <c r="A2400">
        <v>2399</v>
      </c>
      <c r="B2400" t="s">
        <v>2</v>
      </c>
      <c r="C2400" t="s">
        <v>96</v>
      </c>
      <c r="D2400" t="s">
        <v>140</v>
      </c>
      <c r="E2400" s="2">
        <v>44249.345567129632</v>
      </c>
      <c r="F2400" s="2">
        <v>44249.375057870369</v>
      </c>
      <c r="G2400" s="3">
        <v>2.9490740736946464E-2</v>
      </c>
      <c r="H2400" s="3">
        <v>2563.5205786636352</v>
      </c>
      <c r="I2400" s="3">
        <v>42.725342977727252</v>
      </c>
      <c r="J2400" s="3">
        <v>0.7120890496287875</v>
      </c>
    </row>
    <row r="2401" spans="1:11" x14ac:dyDescent="0.35">
      <c r="A2401">
        <v>2400</v>
      </c>
      <c r="B2401" t="s">
        <v>2</v>
      </c>
      <c r="C2401" t="s">
        <v>96</v>
      </c>
      <c r="D2401" t="s">
        <v>140</v>
      </c>
      <c r="E2401" s="2">
        <v>44249.375219907408</v>
      </c>
      <c r="F2401" s="2">
        <v>44249.397002314814</v>
      </c>
      <c r="G2401" s="3">
        <v>2.1782407406135462E-2</v>
      </c>
      <c r="H2401" s="3">
        <v>1893.4637870423733</v>
      </c>
      <c r="I2401" s="3">
        <v>31.557729784039555</v>
      </c>
      <c r="J2401" s="3">
        <v>0.52596216306732591</v>
      </c>
    </row>
    <row r="2402" spans="1:11" x14ac:dyDescent="0.35">
      <c r="A2402">
        <v>2401</v>
      </c>
      <c r="B2402" t="s">
        <v>16</v>
      </c>
      <c r="C2402" t="s">
        <v>16</v>
      </c>
      <c r="D2402" t="s">
        <v>140</v>
      </c>
      <c r="E2402" s="2">
        <v>44249.397094907406</v>
      </c>
      <c r="F2402" s="2">
        <v>44249.406342592592</v>
      </c>
      <c r="G2402" s="3">
        <v>9.2476851859828457E-3</v>
      </c>
      <c r="H2402" s="3">
        <v>803.8669320221527</v>
      </c>
      <c r="I2402" s="3">
        <v>13.397782200369212</v>
      </c>
      <c r="J2402" s="3">
        <v>0.22329637000615354</v>
      </c>
    </row>
    <row r="2403" spans="1:11" x14ac:dyDescent="0.35">
      <c r="A2403">
        <v>2402</v>
      </c>
      <c r="B2403" t="s">
        <v>2</v>
      </c>
      <c r="C2403" t="s">
        <v>96</v>
      </c>
      <c r="D2403" t="s">
        <v>140</v>
      </c>
      <c r="E2403" s="2">
        <v>44249.406527777777</v>
      </c>
      <c r="F2403" s="2">
        <v>44249.437581018516</v>
      </c>
      <c r="G2403" s="3">
        <v>3.1053240738401655E-2</v>
      </c>
      <c r="H2403" s="3">
        <v>2699.3429014605053</v>
      </c>
      <c r="I2403" s="3">
        <v>44.989048357675088</v>
      </c>
      <c r="J2403" s="3">
        <v>0.74981747262791809</v>
      </c>
    </row>
    <row r="2404" spans="1:11" x14ac:dyDescent="0.35">
      <c r="A2404">
        <v>2403</v>
      </c>
      <c r="B2404" t="s">
        <v>2</v>
      </c>
      <c r="C2404" t="s">
        <v>132</v>
      </c>
      <c r="D2404" t="s">
        <v>140</v>
      </c>
      <c r="E2404" s="2">
        <v>44249.44427083333</v>
      </c>
      <c r="F2404" s="2">
        <v>44249.464097222219</v>
      </c>
      <c r="G2404" s="3">
        <v>1.9826388888759539E-2</v>
      </c>
      <c r="H2404" s="3">
        <v>1723.4343609839655</v>
      </c>
      <c r="I2404" s="3">
        <v>28.723906016399425</v>
      </c>
      <c r="J2404" s="3">
        <v>0.47873176693999042</v>
      </c>
      <c r="K2404" t="s">
        <v>93</v>
      </c>
    </row>
    <row r="2405" spans="1:11" x14ac:dyDescent="0.35">
      <c r="A2405">
        <v>2404</v>
      </c>
      <c r="B2405" t="s">
        <v>16</v>
      </c>
      <c r="C2405" t="s">
        <v>16</v>
      </c>
      <c r="D2405" t="s">
        <v>140</v>
      </c>
      <c r="E2405" s="2">
        <v>44249.464212962965</v>
      </c>
      <c r="F2405" s="2">
        <v>44249.474687499998</v>
      </c>
      <c r="G2405" s="3">
        <v>1.0474537033587694E-2</v>
      </c>
      <c r="H2405" s="3">
        <v>910.51260723119731</v>
      </c>
      <c r="I2405" s="3">
        <v>15.175210120519955</v>
      </c>
      <c r="J2405" s="3">
        <v>0.25292016867533257</v>
      </c>
    </row>
    <row r="2406" spans="1:11" x14ac:dyDescent="0.35">
      <c r="A2406">
        <v>2405</v>
      </c>
      <c r="B2406" t="s">
        <v>2</v>
      </c>
      <c r="C2406" t="s">
        <v>96</v>
      </c>
      <c r="D2406" t="s">
        <v>140</v>
      </c>
      <c r="E2406" s="2">
        <v>44249.474907407406</v>
      </c>
      <c r="F2406" s="2">
        <v>44249.50136574074</v>
      </c>
      <c r="G2406" s="3">
        <v>2.6458333333721384E-2</v>
      </c>
      <c r="H2406" s="3">
        <v>2299.9246639187572</v>
      </c>
      <c r="I2406" s="3">
        <v>38.33207773197929</v>
      </c>
      <c r="J2406" s="3">
        <v>0.6388679621996548</v>
      </c>
    </row>
    <row r="2407" spans="1:11" x14ac:dyDescent="0.35">
      <c r="A2407">
        <v>2406</v>
      </c>
      <c r="B2407" t="s">
        <v>16</v>
      </c>
      <c r="C2407" t="s">
        <v>16</v>
      </c>
      <c r="D2407" t="s">
        <v>140</v>
      </c>
      <c r="E2407" s="2">
        <v>44249.501585648148</v>
      </c>
      <c r="F2407" s="2">
        <v>44249.530624999999</v>
      </c>
      <c r="G2407" s="3">
        <v>2.9039351851679385E-2</v>
      </c>
      <c r="H2407" s="3">
        <v>2524.283019095913</v>
      </c>
      <c r="I2407" s="3">
        <v>42.071383651598552</v>
      </c>
      <c r="J2407" s="3">
        <v>0.70118972752664255</v>
      </c>
    </row>
    <row r="2408" spans="1:11" x14ac:dyDescent="0.35">
      <c r="A2408">
        <v>2407</v>
      </c>
      <c r="B2408" t="s">
        <v>11</v>
      </c>
      <c r="C2408" t="s">
        <v>11</v>
      </c>
      <c r="D2408" t="s">
        <v>140</v>
      </c>
      <c r="E2408" s="2">
        <v>44249.530763888892</v>
      </c>
      <c r="F2408" s="2">
        <v>44249.533368055556</v>
      </c>
      <c r="G2408" s="3">
        <v>2.6041666642413475E-3</v>
      </c>
      <c r="H2408" s="3">
        <v>226.37053757313521</v>
      </c>
      <c r="I2408" s="3">
        <v>3.7728422928855867</v>
      </c>
      <c r="J2408" s="3">
        <v>6.2880704881426441E-2</v>
      </c>
    </row>
    <row r="2409" spans="1:11" x14ac:dyDescent="0.35">
      <c r="A2409">
        <v>2408</v>
      </c>
      <c r="B2409" t="s">
        <v>11</v>
      </c>
      <c r="C2409" t="s">
        <v>11</v>
      </c>
      <c r="D2409" t="s">
        <v>140</v>
      </c>
      <c r="E2409" s="2">
        <v>44249.533460648148</v>
      </c>
      <c r="F2409" s="2">
        <v>44249.541863425926</v>
      </c>
      <c r="G2409" s="3">
        <v>8.4027777775190771E-3</v>
      </c>
      <c r="H2409" s="3">
        <v>730.42226856042043</v>
      </c>
      <c r="I2409" s="3">
        <v>12.173704476007007</v>
      </c>
      <c r="J2409" s="3">
        <v>0.20289507460011677</v>
      </c>
    </row>
    <row r="2410" spans="1:11" x14ac:dyDescent="0.35">
      <c r="A2410">
        <v>2409</v>
      </c>
      <c r="B2410" t="s">
        <v>2</v>
      </c>
      <c r="C2410" t="s">
        <v>136</v>
      </c>
      <c r="D2410" t="s">
        <v>140</v>
      </c>
      <c r="E2410" s="2">
        <v>44249.542349537034</v>
      </c>
      <c r="F2410" s="2">
        <v>44249.54414351852</v>
      </c>
      <c r="G2410" s="3">
        <v>1.793981486116536E-3</v>
      </c>
      <c r="H2410" s="3">
        <v>155.94414865407995</v>
      </c>
      <c r="I2410" s="3">
        <v>2.5990691442346661</v>
      </c>
      <c r="J2410" s="3">
        <v>4.3317819070577766E-2</v>
      </c>
      <c r="K2410" t="s">
        <v>90</v>
      </c>
    </row>
    <row r="2411" spans="1:11" x14ac:dyDescent="0.35">
      <c r="A2411">
        <v>2410</v>
      </c>
      <c r="B2411" t="s">
        <v>2</v>
      </c>
      <c r="C2411" t="s">
        <v>96</v>
      </c>
      <c r="D2411" t="s">
        <v>140</v>
      </c>
      <c r="E2411" s="2">
        <v>44249.544293981482</v>
      </c>
      <c r="F2411" s="2">
        <v>44249.588900462964</v>
      </c>
      <c r="G2411" s="3">
        <v>4.4606481482333038E-2</v>
      </c>
      <c r="H2411" s="3">
        <v>3877.4757894934837</v>
      </c>
      <c r="I2411" s="3">
        <v>64.624596491558066</v>
      </c>
      <c r="J2411" s="3">
        <v>1.0770766081926344</v>
      </c>
    </row>
    <row r="2412" spans="1:11" x14ac:dyDescent="0.35">
      <c r="A2412">
        <v>2411</v>
      </c>
      <c r="B2412" t="s">
        <v>2</v>
      </c>
      <c r="C2412" t="s">
        <v>136</v>
      </c>
      <c r="D2412" t="s">
        <v>140</v>
      </c>
      <c r="E2412" s="2">
        <v>44249.589317129627</v>
      </c>
      <c r="F2412" s="2">
        <v>44249.708148148151</v>
      </c>
      <c r="G2412" s="3">
        <v>0.11883101852436084</v>
      </c>
      <c r="H2412" s="3">
        <v>10329.53916240967</v>
      </c>
      <c r="I2412" s="3">
        <v>172.15898604016118</v>
      </c>
      <c r="J2412" s="3">
        <v>2.8693164340026862</v>
      </c>
      <c r="K2412" t="s">
        <v>90</v>
      </c>
    </row>
    <row r="2413" spans="1:11" x14ac:dyDescent="0.35">
      <c r="A2413">
        <v>2412</v>
      </c>
      <c r="B2413" t="s">
        <v>11</v>
      </c>
      <c r="C2413" t="s">
        <v>11</v>
      </c>
      <c r="D2413" t="s">
        <v>140</v>
      </c>
      <c r="E2413" s="2">
        <v>44249.755752314813</v>
      </c>
      <c r="F2413" s="2">
        <v>44249.826550925929</v>
      </c>
      <c r="G2413" s="3">
        <v>7.0798611115606036E-2</v>
      </c>
      <c r="H2413" s="3">
        <v>6154.2603542772977</v>
      </c>
      <c r="I2413" s="3">
        <v>102.57100590462163</v>
      </c>
      <c r="J2413" s="3">
        <v>1.7095167650770271</v>
      </c>
    </row>
    <row r="2414" spans="1:11" x14ac:dyDescent="0.35">
      <c r="A2414">
        <v>2413</v>
      </c>
      <c r="B2414" t="s">
        <v>11</v>
      </c>
      <c r="C2414" t="s">
        <v>11</v>
      </c>
      <c r="D2414" t="s">
        <v>140</v>
      </c>
      <c r="E2414" s="2">
        <v>44250.333865740744</v>
      </c>
      <c r="F2414" s="2">
        <v>44250.349826388891</v>
      </c>
      <c r="G2414" s="3">
        <v>1.5960648146574385E-2</v>
      </c>
      <c r="H2414" s="3">
        <v>1387.3998736591086</v>
      </c>
      <c r="I2414" s="3">
        <v>23.123331227651811</v>
      </c>
      <c r="J2414" s="3">
        <v>0.38538885379419685</v>
      </c>
    </row>
    <row r="2415" spans="1:11" x14ac:dyDescent="0.35">
      <c r="A2415">
        <v>2414</v>
      </c>
      <c r="B2415" t="s">
        <v>2</v>
      </c>
      <c r="C2415" t="s">
        <v>136</v>
      </c>
      <c r="D2415" t="s">
        <v>140</v>
      </c>
      <c r="E2415" s="2">
        <v>44250.35</v>
      </c>
      <c r="F2415" s="2">
        <v>44250.389976851853</v>
      </c>
      <c r="G2415" s="3">
        <v>3.9976851854589768E-2</v>
      </c>
      <c r="H2415" s="3">
        <v>3475.0392780415305</v>
      </c>
      <c r="I2415" s="3">
        <v>57.917321300692173</v>
      </c>
      <c r="J2415" s="3">
        <v>0.96528868834486958</v>
      </c>
      <c r="K2415" t="s">
        <v>90</v>
      </c>
    </row>
    <row r="2416" spans="1:11" x14ac:dyDescent="0.35">
      <c r="A2416">
        <v>2415</v>
      </c>
      <c r="B2416" t="s">
        <v>16</v>
      </c>
      <c r="C2416" t="s">
        <v>16</v>
      </c>
      <c r="D2416" t="s">
        <v>140</v>
      </c>
      <c r="E2416" s="2">
        <v>44250.390046296299</v>
      </c>
      <c r="F2416" s="2">
        <v>44250.394467592596</v>
      </c>
      <c r="G2416" s="3">
        <v>4.4212962966412306E-3</v>
      </c>
      <c r="H2416" s="3">
        <v>384.32686862319457</v>
      </c>
      <c r="I2416" s="3">
        <v>6.4054478103865762</v>
      </c>
      <c r="J2416" s="3">
        <v>0.10675746350644294</v>
      </c>
    </row>
    <row r="2417" spans="1:11" x14ac:dyDescent="0.35">
      <c r="A2417">
        <v>2416</v>
      </c>
      <c r="B2417" t="s">
        <v>2</v>
      </c>
      <c r="C2417" t="s">
        <v>96</v>
      </c>
      <c r="D2417" t="s">
        <v>140</v>
      </c>
      <c r="E2417" s="2">
        <v>44250.394675925927</v>
      </c>
      <c r="F2417" s="2">
        <v>44250.434629629628</v>
      </c>
      <c r="G2417" s="3">
        <v>3.9953703701030463E-2</v>
      </c>
      <c r="H2417" s="3">
        <v>3473.0270950130789</v>
      </c>
      <c r="I2417" s="3">
        <v>57.88378491688465</v>
      </c>
      <c r="J2417" s="3">
        <v>0.96472974861474414</v>
      </c>
    </row>
    <row r="2418" spans="1:11" x14ac:dyDescent="0.35">
      <c r="A2418">
        <v>2417</v>
      </c>
      <c r="B2418" t="s">
        <v>2</v>
      </c>
      <c r="C2418" t="s">
        <v>96</v>
      </c>
      <c r="D2418" t="s">
        <v>140</v>
      </c>
      <c r="E2418" s="2">
        <v>44250.434895833336</v>
      </c>
      <c r="F2418" s="2">
        <v>44250.447777777779</v>
      </c>
      <c r="G2418" s="3">
        <v>1.2881944443506654E-2</v>
      </c>
      <c r="H2418" s="3">
        <v>1119.7795934897995</v>
      </c>
      <c r="I2418" s="3">
        <v>18.662993224829993</v>
      </c>
      <c r="J2418" s="3">
        <v>0.31104988708049991</v>
      </c>
    </row>
    <row r="2419" spans="1:11" x14ac:dyDescent="0.35">
      <c r="A2419">
        <v>2418</v>
      </c>
      <c r="B2419" t="s">
        <v>2</v>
      </c>
      <c r="C2419" t="s">
        <v>136</v>
      </c>
      <c r="D2419" t="s">
        <v>140</v>
      </c>
      <c r="E2419" s="2">
        <v>44250.447974537034</v>
      </c>
      <c r="F2419" s="2">
        <v>44250.473287037035</v>
      </c>
      <c r="G2419" s="3">
        <v>2.531250000174623E-2</v>
      </c>
      <c r="H2419" s="3">
        <v>2200.3216274118768</v>
      </c>
      <c r="I2419" s="3">
        <v>36.672027123531279</v>
      </c>
      <c r="J2419" s="3">
        <v>0.61120045205885465</v>
      </c>
      <c r="K2419" t="s">
        <v>90</v>
      </c>
    </row>
    <row r="2420" spans="1:11" x14ac:dyDescent="0.35">
      <c r="A2420">
        <v>2419</v>
      </c>
      <c r="B2420" t="s">
        <v>16</v>
      </c>
      <c r="C2420" t="s">
        <v>16</v>
      </c>
      <c r="D2420" t="s">
        <v>140</v>
      </c>
      <c r="E2420" s="2">
        <v>44250.473402777781</v>
      </c>
      <c r="F2420" s="2">
        <v>44250.582361111112</v>
      </c>
      <c r="G2420" s="3">
        <v>0.10895833333051996</v>
      </c>
      <c r="H2420" s="3">
        <v>9471.3433006362975</v>
      </c>
      <c r="I2420" s="3">
        <v>157.85572167727162</v>
      </c>
      <c r="J2420" s="3">
        <v>2.6309286946211938</v>
      </c>
    </row>
    <row r="2421" spans="1:11" x14ac:dyDescent="0.35">
      <c r="A2421">
        <v>2420</v>
      </c>
      <c r="B2421" t="s">
        <v>11</v>
      </c>
      <c r="C2421" t="s">
        <v>11</v>
      </c>
      <c r="D2421" t="s">
        <v>140</v>
      </c>
      <c r="E2421" s="2">
        <v>44250.582627314812</v>
      </c>
      <c r="F2421" s="2">
        <v>44250.583599537036</v>
      </c>
      <c r="G2421" s="3">
        <v>9.7222222393611446E-4</v>
      </c>
      <c r="H2421" s="3">
        <v>84.511667588327057</v>
      </c>
      <c r="I2421" s="3">
        <v>1.4085277931387843</v>
      </c>
      <c r="J2421" s="3">
        <v>2.3475463218979739E-2</v>
      </c>
    </row>
    <row r="2422" spans="1:11" x14ac:dyDescent="0.35">
      <c r="A2422">
        <v>2421</v>
      </c>
      <c r="B2422" t="s">
        <v>2</v>
      </c>
      <c r="C2422" t="s">
        <v>136</v>
      </c>
      <c r="D2422" t="s">
        <v>140</v>
      </c>
      <c r="E2422" s="2">
        <v>44250.584027777775</v>
      </c>
      <c r="F2422" s="2">
        <v>44250.719293981485</v>
      </c>
      <c r="G2422" s="3">
        <v>0.13526620370976161</v>
      </c>
      <c r="H2422" s="3">
        <v>11758.188778664951</v>
      </c>
      <c r="I2422" s="3">
        <v>195.9698129777492</v>
      </c>
      <c r="J2422" s="3">
        <v>3.2661635496291535</v>
      </c>
      <c r="K2422" t="s">
        <v>90</v>
      </c>
    </row>
    <row r="2423" spans="1:11" x14ac:dyDescent="0.35">
      <c r="A2423">
        <v>2422</v>
      </c>
      <c r="B2423" t="s">
        <v>11</v>
      </c>
      <c r="C2423" t="s">
        <v>11</v>
      </c>
      <c r="D2423" t="s">
        <v>140</v>
      </c>
      <c r="E2423" s="2">
        <v>44250.719907407409</v>
      </c>
      <c r="F2423" s="2">
        <v>44250.734479166669</v>
      </c>
      <c r="G2423" s="3">
        <v>1.4571759260434192E-2</v>
      </c>
      <c r="H2423" s="3">
        <v>1266.6689204132642</v>
      </c>
      <c r="I2423" s="3">
        <v>21.111148673554403</v>
      </c>
      <c r="J2423" s="3">
        <v>0.3518524778925734</v>
      </c>
    </row>
    <row r="2424" spans="1:11" x14ac:dyDescent="0.35">
      <c r="A2424">
        <v>2423</v>
      </c>
      <c r="B2424" t="s">
        <v>11</v>
      </c>
      <c r="C2424" t="s">
        <v>11</v>
      </c>
      <c r="D2424" t="s">
        <v>140</v>
      </c>
      <c r="E2424" s="2">
        <v>44250.845659722225</v>
      </c>
      <c r="F2424" s="2">
        <v>44250.970416666663</v>
      </c>
      <c r="G2424" s="3">
        <v>0.124756944438559</v>
      </c>
      <c r="H2424" s="3">
        <v>10844.657896258605</v>
      </c>
      <c r="I2424" s="3">
        <v>180.74429827097674</v>
      </c>
      <c r="J2424" s="3">
        <v>3.0124049711829457</v>
      </c>
    </row>
    <row r="2425" spans="1:11" x14ac:dyDescent="0.35">
      <c r="A2425">
        <v>2424</v>
      </c>
      <c r="B2425" t="s">
        <v>11</v>
      </c>
      <c r="C2425" t="s">
        <v>11</v>
      </c>
      <c r="D2425" t="s">
        <v>140</v>
      </c>
      <c r="E2425" s="2">
        <v>44251.325624999998</v>
      </c>
      <c r="F2425" s="2">
        <v>44251.326805555553</v>
      </c>
      <c r="G2425" s="3">
        <v>1.1805555550381541E-3</v>
      </c>
      <c r="H2425" s="3">
        <v>102.62131041708571</v>
      </c>
      <c r="I2425" s="3">
        <v>1.7103551736180951</v>
      </c>
      <c r="J2425" s="3">
        <v>2.8505919560301584E-2</v>
      </c>
    </row>
    <row r="2426" spans="1:11" x14ac:dyDescent="0.35">
      <c r="A2426">
        <v>2425</v>
      </c>
      <c r="B2426" t="s">
        <v>2</v>
      </c>
      <c r="C2426" t="s">
        <v>132</v>
      </c>
      <c r="D2426" t="s">
        <v>140</v>
      </c>
      <c r="E2426" s="2">
        <v>44251.327118055553</v>
      </c>
      <c r="F2426" s="2">
        <v>44251.33357638889</v>
      </c>
      <c r="G2426" s="3">
        <v>6.4583333369228058E-3</v>
      </c>
      <c r="H2426" s="3">
        <v>561.39893401623829</v>
      </c>
      <c r="I2426" s="3">
        <v>9.3566489002706383</v>
      </c>
      <c r="J2426" s="3">
        <v>0.15594414833784398</v>
      </c>
      <c r="K2426" t="s">
        <v>93</v>
      </c>
    </row>
    <row r="2427" spans="1:11" x14ac:dyDescent="0.35">
      <c r="A2427">
        <v>2426</v>
      </c>
      <c r="B2427" t="s">
        <v>2</v>
      </c>
      <c r="C2427" t="s">
        <v>72</v>
      </c>
      <c r="D2427" t="s">
        <v>140</v>
      </c>
      <c r="E2427" s="2">
        <v>44251.333715277775</v>
      </c>
      <c r="F2427" s="2">
        <v>44251.355069444442</v>
      </c>
      <c r="G2427" s="3">
        <v>2.1354166667151731E-2</v>
      </c>
      <c r="H2427" s="3">
        <v>1856.2384098706302</v>
      </c>
      <c r="I2427" s="3">
        <v>30.937306831177171</v>
      </c>
      <c r="J2427" s="3">
        <v>0.51562178051961949</v>
      </c>
      <c r="K2427" t="s">
        <v>73</v>
      </c>
    </row>
    <row r="2428" spans="1:11" x14ac:dyDescent="0.35">
      <c r="A2428">
        <v>2427</v>
      </c>
      <c r="B2428" t="s">
        <v>11</v>
      </c>
      <c r="C2428" t="s">
        <v>11</v>
      </c>
      <c r="D2428" t="s">
        <v>140</v>
      </c>
      <c r="E2428" s="2">
        <v>44251.355185185188</v>
      </c>
      <c r="F2428" s="2">
        <v>44251.357210648152</v>
      </c>
      <c r="G2428" s="3">
        <v>2.0254629635019228E-3</v>
      </c>
      <c r="H2428" s="3">
        <v>176.06597387881803</v>
      </c>
      <c r="I2428" s="3">
        <v>2.9344328979803005</v>
      </c>
      <c r="J2428" s="3">
        <v>4.890721496633834E-2</v>
      </c>
    </row>
    <row r="2429" spans="1:11" x14ac:dyDescent="0.35">
      <c r="A2429">
        <v>2428</v>
      </c>
      <c r="B2429" t="s">
        <v>2</v>
      </c>
      <c r="C2429" t="s">
        <v>132</v>
      </c>
      <c r="D2429" t="s">
        <v>140</v>
      </c>
      <c r="E2429" s="2">
        <v>44251.35738425926</v>
      </c>
      <c r="F2429" s="2">
        <v>44251.400740740741</v>
      </c>
      <c r="G2429" s="3">
        <v>4.3356481481168885E-2</v>
      </c>
      <c r="H2429" s="3">
        <v>3768.8179312559878</v>
      </c>
      <c r="I2429" s="3">
        <v>62.813632187599794</v>
      </c>
      <c r="J2429" s="3">
        <v>1.0468938697933299</v>
      </c>
      <c r="K2429" t="s">
        <v>93</v>
      </c>
    </row>
    <row r="2430" spans="1:11" x14ac:dyDescent="0.35">
      <c r="A2430">
        <v>2429</v>
      </c>
      <c r="B2430" t="s">
        <v>16</v>
      </c>
      <c r="C2430" t="s">
        <v>16</v>
      </c>
      <c r="D2430" t="s">
        <v>140</v>
      </c>
      <c r="E2430" s="2">
        <v>44251.400821759256</v>
      </c>
      <c r="F2430" s="2">
        <v>44251.427627314813</v>
      </c>
      <c r="G2430" s="3">
        <v>2.6805555557075422E-2</v>
      </c>
      <c r="H2430" s="3">
        <v>2330.1074023883361</v>
      </c>
      <c r="I2430" s="3">
        <v>38.835123373138934</v>
      </c>
      <c r="J2430" s="3">
        <v>0.64725205621898219</v>
      </c>
    </row>
    <row r="2431" spans="1:11" x14ac:dyDescent="0.35">
      <c r="A2431">
        <v>2430</v>
      </c>
      <c r="B2431" t="s">
        <v>2</v>
      </c>
      <c r="C2431" t="s">
        <v>132</v>
      </c>
      <c r="D2431" t="s">
        <v>140</v>
      </c>
      <c r="E2431" s="2">
        <v>44251.427812499998</v>
      </c>
      <c r="F2431" s="2">
        <v>44251.447974537034</v>
      </c>
      <c r="G2431" s="3">
        <v>2.0162037035333924E-2</v>
      </c>
      <c r="H2431" s="3">
        <v>1752.6110079393188</v>
      </c>
      <c r="I2431" s="3">
        <v>29.210183465655312</v>
      </c>
      <c r="J2431" s="3">
        <v>0.48683639109425519</v>
      </c>
      <c r="K2431" t="s">
        <v>93</v>
      </c>
    </row>
    <row r="2432" spans="1:11" x14ac:dyDescent="0.35">
      <c r="A2432">
        <v>2431</v>
      </c>
      <c r="B2432" t="s">
        <v>2</v>
      </c>
      <c r="C2432" t="s">
        <v>132</v>
      </c>
      <c r="D2432" t="s">
        <v>140</v>
      </c>
      <c r="E2432" s="2">
        <v>44251.448101851849</v>
      </c>
      <c r="F2432" s="2">
        <v>44251.478726851848</v>
      </c>
      <c r="G2432" s="3">
        <v>3.0624999999417923E-2</v>
      </c>
      <c r="H2432" s="3">
        <v>2662.1175242887625</v>
      </c>
      <c r="I2432" s="3">
        <v>44.368625404812711</v>
      </c>
      <c r="J2432" s="3">
        <v>0.7394770900802119</v>
      </c>
      <c r="K2432" t="s">
        <v>93</v>
      </c>
    </row>
    <row r="2433" spans="1:11" x14ac:dyDescent="0.35">
      <c r="A2433">
        <v>2432</v>
      </c>
      <c r="B2433" t="s">
        <v>2</v>
      </c>
      <c r="C2433" t="s">
        <v>132</v>
      </c>
      <c r="D2433" t="s">
        <v>140</v>
      </c>
      <c r="E2433" s="2">
        <v>44251.478877314818</v>
      </c>
      <c r="F2433" s="2">
        <v>44251.49527777778</v>
      </c>
      <c r="G2433" s="3">
        <v>1.640046296233777E-2</v>
      </c>
      <c r="H2433" s="3">
        <v>1425.6313423450772</v>
      </c>
      <c r="I2433" s="3">
        <v>23.760522372417952</v>
      </c>
      <c r="J2433" s="3">
        <v>0.39600870620696588</v>
      </c>
      <c r="K2433" t="s">
        <v>93</v>
      </c>
    </row>
    <row r="2434" spans="1:11" x14ac:dyDescent="0.35">
      <c r="A2434">
        <v>2433</v>
      </c>
      <c r="B2434" t="s">
        <v>16</v>
      </c>
      <c r="C2434" t="s">
        <v>16</v>
      </c>
      <c r="D2434" t="s">
        <v>140</v>
      </c>
      <c r="E2434" s="2">
        <v>44251.495347222219</v>
      </c>
      <c r="F2434" s="2">
        <v>44251.510092592594</v>
      </c>
      <c r="G2434" s="3">
        <v>1.4745370375749189E-2</v>
      </c>
      <c r="H2434" s="3">
        <v>1281.7602899642898</v>
      </c>
      <c r="I2434" s="3">
        <v>21.362671499404829</v>
      </c>
      <c r="J2434" s="3">
        <v>0.35604452499008049</v>
      </c>
    </row>
    <row r="2435" spans="1:11" x14ac:dyDescent="0.35">
      <c r="A2435">
        <v>2434</v>
      </c>
      <c r="B2435" t="s">
        <v>2</v>
      </c>
      <c r="C2435" t="s">
        <v>132</v>
      </c>
      <c r="D2435" t="s">
        <v>140</v>
      </c>
      <c r="E2435" s="2">
        <v>44251.510370370372</v>
      </c>
      <c r="F2435" s="2">
        <v>44251.60496527778</v>
      </c>
      <c r="G2435" s="3">
        <v>9.4594907408463769E-2</v>
      </c>
      <c r="H2435" s="3">
        <v>8222.784023684264</v>
      </c>
      <c r="I2435" s="3">
        <v>137.04640039473773</v>
      </c>
      <c r="J2435" s="3">
        <v>2.284106673245629</v>
      </c>
      <c r="K2435" t="s">
        <v>93</v>
      </c>
    </row>
    <row r="2436" spans="1:11" x14ac:dyDescent="0.35">
      <c r="A2436">
        <v>2435</v>
      </c>
      <c r="B2436" t="s">
        <v>2</v>
      </c>
      <c r="C2436" t="s">
        <v>132</v>
      </c>
      <c r="D2436" t="s">
        <v>140</v>
      </c>
      <c r="E2436" s="2">
        <v>44251.605115740742</v>
      </c>
      <c r="F2436" s="2">
        <v>44251.646053240744</v>
      </c>
      <c r="G2436" s="3">
        <v>4.093750000174623E-2</v>
      </c>
      <c r="H2436" s="3">
        <v>3558.5448541156316</v>
      </c>
      <c r="I2436" s="3">
        <v>59.309080901927196</v>
      </c>
      <c r="J2436" s="3">
        <v>0.98848468169878656</v>
      </c>
      <c r="K2436" t="s">
        <v>93</v>
      </c>
    </row>
    <row r="2437" spans="1:11" x14ac:dyDescent="0.35">
      <c r="A2437">
        <v>2436</v>
      </c>
      <c r="B2437" t="s">
        <v>11</v>
      </c>
      <c r="C2437" t="s">
        <v>11</v>
      </c>
      <c r="D2437" t="s">
        <v>140</v>
      </c>
      <c r="E2437" s="2">
        <v>44251.646157407406</v>
      </c>
      <c r="F2437" s="2">
        <v>44251.66133101852</v>
      </c>
      <c r="G2437" s="3">
        <v>1.5173611114732921E-2</v>
      </c>
      <c r="H2437" s="3">
        <v>1318.9856671360328</v>
      </c>
      <c r="I2437" s="3">
        <v>21.983094452267213</v>
      </c>
      <c r="J2437" s="3">
        <v>0.36638490753778691</v>
      </c>
    </row>
    <row r="2438" spans="1:11" x14ac:dyDescent="0.35">
      <c r="A2438">
        <v>2437</v>
      </c>
      <c r="B2438" t="s">
        <v>2</v>
      </c>
      <c r="C2438" t="s">
        <v>132</v>
      </c>
      <c r="D2438" t="s">
        <v>140</v>
      </c>
      <c r="E2438" s="2">
        <v>44251.663078703707</v>
      </c>
      <c r="F2438" s="2">
        <v>44251.695659722223</v>
      </c>
      <c r="G2438" s="3">
        <v>3.2581018516793847E-2</v>
      </c>
      <c r="H2438" s="3">
        <v>2832.1469503471703</v>
      </c>
      <c r="I2438" s="3">
        <v>47.202449172452837</v>
      </c>
      <c r="J2438" s="3">
        <v>0.78670748620754727</v>
      </c>
      <c r="K2438" t="s">
        <v>93</v>
      </c>
    </row>
    <row r="2439" spans="1:11" x14ac:dyDescent="0.35">
      <c r="A2439">
        <v>2438</v>
      </c>
      <c r="B2439" t="s">
        <v>11</v>
      </c>
      <c r="C2439" t="s">
        <v>11</v>
      </c>
      <c r="D2439" t="s">
        <v>140</v>
      </c>
      <c r="E2439" s="2">
        <v>44251.695810185185</v>
      </c>
      <c r="F2439" s="2">
        <v>44251.706377314818</v>
      </c>
      <c r="G2439" s="3">
        <v>1.0567129633272998E-2</v>
      </c>
      <c r="H2439" s="3">
        <v>918.56133808005893</v>
      </c>
      <c r="I2439" s="3">
        <v>15.309355634667648</v>
      </c>
      <c r="J2439" s="3">
        <v>0.25515592724446079</v>
      </c>
    </row>
    <row r="2440" spans="1:11" x14ac:dyDescent="0.35">
      <c r="A2440">
        <v>2439</v>
      </c>
      <c r="B2440" t="s">
        <v>2</v>
      </c>
      <c r="C2440" t="s">
        <v>136</v>
      </c>
      <c r="D2440" t="s">
        <v>140</v>
      </c>
      <c r="E2440" s="2">
        <v>44251.706458333334</v>
      </c>
      <c r="F2440" s="2">
        <v>44251.726469907408</v>
      </c>
      <c r="G2440" s="3">
        <v>2.0011574073578231E-2</v>
      </c>
      <c r="H2440" s="3">
        <v>1739.5318214167446</v>
      </c>
      <c r="I2440" s="3">
        <v>28.992197023612409</v>
      </c>
      <c r="J2440" s="3">
        <v>0.48320328372687349</v>
      </c>
      <c r="K2440" t="s">
        <v>90</v>
      </c>
    </row>
    <row r="2441" spans="1:11" x14ac:dyDescent="0.35">
      <c r="A2441">
        <v>2440</v>
      </c>
      <c r="B2441" t="s">
        <v>11</v>
      </c>
      <c r="C2441" t="s">
        <v>11</v>
      </c>
      <c r="D2441" t="s">
        <v>140</v>
      </c>
      <c r="E2441" s="2">
        <v>44251.73369212963</v>
      </c>
      <c r="F2441" s="2">
        <v>44251.768518518518</v>
      </c>
      <c r="G2441" s="3">
        <v>3.4826388888177462E-2</v>
      </c>
      <c r="H2441" s="3">
        <v>3027.3286585689725</v>
      </c>
      <c r="I2441" s="3">
        <v>50.455477642816206</v>
      </c>
      <c r="J2441" s="3">
        <v>0.84092462738027007</v>
      </c>
    </row>
    <row r="2442" spans="1:11" x14ac:dyDescent="0.35">
      <c r="A2442">
        <v>2441</v>
      </c>
      <c r="B2442" t="s">
        <v>11</v>
      </c>
      <c r="C2442" t="s">
        <v>11</v>
      </c>
      <c r="D2442" t="s">
        <v>140</v>
      </c>
      <c r="E2442" s="2">
        <v>44252.345833333333</v>
      </c>
      <c r="F2442" s="2">
        <v>44252.346956018519</v>
      </c>
      <c r="G2442" s="3">
        <v>1.1226851856918074E-3</v>
      </c>
      <c r="H2442" s="3">
        <v>97.590854110901191</v>
      </c>
      <c r="I2442" s="3">
        <v>1.6265142351816866</v>
      </c>
      <c r="J2442" s="3">
        <v>2.7108570586361444E-2</v>
      </c>
    </row>
    <row r="2443" spans="1:11" x14ac:dyDescent="0.35">
      <c r="A2443">
        <v>2442</v>
      </c>
      <c r="B2443" t="s">
        <v>2</v>
      </c>
      <c r="C2443" t="s">
        <v>96</v>
      </c>
      <c r="D2443" t="s">
        <v>140</v>
      </c>
      <c r="E2443" s="2">
        <v>44252.34716435185</v>
      </c>
      <c r="F2443" s="2">
        <v>44252.353182870371</v>
      </c>
      <c r="G2443" s="3">
        <v>6.0185185211594217E-3</v>
      </c>
      <c r="H2443" s="3">
        <v>523.16746533026958</v>
      </c>
      <c r="I2443" s="3">
        <v>8.719457755504493</v>
      </c>
      <c r="J2443" s="3">
        <v>0.14532429592507487</v>
      </c>
    </row>
    <row r="2444" spans="1:11" x14ac:dyDescent="0.35">
      <c r="A2444">
        <v>2443</v>
      </c>
      <c r="B2444" t="s">
        <v>2</v>
      </c>
      <c r="C2444" t="s">
        <v>72</v>
      </c>
      <c r="D2444" t="s">
        <v>140</v>
      </c>
      <c r="E2444" s="2">
        <v>44252.353333333333</v>
      </c>
      <c r="F2444" s="2">
        <v>44252.398657407408</v>
      </c>
      <c r="G2444" s="3">
        <v>4.5324074075324461E-2</v>
      </c>
      <c r="H2444" s="3">
        <v>3939.8534488286214</v>
      </c>
      <c r="I2444" s="3">
        <v>65.664224147143685</v>
      </c>
      <c r="J2444" s="3">
        <v>1.0944037357857281</v>
      </c>
      <c r="K2444" t="s">
        <v>73</v>
      </c>
    </row>
    <row r="2445" spans="1:11" x14ac:dyDescent="0.35">
      <c r="A2445">
        <v>2444</v>
      </c>
      <c r="B2445" t="s">
        <v>16</v>
      </c>
      <c r="C2445" t="s">
        <v>16</v>
      </c>
      <c r="D2445" t="s">
        <v>140</v>
      </c>
      <c r="E2445" s="2">
        <v>44252.39875</v>
      </c>
      <c r="F2445" s="2">
        <v>44252.406527777777</v>
      </c>
      <c r="G2445" s="3">
        <v>7.7777777769370005E-3</v>
      </c>
      <c r="H2445" s="3">
        <v>676.09333944167247</v>
      </c>
      <c r="I2445" s="3">
        <v>11.268222324027874</v>
      </c>
      <c r="J2445" s="3">
        <v>0.18780370540046457</v>
      </c>
    </row>
    <row r="2446" spans="1:11" x14ac:dyDescent="0.35">
      <c r="A2446">
        <v>2445</v>
      </c>
      <c r="B2446" t="s">
        <v>2</v>
      </c>
      <c r="C2446" t="s">
        <v>96</v>
      </c>
      <c r="D2446" t="s">
        <v>140</v>
      </c>
      <c r="E2446" s="2">
        <v>44252.406805555554</v>
      </c>
      <c r="F2446" s="2">
        <v>44252.476388888892</v>
      </c>
      <c r="G2446" s="3">
        <v>6.9583333337504882E-2</v>
      </c>
      <c r="H2446" s="3">
        <v>6048.6207699500064</v>
      </c>
      <c r="I2446" s="3">
        <v>100.81034616583344</v>
      </c>
      <c r="J2446" s="3">
        <v>1.6801724360972239</v>
      </c>
    </row>
    <row r="2447" spans="1:11" x14ac:dyDescent="0.35">
      <c r="A2447">
        <v>2446</v>
      </c>
      <c r="B2447" t="s">
        <v>2</v>
      </c>
      <c r="C2447" t="s">
        <v>132</v>
      </c>
      <c r="D2447" t="s">
        <v>140</v>
      </c>
      <c r="E2447" s="2">
        <v>44252.476539351854</v>
      </c>
      <c r="F2447" s="2">
        <v>44252.541666666664</v>
      </c>
      <c r="G2447" s="3">
        <v>6.5127314810524695E-2</v>
      </c>
      <c r="H2447" s="3">
        <v>5661.275626784136</v>
      </c>
      <c r="I2447" s="3">
        <v>94.354593779735595</v>
      </c>
      <c r="J2447" s="3">
        <v>1.5725765629955932</v>
      </c>
      <c r="K2447" t="s">
        <v>93</v>
      </c>
    </row>
    <row r="2448" spans="1:11" x14ac:dyDescent="0.35">
      <c r="A2448">
        <v>2447</v>
      </c>
      <c r="B2448" t="s">
        <v>2</v>
      </c>
      <c r="C2448" t="s">
        <v>96</v>
      </c>
      <c r="D2448" t="s">
        <v>140</v>
      </c>
      <c r="E2448" s="2">
        <v>44252.558599537035</v>
      </c>
      <c r="F2448" s="2">
        <v>44252.563402777778</v>
      </c>
      <c r="G2448" s="3">
        <v>4.803240743058268E-3</v>
      </c>
      <c r="H2448" s="3">
        <v>417.52788100297875</v>
      </c>
      <c r="I2448" s="3">
        <v>6.9587980167163126</v>
      </c>
      <c r="J2448" s="3">
        <v>0.11597996694527188</v>
      </c>
    </row>
    <row r="2449" spans="1:11" x14ac:dyDescent="0.35">
      <c r="A2449">
        <v>2448</v>
      </c>
      <c r="B2449" t="s">
        <v>16</v>
      </c>
      <c r="C2449" t="s">
        <v>16</v>
      </c>
      <c r="D2449" t="s">
        <v>140</v>
      </c>
      <c r="E2449" s="2">
        <v>44252.56349537037</v>
      </c>
      <c r="F2449" s="2">
        <v>44252.592511574076</v>
      </c>
      <c r="G2449" s="3">
        <v>2.9016203705396038E-2</v>
      </c>
      <c r="H2449" s="3">
        <v>2522.2708366999336</v>
      </c>
      <c r="I2449" s="3">
        <v>42.037847278332229</v>
      </c>
      <c r="J2449" s="3">
        <v>0.70063078797220379</v>
      </c>
    </row>
    <row r="2450" spans="1:11" x14ac:dyDescent="0.35">
      <c r="A2450">
        <v>2449</v>
      </c>
      <c r="B2450" t="s">
        <v>2</v>
      </c>
      <c r="C2450" t="s">
        <v>132</v>
      </c>
      <c r="D2450" t="s">
        <v>140</v>
      </c>
      <c r="E2450" s="2">
        <v>44252.592800925922</v>
      </c>
      <c r="F2450" s="2">
        <v>44252.66846064815</v>
      </c>
      <c r="G2450" s="3">
        <v>7.5659722228010651E-2</v>
      </c>
      <c r="H2450" s="3">
        <v>6576.8186915864608</v>
      </c>
      <c r="I2450" s="3">
        <v>109.61364485977434</v>
      </c>
      <c r="J2450" s="3">
        <v>1.8268940809962391</v>
      </c>
      <c r="K2450" t="s">
        <v>93</v>
      </c>
    </row>
    <row r="2451" spans="1:11" x14ac:dyDescent="0.35">
      <c r="A2451">
        <v>2450</v>
      </c>
      <c r="B2451" t="s">
        <v>2</v>
      </c>
      <c r="C2451" t="s">
        <v>96</v>
      </c>
      <c r="D2451" t="s">
        <v>140</v>
      </c>
      <c r="E2451" s="2">
        <v>44252.668726851851</v>
      </c>
      <c r="F2451" s="2">
        <v>44252.714849537035</v>
      </c>
      <c r="G2451" s="3">
        <v>4.6122685183945578E-2</v>
      </c>
      <c r="H2451" s="3">
        <v>4009.2737468659229</v>
      </c>
      <c r="I2451" s="3">
        <v>66.821229114432043</v>
      </c>
      <c r="J2451" s="3">
        <v>1.1136871519072007</v>
      </c>
    </row>
    <row r="2452" spans="1:11" x14ac:dyDescent="0.35">
      <c r="A2452">
        <v>2451</v>
      </c>
      <c r="B2452" t="s">
        <v>11</v>
      </c>
      <c r="C2452" t="s">
        <v>11</v>
      </c>
      <c r="D2452" t="s">
        <v>140</v>
      </c>
      <c r="E2452" s="2">
        <v>44252.714942129627</v>
      </c>
      <c r="F2452" s="2">
        <v>44252.72074074074</v>
      </c>
      <c r="G2452" s="3">
        <v>5.7986111132777296E-3</v>
      </c>
      <c r="H2452" s="3">
        <v>504.05173098728523</v>
      </c>
      <c r="I2452" s="3">
        <v>8.4008621831214203</v>
      </c>
      <c r="J2452" s="3">
        <v>0.14001436971869033</v>
      </c>
    </row>
    <row r="2453" spans="1:11" x14ac:dyDescent="0.35">
      <c r="A2453">
        <v>2452</v>
      </c>
      <c r="B2453" t="s">
        <v>11</v>
      </c>
      <c r="C2453" t="s">
        <v>11</v>
      </c>
      <c r="D2453" t="s">
        <v>140</v>
      </c>
      <c r="E2453" s="2">
        <v>44253.334328703706</v>
      </c>
      <c r="F2453" s="2">
        <v>44253.347546296296</v>
      </c>
      <c r="G2453" s="3">
        <v>1.321759259008104E-2</v>
      </c>
      <c r="H2453" s="3">
        <v>1148.9562404451528</v>
      </c>
      <c r="I2453" s="3">
        <v>19.14927067408588</v>
      </c>
      <c r="J2453" s="3">
        <v>0.31915451123476468</v>
      </c>
    </row>
    <row r="2454" spans="1:11" x14ac:dyDescent="0.35">
      <c r="A2454">
        <v>2453</v>
      </c>
      <c r="B2454" t="s">
        <v>11</v>
      </c>
      <c r="C2454" t="s">
        <v>11</v>
      </c>
      <c r="D2454" t="s">
        <v>140</v>
      </c>
      <c r="E2454" s="2">
        <v>44253.347638888888</v>
      </c>
      <c r="F2454" s="2">
        <v>44253.374872685185</v>
      </c>
      <c r="G2454" s="3">
        <v>2.7233796296059154E-2</v>
      </c>
      <c r="H2454" s="3">
        <v>2367.3327795600794</v>
      </c>
      <c r="I2454" s="3">
        <v>39.455546326001325</v>
      </c>
      <c r="J2454" s="3">
        <v>0.65759243876668871</v>
      </c>
    </row>
    <row r="2455" spans="1:11" x14ac:dyDescent="0.35">
      <c r="A2455">
        <v>2454</v>
      </c>
      <c r="B2455" t="s">
        <v>2</v>
      </c>
      <c r="C2455" t="s">
        <v>96</v>
      </c>
      <c r="D2455" t="s">
        <v>140</v>
      </c>
      <c r="E2455" s="2">
        <v>44253.375069444446</v>
      </c>
      <c r="F2455" s="2">
        <v>44253.412523148145</v>
      </c>
      <c r="G2455" s="3">
        <v>3.7453703698702157E-2</v>
      </c>
      <c r="H2455" s="3">
        <v>3255.711378538087</v>
      </c>
      <c r="I2455" s="3">
        <v>54.26185630896812</v>
      </c>
      <c r="J2455" s="3">
        <v>0.90436427181613532</v>
      </c>
    </row>
    <row r="2456" spans="1:11" x14ac:dyDescent="0.35">
      <c r="A2456">
        <v>2455</v>
      </c>
      <c r="B2456" t="s">
        <v>16</v>
      </c>
      <c r="C2456" t="s">
        <v>16</v>
      </c>
      <c r="D2456" t="s">
        <v>140</v>
      </c>
      <c r="E2456" s="2">
        <v>44253.412673611114</v>
      </c>
      <c r="F2456" s="2">
        <v>44253.466273148151</v>
      </c>
      <c r="G2456" s="3">
        <v>5.3599537037371192E-2</v>
      </c>
      <c r="H2456" s="3">
        <v>4659.2087132624465</v>
      </c>
      <c r="I2456" s="3">
        <v>77.653478554374104</v>
      </c>
      <c r="J2456" s="3">
        <v>1.2942246425729018</v>
      </c>
    </row>
    <row r="2457" spans="1:11" x14ac:dyDescent="0.35">
      <c r="A2457">
        <v>2456</v>
      </c>
      <c r="B2457" t="s">
        <v>2</v>
      </c>
      <c r="C2457" t="s">
        <v>96</v>
      </c>
      <c r="D2457" t="s">
        <v>140</v>
      </c>
      <c r="E2457" s="2">
        <v>44253.466423611113</v>
      </c>
      <c r="F2457" s="2">
        <v>44253.508206018516</v>
      </c>
      <c r="G2457" s="3">
        <v>4.1782407402934041E-2</v>
      </c>
      <c r="H2457" s="3">
        <v>3631.9895169448919</v>
      </c>
      <c r="I2457" s="3">
        <v>60.533158615748199</v>
      </c>
      <c r="J2457" s="3">
        <v>1.0088859769291367</v>
      </c>
    </row>
    <row r="2458" spans="1:11" x14ac:dyDescent="0.35">
      <c r="A2458">
        <v>2457</v>
      </c>
      <c r="B2458" t="s">
        <v>11</v>
      </c>
      <c r="C2458" t="s">
        <v>11</v>
      </c>
      <c r="D2458" t="s">
        <v>140</v>
      </c>
      <c r="E2458" s="2">
        <v>44253.508310185185</v>
      </c>
      <c r="F2458" s="2">
        <v>44253.539687500001</v>
      </c>
      <c r="G2458" s="3">
        <v>3.1377314815472346E-2</v>
      </c>
      <c r="H2458" s="3">
        <v>2727.5134575341049</v>
      </c>
      <c r="I2458" s="3">
        <v>45.458557625568417</v>
      </c>
      <c r="J2458" s="3">
        <v>0.75764262709280694</v>
      </c>
    </row>
    <row r="2459" spans="1:11" x14ac:dyDescent="0.35">
      <c r="A2459">
        <v>2458</v>
      </c>
      <c r="B2459" t="s">
        <v>16</v>
      </c>
      <c r="C2459" t="s">
        <v>16</v>
      </c>
      <c r="D2459" t="s">
        <v>140</v>
      </c>
      <c r="E2459" s="2">
        <v>44253.539768518516</v>
      </c>
      <c r="F2459" s="2">
        <v>44253.550057870372</v>
      </c>
      <c r="G2459" s="3">
        <v>1.0289351856044959E-2</v>
      </c>
      <c r="H2459" s="3">
        <v>894.41514743088999</v>
      </c>
      <c r="I2459" s="3">
        <v>14.906919123848166</v>
      </c>
      <c r="J2459" s="3">
        <v>0.24844865206413611</v>
      </c>
    </row>
    <row r="2460" spans="1:11" x14ac:dyDescent="0.35">
      <c r="A2460">
        <v>2459</v>
      </c>
      <c r="B2460" t="s">
        <v>2</v>
      </c>
      <c r="C2460" t="s">
        <v>136</v>
      </c>
      <c r="D2460" t="s">
        <v>140</v>
      </c>
      <c r="E2460" s="2">
        <v>44253.550370370373</v>
      </c>
      <c r="F2460" s="2">
        <v>44253.578703703701</v>
      </c>
      <c r="G2460" s="3">
        <v>2.8333333328191657E-2</v>
      </c>
      <c r="H2460" s="3">
        <v>2462.911450642529</v>
      </c>
      <c r="I2460" s="3">
        <v>41.048524177375484</v>
      </c>
      <c r="J2460" s="3">
        <v>0.68414206962292468</v>
      </c>
      <c r="K2460" t="s">
        <v>90</v>
      </c>
    </row>
    <row r="2461" spans="1:11" x14ac:dyDescent="0.35">
      <c r="A2461">
        <v>2460</v>
      </c>
      <c r="B2461" t="s">
        <v>2</v>
      </c>
      <c r="C2461" t="s">
        <v>72</v>
      </c>
      <c r="D2461" t="s">
        <v>140</v>
      </c>
      <c r="E2461" s="2">
        <v>44253.578877314816</v>
      </c>
      <c r="F2461" s="2">
        <v>44253.71502314815</v>
      </c>
      <c r="G2461" s="3">
        <v>0.13614583333401242</v>
      </c>
      <c r="H2461" s="3">
        <v>11834.651715404418</v>
      </c>
      <c r="I2461" s="3">
        <v>197.24419525674028</v>
      </c>
      <c r="J2461" s="3">
        <v>3.2874032542790048</v>
      </c>
      <c r="K2461" t="s">
        <v>73</v>
      </c>
    </row>
    <row r="2462" spans="1:11" x14ac:dyDescent="0.35">
      <c r="A2462">
        <v>2461</v>
      </c>
      <c r="B2462" t="s">
        <v>11</v>
      </c>
      <c r="C2462" t="s">
        <v>11</v>
      </c>
      <c r="D2462" t="s">
        <v>140</v>
      </c>
      <c r="E2462" s="2">
        <v>44253.715115740742</v>
      </c>
      <c r="F2462" s="2">
        <v>44253.807013888887</v>
      </c>
      <c r="G2462" s="3">
        <v>9.1898148144537117E-2</v>
      </c>
      <c r="H2462" s="3">
        <v>7988.364755262266</v>
      </c>
      <c r="I2462" s="3">
        <v>133.13941258770444</v>
      </c>
      <c r="J2462" s="3">
        <v>2.218990209795074</v>
      </c>
    </row>
    <row r="2463" spans="1:11" x14ac:dyDescent="0.35">
      <c r="A2463">
        <v>2462</v>
      </c>
      <c r="B2463" t="s">
        <v>11</v>
      </c>
      <c r="C2463" t="s">
        <v>11</v>
      </c>
      <c r="D2463" t="s">
        <v>140</v>
      </c>
      <c r="E2463" s="2">
        <v>44255.414386574077</v>
      </c>
      <c r="F2463" s="2">
        <v>44255.644606481481</v>
      </c>
      <c r="G2463" s="3">
        <v>0.23021990740380716</v>
      </c>
      <c r="H2463" s="3">
        <v>20012.161631068077</v>
      </c>
      <c r="I2463" s="3">
        <v>333.53602718446797</v>
      </c>
      <c r="J2463" s="3">
        <v>5.5589337864077999</v>
      </c>
    </row>
    <row r="2464" spans="1:11" x14ac:dyDescent="0.35">
      <c r="A2464">
        <v>2463</v>
      </c>
      <c r="B2464" t="s">
        <v>11</v>
      </c>
      <c r="C2464" t="s">
        <v>11</v>
      </c>
      <c r="D2464" t="s">
        <v>140</v>
      </c>
      <c r="E2464" s="2">
        <v>44256.331956018519</v>
      </c>
      <c r="F2464" s="2">
        <v>44256.353043981479</v>
      </c>
      <c r="G2464" s="3">
        <v>2.1087962959427387E-2</v>
      </c>
      <c r="H2464" s="3">
        <v>1833.098310103215</v>
      </c>
      <c r="I2464" s="3">
        <v>30.551638501720252</v>
      </c>
      <c r="J2464" s="3">
        <v>0.50919397502867081</v>
      </c>
    </row>
    <row r="2465" spans="1:11" x14ac:dyDescent="0.35">
      <c r="A2465">
        <v>2464</v>
      </c>
      <c r="B2465" t="s">
        <v>2</v>
      </c>
      <c r="C2465" t="s">
        <v>72</v>
      </c>
      <c r="D2465" t="s">
        <v>140</v>
      </c>
      <c r="E2465" s="2">
        <v>44256.353182870371</v>
      </c>
      <c r="F2465" s="2">
        <v>44256.362685185188</v>
      </c>
      <c r="G2465" s="3">
        <v>9.5023148169275373E-3</v>
      </c>
      <c r="H2465" s="3">
        <v>826.00094027534226</v>
      </c>
      <c r="I2465" s="3">
        <v>13.76668233792237</v>
      </c>
      <c r="J2465" s="3">
        <v>0.2294447056320395</v>
      </c>
      <c r="K2465" t="s">
        <v>73</v>
      </c>
    </row>
    <row r="2466" spans="1:11" x14ac:dyDescent="0.35">
      <c r="A2466">
        <v>2465</v>
      </c>
      <c r="B2466" t="s">
        <v>2</v>
      </c>
      <c r="C2466" t="s">
        <v>96</v>
      </c>
      <c r="D2466" t="s">
        <v>140</v>
      </c>
      <c r="E2466" s="2">
        <v>44256.362835648149</v>
      </c>
      <c r="F2466" s="2">
        <v>44256.375590277778</v>
      </c>
      <c r="G2466" s="3">
        <v>1.2754629628034309E-2</v>
      </c>
      <c r="H2466" s="3">
        <v>1108.7125893632049</v>
      </c>
      <c r="I2466" s="3">
        <v>18.478543156053416</v>
      </c>
      <c r="J2466" s="3">
        <v>0.3079757192675569</v>
      </c>
    </row>
    <row r="2467" spans="1:11" x14ac:dyDescent="0.35">
      <c r="A2467">
        <v>2466</v>
      </c>
      <c r="B2467" t="s">
        <v>2</v>
      </c>
      <c r="C2467" t="s">
        <v>96</v>
      </c>
      <c r="D2467" t="s">
        <v>140</v>
      </c>
      <c r="E2467" s="2">
        <v>44256.375775462962</v>
      </c>
      <c r="F2467" s="2">
        <v>44256.382696759261</v>
      </c>
      <c r="G2467" s="3">
        <v>6.921296298969537E-3</v>
      </c>
      <c r="H2467" s="3">
        <v>601.64258509818637</v>
      </c>
      <c r="I2467" s="3">
        <v>10.027376418303106</v>
      </c>
      <c r="J2467" s="3">
        <v>0.16712294030505176</v>
      </c>
    </row>
    <row r="2468" spans="1:11" x14ac:dyDescent="0.35">
      <c r="A2468">
        <v>2467</v>
      </c>
      <c r="B2468" t="s">
        <v>2</v>
      </c>
      <c r="C2468" t="s">
        <v>96</v>
      </c>
      <c r="D2468" t="s">
        <v>140</v>
      </c>
      <c r="E2468" s="2">
        <v>44256.382847222223</v>
      </c>
      <c r="F2468" s="2">
        <v>44256.384953703702</v>
      </c>
      <c r="G2468" s="3">
        <v>2.1064814791316167E-3</v>
      </c>
      <c r="H2468" s="3">
        <v>183.10861258098197</v>
      </c>
      <c r="I2468" s="3">
        <v>3.0518102096830328</v>
      </c>
      <c r="J2468" s="3">
        <v>5.0863503494717216E-2</v>
      </c>
    </row>
    <row r="2469" spans="1:11" x14ac:dyDescent="0.35">
      <c r="A2469">
        <v>2468</v>
      </c>
      <c r="B2469" t="s">
        <v>2</v>
      </c>
      <c r="C2469" t="s">
        <v>72</v>
      </c>
      <c r="D2469" t="s">
        <v>140</v>
      </c>
      <c r="E2469" s="2">
        <v>44256.385069444441</v>
      </c>
      <c r="F2469" s="2">
        <v>44256.399733796294</v>
      </c>
      <c r="G2469" s="3">
        <v>1.4664351852843538E-2</v>
      </c>
      <c r="H2469" s="3">
        <v>1274.7176506296537</v>
      </c>
      <c r="I2469" s="3">
        <v>21.245294177160893</v>
      </c>
      <c r="J2469" s="3">
        <v>0.35408823628601488</v>
      </c>
      <c r="K2469" t="s">
        <v>73</v>
      </c>
    </row>
    <row r="2470" spans="1:11" x14ac:dyDescent="0.35">
      <c r="A2470">
        <v>2469</v>
      </c>
      <c r="B2470" t="s">
        <v>2</v>
      </c>
      <c r="C2470" t="s">
        <v>96</v>
      </c>
      <c r="D2470" t="s">
        <v>140</v>
      </c>
      <c r="E2470" s="2">
        <v>44256.399895833332</v>
      </c>
      <c r="F2470" s="2">
        <v>44256.427337962959</v>
      </c>
      <c r="G2470" s="3">
        <v>2.7442129627161194E-2</v>
      </c>
      <c r="H2470" s="3">
        <v>2385.4424223888382</v>
      </c>
      <c r="I2470" s="3">
        <v>39.757373706480635</v>
      </c>
      <c r="J2470" s="3">
        <v>0.66262289510801053</v>
      </c>
    </row>
    <row r="2471" spans="1:11" x14ac:dyDescent="0.35">
      <c r="A2471">
        <v>2470</v>
      </c>
      <c r="B2471" t="s">
        <v>16</v>
      </c>
      <c r="C2471" t="s">
        <v>16</v>
      </c>
      <c r="D2471" t="s">
        <v>140</v>
      </c>
      <c r="E2471" s="2">
        <v>44256.427465277775</v>
      </c>
      <c r="F2471" s="2">
        <v>44256.445127314815</v>
      </c>
      <c r="G2471" s="3">
        <v>1.7662037040281575E-2</v>
      </c>
      <c r="H2471" s="3">
        <v>1535.2952920967989</v>
      </c>
      <c r="I2471" s="3">
        <v>25.588254868279982</v>
      </c>
      <c r="J2471" s="3">
        <v>0.42647091447133306</v>
      </c>
    </row>
    <row r="2472" spans="1:11" x14ac:dyDescent="0.35">
      <c r="A2472">
        <v>2471</v>
      </c>
      <c r="B2472" t="s">
        <v>2</v>
      </c>
      <c r="C2472" t="s">
        <v>96</v>
      </c>
      <c r="D2472" t="s">
        <v>140</v>
      </c>
      <c r="E2472" s="2">
        <v>44256.445335648146</v>
      </c>
      <c r="F2472" s="2">
        <v>44256.456724537034</v>
      </c>
      <c r="G2472" s="3">
        <v>1.1388888888177462E-2</v>
      </c>
      <c r="H2472" s="3">
        <v>989.99381851333987</v>
      </c>
      <c r="I2472" s="3">
        <v>16.499896975222331</v>
      </c>
      <c r="J2472" s="3">
        <v>0.27499828292037221</v>
      </c>
    </row>
    <row r="2473" spans="1:11" x14ac:dyDescent="0.35">
      <c r="A2473">
        <v>2472</v>
      </c>
      <c r="B2473" t="s">
        <v>2</v>
      </c>
      <c r="C2473" t="s">
        <v>96</v>
      </c>
      <c r="D2473" t="s">
        <v>140</v>
      </c>
      <c r="E2473" s="2">
        <v>44256.45689814815</v>
      </c>
      <c r="F2473" s="2">
        <v>44256.457372685189</v>
      </c>
      <c r="G2473" s="3">
        <v>4.7453703882638365E-4</v>
      </c>
      <c r="H2473" s="3">
        <v>41.249742596173817</v>
      </c>
      <c r="I2473" s="3">
        <v>0.68749570993623033</v>
      </c>
      <c r="J2473" s="3">
        <v>1.1458261832270505E-2</v>
      </c>
    </row>
    <row r="2474" spans="1:11" x14ac:dyDescent="0.35">
      <c r="A2474">
        <v>2473</v>
      </c>
      <c r="B2474" t="s">
        <v>11</v>
      </c>
      <c r="C2474" t="s">
        <v>11</v>
      </c>
      <c r="D2474" t="s">
        <v>140</v>
      </c>
      <c r="E2474" s="2">
        <v>44256.457430555558</v>
      </c>
      <c r="F2474" s="2">
        <v>44256.464386574073</v>
      </c>
      <c r="G2474" s="3">
        <v>6.956018514756579E-3</v>
      </c>
      <c r="H2474" s="3">
        <v>604.66085837591959</v>
      </c>
      <c r="I2474" s="3">
        <v>10.077680972931994</v>
      </c>
      <c r="J2474" s="3">
        <v>0.16796134954886657</v>
      </c>
    </row>
    <row r="2475" spans="1:11" x14ac:dyDescent="0.35">
      <c r="A2475">
        <v>2474</v>
      </c>
      <c r="B2475" t="s">
        <v>2</v>
      </c>
      <c r="C2475" t="s">
        <v>96</v>
      </c>
      <c r="D2475" t="s">
        <v>140</v>
      </c>
      <c r="E2475" s="2">
        <v>44256.464537037034</v>
      </c>
      <c r="F2475" s="2">
        <v>44256.498541666668</v>
      </c>
      <c r="G2475" s="3">
        <v>3.4004629633272998E-2</v>
      </c>
      <c r="H2475" s="3">
        <v>2955.8961781356916</v>
      </c>
      <c r="I2475" s="3">
        <v>49.264936302261525</v>
      </c>
      <c r="J2475" s="3">
        <v>0.82108227170435877</v>
      </c>
    </row>
    <row r="2476" spans="1:11" x14ac:dyDescent="0.35">
      <c r="A2476">
        <v>2475</v>
      </c>
      <c r="B2476" t="s">
        <v>16</v>
      </c>
      <c r="C2476" t="s">
        <v>16</v>
      </c>
      <c r="D2476" t="s">
        <v>140</v>
      </c>
      <c r="E2476" s="2">
        <v>44256.498599537037</v>
      </c>
      <c r="F2476" s="2">
        <v>44256.520289351851</v>
      </c>
      <c r="G2476" s="3">
        <v>2.1689814813726116E-2</v>
      </c>
      <c r="H2476" s="3">
        <v>1885.4150568259836</v>
      </c>
      <c r="I2476" s="3">
        <v>31.423584280433058</v>
      </c>
      <c r="J2476" s="3">
        <v>0.52372640467388432</v>
      </c>
    </row>
    <row r="2477" spans="1:11" x14ac:dyDescent="0.35">
      <c r="A2477">
        <v>2476</v>
      </c>
      <c r="B2477" t="s">
        <v>11</v>
      </c>
      <c r="C2477" t="s">
        <v>11</v>
      </c>
      <c r="D2477" t="s">
        <v>140</v>
      </c>
      <c r="E2477" s="2">
        <v>44256.520682870374</v>
      </c>
      <c r="F2477" s="2">
        <v>44256.528275462966</v>
      </c>
      <c r="G2477" s="3">
        <v>7.5925925921183079E-3</v>
      </c>
      <c r="H2477" s="3">
        <v>659.99587900889321</v>
      </c>
      <c r="I2477" s="3">
        <v>10.999931316814887</v>
      </c>
      <c r="J2477" s="3">
        <v>0.18333218861358144</v>
      </c>
    </row>
    <row r="2478" spans="1:11" x14ac:dyDescent="0.35">
      <c r="A2478">
        <v>2477</v>
      </c>
      <c r="B2478" t="s">
        <v>11</v>
      </c>
      <c r="C2478" t="s">
        <v>11</v>
      </c>
      <c r="D2478" t="s">
        <v>140</v>
      </c>
      <c r="E2478" s="2">
        <v>44256.528368055559</v>
      </c>
      <c r="F2478" s="2">
        <v>44256.529166666667</v>
      </c>
      <c r="G2478" s="3">
        <v>7.9861110862111673E-4</v>
      </c>
      <c r="H2478" s="3">
        <v>69.420298037301521</v>
      </c>
      <c r="I2478" s="3">
        <v>1.1570049672883587</v>
      </c>
      <c r="J2478" s="3">
        <v>1.9283416121472646E-2</v>
      </c>
    </row>
    <row r="2479" spans="1:11" x14ac:dyDescent="0.35">
      <c r="A2479">
        <v>2478</v>
      </c>
      <c r="B2479" t="s">
        <v>2</v>
      </c>
      <c r="C2479" t="s">
        <v>96</v>
      </c>
      <c r="D2479" t="s">
        <v>140</v>
      </c>
      <c r="E2479" s="2">
        <v>44256.529305555552</v>
      </c>
      <c r="F2479" s="2">
        <v>44256.575752314813</v>
      </c>
      <c r="G2479" s="3">
        <v>4.6446759261016268E-2</v>
      </c>
      <c r="H2479" s="3">
        <v>4037.4443029395225</v>
      </c>
      <c r="I2479" s="3">
        <v>67.290738382325372</v>
      </c>
      <c r="J2479" s="3">
        <v>1.1215123063720895</v>
      </c>
    </row>
    <row r="2480" spans="1:11" x14ac:dyDescent="0.35">
      <c r="A2480">
        <v>2479</v>
      </c>
      <c r="B2480" t="s">
        <v>2</v>
      </c>
      <c r="C2480" t="s">
        <v>136</v>
      </c>
      <c r="D2480" t="s">
        <v>140</v>
      </c>
      <c r="E2480" s="2">
        <v>44256.575995370367</v>
      </c>
      <c r="F2480" s="2">
        <v>44256.654131944444</v>
      </c>
      <c r="G2480" s="3">
        <v>7.8136574076779652E-2</v>
      </c>
      <c r="H2480" s="3">
        <v>6792.1222250330011</v>
      </c>
      <c r="I2480" s="3">
        <v>113.20203708388335</v>
      </c>
      <c r="J2480" s="3">
        <v>1.8867006180647226</v>
      </c>
      <c r="K2480" t="s">
        <v>90</v>
      </c>
    </row>
    <row r="2481" spans="1:11" x14ac:dyDescent="0.35">
      <c r="A2481">
        <v>2480</v>
      </c>
      <c r="B2481" t="s">
        <v>2</v>
      </c>
      <c r="C2481" t="s">
        <v>136</v>
      </c>
      <c r="D2481" t="s">
        <v>140</v>
      </c>
      <c r="E2481" s="2">
        <v>44256.654363425929</v>
      </c>
      <c r="F2481" s="2">
        <v>44256.71199074074</v>
      </c>
      <c r="G2481" s="3">
        <v>5.7627314810815733E-2</v>
      </c>
      <c r="H2481" s="3">
        <v>5009.3284779916312</v>
      </c>
      <c r="I2481" s="3">
        <v>83.48880796652719</v>
      </c>
      <c r="J2481" s="3">
        <v>1.3914801327754531</v>
      </c>
      <c r="K2481" t="s">
        <v>90</v>
      </c>
    </row>
    <row r="2482" spans="1:11" x14ac:dyDescent="0.35">
      <c r="A2482">
        <v>2481</v>
      </c>
      <c r="B2482" t="s">
        <v>11</v>
      </c>
      <c r="C2482" t="s">
        <v>11</v>
      </c>
      <c r="D2482" t="s">
        <v>140</v>
      </c>
      <c r="E2482" s="2">
        <v>44257.32953703704</v>
      </c>
      <c r="F2482" s="2">
        <v>44257.352210648147</v>
      </c>
      <c r="G2482" s="3">
        <v>2.2673611107165925E-2</v>
      </c>
      <c r="H2482" s="3">
        <v>1970.9328152960643</v>
      </c>
      <c r="I2482" s="3">
        <v>32.848880254934407</v>
      </c>
      <c r="J2482" s="3">
        <v>0.54748133758224016</v>
      </c>
    </row>
    <row r="2483" spans="1:11" x14ac:dyDescent="0.35">
      <c r="A2483">
        <v>2482</v>
      </c>
      <c r="B2483" t="s">
        <v>2</v>
      </c>
      <c r="C2483" t="s">
        <v>132</v>
      </c>
      <c r="D2483" t="s">
        <v>140</v>
      </c>
      <c r="E2483" s="2">
        <v>44257.352303240739</v>
      </c>
      <c r="F2483" s="2">
        <v>44257.416342592594</v>
      </c>
      <c r="G2483" s="3">
        <v>6.4039351855171844E-2</v>
      </c>
      <c r="H2483" s="3">
        <v>5566.7030472159113</v>
      </c>
      <c r="I2483" s="3">
        <v>92.778384120265187</v>
      </c>
      <c r="J2483" s="3">
        <v>1.5463064020044197</v>
      </c>
      <c r="K2483" t="s">
        <v>93</v>
      </c>
    </row>
    <row r="2484" spans="1:11" x14ac:dyDescent="0.35">
      <c r="A2484">
        <v>2483</v>
      </c>
      <c r="B2484" t="s">
        <v>2</v>
      </c>
      <c r="C2484" t="s">
        <v>132</v>
      </c>
      <c r="D2484" t="s">
        <v>140</v>
      </c>
      <c r="E2484" s="2">
        <v>44257.416539351849</v>
      </c>
      <c r="F2484" s="2">
        <v>44257.450312499997</v>
      </c>
      <c r="G2484" s="3">
        <v>3.3773148148611654E-2</v>
      </c>
      <c r="H2484" s="3">
        <v>2935.7743522784817</v>
      </c>
      <c r="I2484" s="3">
        <v>48.929572537974693</v>
      </c>
      <c r="J2484" s="3">
        <v>0.81549287563291151</v>
      </c>
      <c r="K2484" t="s">
        <v>93</v>
      </c>
    </row>
    <row r="2485" spans="1:11" x14ac:dyDescent="0.35">
      <c r="A2485">
        <v>2484</v>
      </c>
      <c r="B2485" t="s">
        <v>2</v>
      </c>
      <c r="C2485" t="s">
        <v>132</v>
      </c>
      <c r="D2485" t="s">
        <v>140</v>
      </c>
      <c r="E2485" s="2">
        <v>44257.450462962966</v>
      </c>
      <c r="F2485" s="2">
        <v>44257.454942129632</v>
      </c>
      <c r="G2485" s="3">
        <v>4.4791666659875773E-3</v>
      </c>
      <c r="H2485" s="3">
        <v>389.3573249293791</v>
      </c>
      <c r="I2485" s="3">
        <v>6.4892887488229851</v>
      </c>
      <c r="J2485" s="3">
        <v>0.10815481248038308</v>
      </c>
      <c r="K2485" t="s">
        <v>93</v>
      </c>
    </row>
    <row r="2486" spans="1:11" x14ac:dyDescent="0.35">
      <c r="A2486">
        <v>2485</v>
      </c>
      <c r="B2486" t="s">
        <v>2</v>
      </c>
      <c r="C2486" t="s">
        <v>132</v>
      </c>
      <c r="D2486" t="s">
        <v>140</v>
      </c>
      <c r="E2486" s="2">
        <v>44257.455567129633</v>
      </c>
      <c r="F2486" s="2">
        <v>44257.490682870368</v>
      </c>
      <c r="G2486" s="3">
        <v>3.5115740734909195E-2</v>
      </c>
      <c r="H2486" s="3">
        <v>3052.4809400998952</v>
      </c>
      <c r="I2486" s="3">
        <v>50.874682334998255</v>
      </c>
      <c r="J2486" s="3">
        <v>0.84791137224997093</v>
      </c>
      <c r="K2486" t="s">
        <v>93</v>
      </c>
    </row>
    <row r="2487" spans="1:11" x14ac:dyDescent="0.35">
      <c r="A2487">
        <v>2486</v>
      </c>
      <c r="B2487" t="s">
        <v>16</v>
      </c>
      <c r="C2487" t="s">
        <v>16</v>
      </c>
      <c r="D2487" t="s">
        <v>140</v>
      </c>
      <c r="E2487" s="2">
        <v>44257.490844907406</v>
      </c>
      <c r="F2487" s="2">
        <v>44257.516006944446</v>
      </c>
      <c r="G2487" s="3">
        <v>2.5162037039990537E-2</v>
      </c>
      <c r="H2487" s="3">
        <v>2187.2424408893025</v>
      </c>
      <c r="I2487" s="3">
        <v>36.454040681488372</v>
      </c>
      <c r="J2487" s="3">
        <v>0.60756734469147289</v>
      </c>
    </row>
    <row r="2488" spans="1:11" x14ac:dyDescent="0.35">
      <c r="A2488">
        <v>2487</v>
      </c>
      <c r="B2488" t="s">
        <v>11</v>
      </c>
      <c r="C2488" t="s">
        <v>11</v>
      </c>
      <c r="D2488" t="s">
        <v>140</v>
      </c>
      <c r="E2488" s="2">
        <v>44257.516122685185</v>
      </c>
      <c r="F2488" s="2">
        <v>44257.516655092593</v>
      </c>
      <c r="G2488" s="3">
        <v>5.3240740817273036E-4</v>
      </c>
      <c r="H2488" s="3">
        <v>46.280198902358336</v>
      </c>
      <c r="I2488" s="3">
        <v>0.77133664837263893</v>
      </c>
      <c r="J2488" s="3">
        <v>1.2855610806210649E-2</v>
      </c>
    </row>
    <row r="2489" spans="1:11" x14ac:dyDescent="0.35">
      <c r="A2489">
        <v>2488</v>
      </c>
      <c r="B2489" t="s">
        <v>2</v>
      </c>
      <c r="C2489" t="s">
        <v>96</v>
      </c>
      <c r="D2489" t="s">
        <v>140</v>
      </c>
      <c r="E2489" s="2">
        <v>44257.516898148147</v>
      </c>
      <c r="F2489" s="2">
        <v>44257.566944444443</v>
      </c>
      <c r="G2489" s="3">
        <v>5.0046296295477077E-2</v>
      </c>
      <c r="H2489" s="3">
        <v>4350.3386904969639</v>
      </c>
      <c r="I2489" s="3">
        <v>72.505644841616061</v>
      </c>
      <c r="J2489" s="3">
        <v>1.2084274140269344</v>
      </c>
    </row>
    <row r="2490" spans="1:11" x14ac:dyDescent="0.35">
      <c r="A2490">
        <v>2489</v>
      </c>
      <c r="B2490" t="s">
        <v>2</v>
      </c>
      <c r="C2490" t="s">
        <v>96</v>
      </c>
      <c r="D2490" t="s">
        <v>140</v>
      </c>
      <c r="E2490" s="2">
        <v>44257.567106481481</v>
      </c>
      <c r="F2490" s="2">
        <v>44257.576458333337</v>
      </c>
      <c r="G2490" s="3">
        <v>9.3518518551718444E-3</v>
      </c>
      <c r="H2490" s="3">
        <v>812.92175375276804</v>
      </c>
      <c r="I2490" s="3">
        <v>13.548695895879467</v>
      </c>
      <c r="J2490" s="3">
        <v>0.22581159826465777</v>
      </c>
    </row>
    <row r="2491" spans="1:11" x14ac:dyDescent="0.35">
      <c r="A2491">
        <v>2490</v>
      </c>
      <c r="B2491" t="s">
        <v>2</v>
      </c>
      <c r="C2491" t="s">
        <v>136</v>
      </c>
      <c r="D2491" t="s">
        <v>140</v>
      </c>
      <c r="E2491" s="2">
        <v>44257.576620370368</v>
      </c>
      <c r="F2491" s="2">
        <v>44257.646087962959</v>
      </c>
      <c r="G2491" s="3">
        <v>6.9467592591536231E-2</v>
      </c>
      <c r="H2491" s="3">
        <v>6038.5598567051657</v>
      </c>
      <c r="I2491" s="3">
        <v>100.64266427841943</v>
      </c>
      <c r="J2491" s="3">
        <v>1.6773777379736572</v>
      </c>
      <c r="K2491" t="s">
        <v>90</v>
      </c>
    </row>
    <row r="2492" spans="1:11" x14ac:dyDescent="0.35">
      <c r="A2492">
        <v>2491</v>
      </c>
      <c r="B2492" t="s">
        <v>2</v>
      </c>
      <c r="C2492" t="s">
        <v>132</v>
      </c>
      <c r="D2492" t="s">
        <v>140</v>
      </c>
      <c r="E2492" s="2">
        <v>44257.646180555559</v>
      </c>
      <c r="F2492" s="2">
        <v>44257.669675925928</v>
      </c>
      <c r="G2492" s="3">
        <v>2.3495370369346347E-2</v>
      </c>
      <c r="H2492" s="3">
        <v>2042.3652963618172</v>
      </c>
      <c r="I2492" s="3">
        <v>34.039421606030288</v>
      </c>
      <c r="J2492" s="3">
        <v>0.56732369343383815</v>
      </c>
      <c r="K2492" t="s">
        <v>93</v>
      </c>
    </row>
    <row r="2493" spans="1:11" x14ac:dyDescent="0.35">
      <c r="A2493">
        <v>2492</v>
      </c>
      <c r="B2493" t="s">
        <v>16</v>
      </c>
      <c r="C2493" t="s">
        <v>16</v>
      </c>
      <c r="D2493" t="s">
        <v>140</v>
      </c>
      <c r="E2493" s="2">
        <v>44257.669803240744</v>
      </c>
      <c r="F2493" s="2">
        <v>44257.679305555554</v>
      </c>
      <c r="G2493" s="3">
        <v>9.5023148096515797E-3</v>
      </c>
      <c r="H2493" s="3">
        <v>826.00093964287021</v>
      </c>
      <c r="I2493" s="3">
        <v>13.76668232738117</v>
      </c>
      <c r="J2493" s="3">
        <v>0.22944470545635284</v>
      </c>
    </row>
    <row r="2494" spans="1:11" x14ac:dyDescent="0.35">
      <c r="A2494">
        <v>2493</v>
      </c>
      <c r="B2494" t="s">
        <v>2</v>
      </c>
      <c r="C2494" t="s">
        <v>136</v>
      </c>
      <c r="D2494" t="s">
        <v>140</v>
      </c>
      <c r="E2494" s="2">
        <v>44257.679560185185</v>
      </c>
      <c r="F2494" s="2">
        <v>44257.719375000001</v>
      </c>
      <c r="G2494" s="3">
        <v>3.9814814816054422E-2</v>
      </c>
      <c r="H2494" s="3">
        <v>3460.9540000047305</v>
      </c>
      <c r="I2494" s="3">
        <v>57.682566666745508</v>
      </c>
      <c r="J2494" s="3">
        <v>0.96137611111242516</v>
      </c>
      <c r="K2494" t="s">
        <v>90</v>
      </c>
    </row>
    <row r="2495" spans="1:11" x14ac:dyDescent="0.35">
      <c r="A2495">
        <v>2494</v>
      </c>
      <c r="B2495" t="s">
        <v>11</v>
      </c>
      <c r="C2495" t="s">
        <v>11</v>
      </c>
      <c r="D2495" t="s">
        <v>140</v>
      </c>
      <c r="E2495" s="2">
        <v>44257.725787037038</v>
      </c>
      <c r="F2495" s="2">
        <v>44257.778831018521</v>
      </c>
      <c r="G2495" s="3">
        <v>5.3043981482915115E-2</v>
      </c>
      <c r="H2495" s="3">
        <v>4610.9163319641093</v>
      </c>
      <c r="I2495" s="3">
        <v>76.848605532735149</v>
      </c>
      <c r="J2495" s="3">
        <v>1.2808100922122525</v>
      </c>
    </row>
    <row r="2496" spans="1:11" x14ac:dyDescent="0.35">
      <c r="A2496">
        <v>2495</v>
      </c>
      <c r="B2496" t="s">
        <v>2</v>
      </c>
      <c r="C2496" t="s">
        <v>72</v>
      </c>
      <c r="D2496" t="s">
        <v>140</v>
      </c>
      <c r="E2496" s="2">
        <v>44258.332916666666</v>
      </c>
      <c r="F2496" s="2">
        <v>44258.356689814813</v>
      </c>
      <c r="G2496" s="3">
        <v>2.3773148146574385E-2</v>
      </c>
      <c r="H2496" s="3">
        <v>2066.511487010986</v>
      </c>
      <c r="I2496" s="3">
        <v>34.441858116849765</v>
      </c>
      <c r="J2496" s="3">
        <v>0.57403096861416281</v>
      </c>
      <c r="K2496" t="s">
        <v>73</v>
      </c>
    </row>
    <row r="2497" spans="1:11" x14ac:dyDescent="0.35">
      <c r="A2497">
        <v>2496</v>
      </c>
      <c r="B2497" t="s">
        <v>11</v>
      </c>
      <c r="C2497" t="s">
        <v>11</v>
      </c>
      <c r="D2497" t="s">
        <v>140</v>
      </c>
      <c r="E2497" s="2">
        <v>44258.356770833336</v>
      </c>
      <c r="F2497" s="2">
        <v>44258.358460648145</v>
      </c>
      <c r="G2497" s="3">
        <v>1.6898148096515797E-3</v>
      </c>
      <c r="H2497" s="3">
        <v>146.88932629099267</v>
      </c>
      <c r="I2497" s="3">
        <v>2.4481554381832114</v>
      </c>
      <c r="J2497" s="3">
        <v>4.0802590636386853E-2</v>
      </c>
    </row>
    <row r="2498" spans="1:11" x14ac:dyDescent="0.35">
      <c r="A2498">
        <v>2497</v>
      </c>
      <c r="B2498" t="s">
        <v>2</v>
      </c>
      <c r="C2498" t="s">
        <v>96</v>
      </c>
      <c r="D2498" t="s">
        <v>140</v>
      </c>
      <c r="E2498" s="2">
        <v>44258.358657407407</v>
      </c>
      <c r="F2498" s="2">
        <v>44258.375925925924</v>
      </c>
      <c r="G2498" s="3">
        <v>1.7268518517084885E-2</v>
      </c>
      <c r="H2498" s="3">
        <v>1501.0881882027891</v>
      </c>
      <c r="I2498" s="3">
        <v>25.018136470046485</v>
      </c>
      <c r="J2498" s="3">
        <v>0.41696894116744143</v>
      </c>
    </row>
    <row r="2499" spans="1:11" x14ac:dyDescent="0.35">
      <c r="A2499">
        <v>2498</v>
      </c>
      <c r="B2499" t="s">
        <v>2</v>
      </c>
      <c r="C2499" t="s">
        <v>72</v>
      </c>
      <c r="D2499" t="s">
        <v>140</v>
      </c>
      <c r="E2499" s="2">
        <v>44258.376076388886</v>
      </c>
      <c r="F2499" s="2">
        <v>44258.396782407406</v>
      </c>
      <c r="G2499" s="3">
        <v>2.0706018520286307E-2</v>
      </c>
      <c r="H2499" s="3">
        <v>1799.8972983559029</v>
      </c>
      <c r="I2499" s="3">
        <v>29.998288305931716</v>
      </c>
      <c r="J2499" s="3">
        <v>0.49997147176552859</v>
      </c>
      <c r="K2499" t="s">
        <v>73</v>
      </c>
    </row>
    <row r="2500" spans="1:11" x14ac:dyDescent="0.35">
      <c r="A2500">
        <v>2499</v>
      </c>
      <c r="B2500" t="s">
        <v>11</v>
      </c>
      <c r="C2500" t="s">
        <v>11</v>
      </c>
      <c r="D2500" t="s">
        <v>140</v>
      </c>
      <c r="E2500" s="2">
        <v>44258.396944444445</v>
      </c>
      <c r="F2500" s="2">
        <v>44258.524097222224</v>
      </c>
      <c r="G2500" s="3">
        <v>0.12715277777897427</v>
      </c>
      <c r="H2500" s="3">
        <v>11052.918791635453</v>
      </c>
      <c r="I2500" s="3">
        <v>184.21531319392423</v>
      </c>
      <c r="J2500" s="3">
        <v>3.0702552198987374</v>
      </c>
    </row>
    <row r="2501" spans="1:11" x14ac:dyDescent="0.35">
      <c r="A2501">
        <v>2500</v>
      </c>
      <c r="B2501" t="s">
        <v>2</v>
      </c>
      <c r="C2501" t="s">
        <v>136</v>
      </c>
      <c r="D2501" t="s">
        <v>140</v>
      </c>
      <c r="E2501" s="2">
        <v>44258.524270833332</v>
      </c>
      <c r="F2501" s="2">
        <v>44258.581458333334</v>
      </c>
      <c r="G2501" s="3">
        <v>5.7187500002328306E-2</v>
      </c>
      <c r="H2501" s="3">
        <v>4971.0970099381348</v>
      </c>
      <c r="I2501" s="3">
        <v>82.851616832302241</v>
      </c>
      <c r="J2501" s="3">
        <v>1.3808602805383707</v>
      </c>
      <c r="K2501" t="s">
        <v>90</v>
      </c>
    </row>
    <row r="2502" spans="1:11" x14ac:dyDescent="0.35">
      <c r="A2502">
        <v>2501</v>
      </c>
      <c r="B2502" t="s">
        <v>2</v>
      </c>
      <c r="C2502" t="s">
        <v>96</v>
      </c>
      <c r="D2502" t="s">
        <v>140</v>
      </c>
      <c r="E2502" s="2">
        <v>44258.581608796296</v>
      </c>
      <c r="F2502" s="2">
        <v>44258.589305555557</v>
      </c>
      <c r="G2502" s="3">
        <v>7.6967592613073066E-3</v>
      </c>
      <c r="H2502" s="3">
        <v>669.05070073950856</v>
      </c>
      <c r="I2502" s="3">
        <v>11.150845012325142</v>
      </c>
      <c r="J2502" s="3">
        <v>0.1858474168720857</v>
      </c>
    </row>
    <row r="2503" spans="1:11" x14ac:dyDescent="0.35">
      <c r="A2503">
        <v>2502</v>
      </c>
      <c r="B2503" t="s">
        <v>2</v>
      </c>
      <c r="C2503" t="s">
        <v>136</v>
      </c>
      <c r="D2503" t="s">
        <v>140</v>
      </c>
      <c r="E2503" s="2">
        <v>44258.589456018519</v>
      </c>
      <c r="F2503" s="2">
        <v>44258.622106481482</v>
      </c>
      <c r="G2503" s="3">
        <v>3.2650462962919846E-2</v>
      </c>
      <c r="H2503" s="3">
        <v>2838.1834981675802</v>
      </c>
      <c r="I2503" s="3">
        <v>47.303058302793005</v>
      </c>
      <c r="J2503" s="3">
        <v>0.7883843050465501</v>
      </c>
      <c r="K2503" t="s">
        <v>90</v>
      </c>
    </row>
    <row r="2504" spans="1:11" x14ac:dyDescent="0.35">
      <c r="A2504">
        <v>2503</v>
      </c>
      <c r="B2504" t="s">
        <v>2</v>
      </c>
      <c r="C2504" t="s">
        <v>132</v>
      </c>
      <c r="D2504" t="s">
        <v>140</v>
      </c>
      <c r="E2504" s="2">
        <v>44258.622719907406</v>
      </c>
      <c r="F2504" s="2">
        <v>44258.6637962963</v>
      </c>
      <c r="G2504" s="3">
        <v>4.1076388893998228E-2</v>
      </c>
      <c r="H2504" s="3">
        <v>3570.6179497564522</v>
      </c>
      <c r="I2504" s="3">
        <v>59.510299162607538</v>
      </c>
      <c r="J2504" s="3">
        <v>0.99183831937679234</v>
      </c>
      <c r="K2504" t="s">
        <v>93</v>
      </c>
    </row>
    <row r="2505" spans="1:11" x14ac:dyDescent="0.35">
      <c r="A2505">
        <v>2504</v>
      </c>
      <c r="B2505" t="s">
        <v>2</v>
      </c>
      <c r="C2505" t="s">
        <v>136</v>
      </c>
      <c r="D2505" t="s">
        <v>140</v>
      </c>
      <c r="E2505" s="2">
        <v>44258.664768518516</v>
      </c>
      <c r="F2505" s="2">
        <v>44258.689918981479</v>
      </c>
      <c r="G2505" s="3">
        <v>2.5150462963210884E-2</v>
      </c>
      <c r="H2505" s="3">
        <v>2186.2363493750768</v>
      </c>
      <c r="I2505" s="3">
        <v>36.437272489584615</v>
      </c>
      <c r="J2505" s="3">
        <v>0.60728787482641022</v>
      </c>
      <c r="K2505" t="s">
        <v>90</v>
      </c>
    </row>
    <row r="2506" spans="1:11" x14ac:dyDescent="0.35">
      <c r="A2506">
        <v>2505</v>
      </c>
      <c r="B2506" t="s">
        <v>16</v>
      </c>
      <c r="C2506" t="s">
        <v>16</v>
      </c>
      <c r="D2506" t="s">
        <v>140</v>
      </c>
      <c r="E2506" s="2">
        <v>44258.690069444441</v>
      </c>
      <c r="F2506" s="2">
        <v>44258.736157407409</v>
      </c>
      <c r="G2506" s="3">
        <v>4.6087962968158536E-2</v>
      </c>
      <c r="H2506" s="3">
        <v>4006.2554735881895</v>
      </c>
      <c r="I2506" s="3">
        <v>66.770924559803163</v>
      </c>
      <c r="J2506" s="3">
        <v>1.112848742663386</v>
      </c>
    </row>
    <row r="2507" spans="1:11" x14ac:dyDescent="0.35">
      <c r="A2507">
        <v>2506</v>
      </c>
      <c r="B2507" t="s">
        <v>11</v>
      </c>
      <c r="C2507" t="s">
        <v>11</v>
      </c>
      <c r="D2507" t="s">
        <v>140</v>
      </c>
      <c r="E2507" s="2">
        <v>44258.73646990741</v>
      </c>
      <c r="F2507" s="2">
        <v>44258.776712962965</v>
      </c>
      <c r="G2507" s="3">
        <v>4.0243055555038154E-2</v>
      </c>
      <c r="H2507" s="3">
        <v>3498.1793771764737</v>
      </c>
      <c r="I2507" s="3">
        <v>58.302989619607892</v>
      </c>
      <c r="J2507" s="3">
        <v>0.97171649366013158</v>
      </c>
    </row>
    <row r="2508" spans="1:11" x14ac:dyDescent="0.35">
      <c r="A2508">
        <v>2507</v>
      </c>
      <c r="B2508" t="s">
        <v>2</v>
      </c>
      <c r="C2508" t="s">
        <v>72</v>
      </c>
      <c r="D2508" t="s">
        <v>140</v>
      </c>
      <c r="E2508" s="2">
        <v>44259.33222222222</v>
      </c>
      <c r="F2508" s="2">
        <v>44259.391469907408</v>
      </c>
      <c r="G2508" s="3">
        <v>5.9247685188893229E-2</v>
      </c>
      <c r="H2508" s="3">
        <v>5150.1812577271576</v>
      </c>
      <c r="I2508" s="3">
        <v>85.836354295452622</v>
      </c>
      <c r="J2508" s="3">
        <v>1.4306059049242104</v>
      </c>
      <c r="K2508" t="s">
        <v>73</v>
      </c>
    </row>
    <row r="2509" spans="1:11" x14ac:dyDescent="0.35">
      <c r="A2509">
        <v>2508</v>
      </c>
      <c r="B2509" t="s">
        <v>2</v>
      </c>
      <c r="C2509" t="s">
        <v>72</v>
      </c>
      <c r="D2509" t="s">
        <v>140</v>
      </c>
      <c r="E2509" s="2">
        <v>44259.391550925924</v>
      </c>
      <c r="F2509" s="2">
        <v>44259.419212962966</v>
      </c>
      <c r="G2509" s="3">
        <v>2.7662037042318843E-2</v>
      </c>
      <c r="H2509" s="3">
        <v>2404.5581573642944</v>
      </c>
      <c r="I2509" s="3">
        <v>40.07596928940491</v>
      </c>
      <c r="J2509" s="3">
        <v>0.66793282149008182</v>
      </c>
      <c r="K2509" t="s">
        <v>73</v>
      </c>
    </row>
    <row r="2510" spans="1:11" x14ac:dyDescent="0.35">
      <c r="A2510">
        <v>2509</v>
      </c>
      <c r="B2510" t="s">
        <v>16</v>
      </c>
      <c r="C2510" t="s">
        <v>16</v>
      </c>
      <c r="D2510" t="s">
        <v>140</v>
      </c>
      <c r="E2510" s="2">
        <v>44259.419328703705</v>
      </c>
      <c r="F2510" s="2">
        <v>44259.443622685183</v>
      </c>
      <c r="G2510" s="3">
        <v>2.4293981477967463E-2</v>
      </c>
      <c r="H2510" s="3">
        <v>2111.785594399119</v>
      </c>
      <c r="I2510" s="3">
        <v>35.196426573318647</v>
      </c>
      <c r="J2510" s="3">
        <v>0.58660710955531081</v>
      </c>
    </row>
    <row r="2511" spans="1:11" x14ac:dyDescent="0.35">
      <c r="A2511">
        <v>2510</v>
      </c>
      <c r="B2511" t="s">
        <v>2</v>
      </c>
      <c r="C2511" t="s">
        <v>132</v>
      </c>
      <c r="D2511" t="s">
        <v>140</v>
      </c>
      <c r="E2511" s="2">
        <v>44259.443773148145</v>
      </c>
      <c r="F2511" s="2">
        <v>44259.449988425928</v>
      </c>
      <c r="G2511" s="3">
        <v>6.2152777827577665E-3</v>
      </c>
      <c r="H2511" s="3">
        <v>540.2710172772745</v>
      </c>
      <c r="I2511" s="3">
        <v>9.0045169546212414</v>
      </c>
      <c r="J2511" s="3">
        <v>0.15007528257702069</v>
      </c>
      <c r="K2511" t="s">
        <v>93</v>
      </c>
    </row>
    <row r="2512" spans="1:11" x14ac:dyDescent="0.35">
      <c r="A2512">
        <v>2511</v>
      </c>
      <c r="B2512" t="s">
        <v>11</v>
      </c>
      <c r="C2512" t="s">
        <v>11</v>
      </c>
      <c r="D2512" t="s">
        <v>140</v>
      </c>
      <c r="E2512" s="2">
        <v>44259.450138888889</v>
      </c>
      <c r="F2512" s="2">
        <v>44259.457604166666</v>
      </c>
      <c r="G2512" s="3">
        <v>7.4652777766459621E-3</v>
      </c>
      <c r="H2512" s="3">
        <v>648.92887488229849</v>
      </c>
      <c r="I2512" s="3">
        <v>10.815481248038308</v>
      </c>
      <c r="J2512" s="3">
        <v>0.18025802080063846</v>
      </c>
    </row>
    <row r="2513" spans="1:11" x14ac:dyDescent="0.35">
      <c r="A2513">
        <v>2512</v>
      </c>
      <c r="B2513" t="s">
        <v>2</v>
      </c>
      <c r="C2513" t="s">
        <v>96</v>
      </c>
      <c r="D2513" t="s">
        <v>140</v>
      </c>
      <c r="E2513" s="2">
        <v>44259.457962962966</v>
      </c>
      <c r="F2513" s="2">
        <v>44259.471851851849</v>
      </c>
      <c r="G2513" s="3">
        <v>1.3888888883229811E-2</v>
      </c>
      <c r="H2513" s="3">
        <v>1207.3095343558598</v>
      </c>
      <c r="I2513" s="3">
        <v>20.121825572597665</v>
      </c>
      <c r="J2513" s="3">
        <v>0.33536375954329439</v>
      </c>
    </row>
    <row r="2514" spans="1:11" x14ac:dyDescent="0.35">
      <c r="A2514">
        <v>2513</v>
      </c>
      <c r="B2514" t="s">
        <v>11</v>
      </c>
      <c r="C2514" t="s">
        <v>11</v>
      </c>
      <c r="D2514" t="s">
        <v>140</v>
      </c>
      <c r="E2514" s="2">
        <v>44259.472002314818</v>
      </c>
      <c r="F2514" s="2">
        <v>44259.475127314814</v>
      </c>
      <c r="G2514" s="3">
        <v>3.1249999956344254E-3</v>
      </c>
      <c r="H2514" s="3">
        <v>271.64464496126783</v>
      </c>
      <c r="I2514" s="3">
        <v>4.5274107493544635</v>
      </c>
      <c r="J2514" s="3">
        <v>7.5456845822574392E-2</v>
      </c>
    </row>
    <row r="2515" spans="1:11" x14ac:dyDescent="0.35">
      <c r="A2515">
        <v>2514</v>
      </c>
      <c r="B2515" t="s">
        <v>2</v>
      </c>
      <c r="C2515" t="s">
        <v>96</v>
      </c>
      <c r="D2515" t="s">
        <v>140</v>
      </c>
      <c r="E2515" s="2">
        <v>44259.475300925929</v>
      </c>
      <c r="F2515" s="2">
        <v>44259.531608796293</v>
      </c>
      <c r="G2515" s="3">
        <v>5.6307870363525581E-2</v>
      </c>
      <c r="H2515" s="3">
        <v>4894.6340719337259</v>
      </c>
      <c r="I2515" s="3">
        <v>81.577234532228758</v>
      </c>
      <c r="J2515" s="3">
        <v>1.359620575537146</v>
      </c>
    </row>
    <row r="2516" spans="1:11" x14ac:dyDescent="0.35">
      <c r="A2516">
        <v>2515</v>
      </c>
      <c r="B2516" t="s">
        <v>16</v>
      </c>
      <c r="C2516" t="s">
        <v>16</v>
      </c>
      <c r="D2516" t="s">
        <v>140</v>
      </c>
      <c r="E2516" s="2">
        <v>44259.531712962962</v>
      </c>
      <c r="F2516" s="2">
        <v>44259.541435185187</v>
      </c>
      <c r="G2516" s="3">
        <v>9.7222222248092294E-3</v>
      </c>
      <c r="H2516" s="3">
        <v>845.11667461832656</v>
      </c>
      <c r="I2516" s="3">
        <v>14.085277910305443</v>
      </c>
      <c r="J2516" s="3">
        <v>0.23475463183842404</v>
      </c>
    </row>
    <row r="2517" spans="1:11" x14ac:dyDescent="0.35">
      <c r="A2517">
        <v>2516</v>
      </c>
      <c r="B2517" t="s">
        <v>2</v>
      </c>
      <c r="C2517" t="s">
        <v>96</v>
      </c>
      <c r="D2517" t="s">
        <v>140</v>
      </c>
      <c r="E2517" s="2">
        <v>44259.541585648149</v>
      </c>
      <c r="F2517" s="2">
        <v>44259.562337962961</v>
      </c>
      <c r="G2517" s="3">
        <v>2.0752314812853001E-2</v>
      </c>
      <c r="H2517" s="3">
        <v>1803.9216631478616</v>
      </c>
      <c r="I2517" s="3">
        <v>30.065361052464361</v>
      </c>
      <c r="J2517" s="3">
        <v>0.50108935087440598</v>
      </c>
    </row>
    <row r="2518" spans="1:11" x14ac:dyDescent="0.35">
      <c r="A2518">
        <v>2517</v>
      </c>
      <c r="B2518" t="s">
        <v>11</v>
      </c>
      <c r="C2518" t="s">
        <v>11</v>
      </c>
      <c r="D2518" t="s">
        <v>140</v>
      </c>
      <c r="E2518" s="2">
        <v>44259.563530092593</v>
      </c>
      <c r="F2518" s="2">
        <v>44259.638969907406</v>
      </c>
      <c r="G2518" s="3">
        <v>7.5439814812853001E-2</v>
      </c>
      <c r="H2518" s="3">
        <v>6557.702956611005</v>
      </c>
      <c r="I2518" s="3">
        <v>109.29504927685008</v>
      </c>
      <c r="J2518" s="3">
        <v>1.821584154614168</v>
      </c>
    </row>
    <row r="2519" spans="1:11" x14ac:dyDescent="0.35">
      <c r="A2519">
        <v>2518</v>
      </c>
      <c r="B2519" t="s">
        <v>11</v>
      </c>
      <c r="C2519" t="s">
        <v>11</v>
      </c>
      <c r="D2519" t="s">
        <v>140</v>
      </c>
      <c r="E2519" s="2">
        <v>44259.639548611114</v>
      </c>
      <c r="F2519" s="2">
        <v>44259.643634259257</v>
      </c>
      <c r="G2519" s="3">
        <v>4.0856481427908875E-3</v>
      </c>
      <c r="H2519" s="3">
        <v>355.15022103536921</v>
      </c>
      <c r="I2519" s="3">
        <v>5.9191703505894866</v>
      </c>
      <c r="J2519" s="3">
        <v>9.8652839176491439E-2</v>
      </c>
    </row>
    <row r="2520" spans="1:11" x14ac:dyDescent="0.35">
      <c r="A2520">
        <v>2519</v>
      </c>
      <c r="B2520" t="s">
        <v>2</v>
      </c>
      <c r="C2520" t="s">
        <v>96</v>
      </c>
      <c r="D2520" t="s">
        <v>140</v>
      </c>
      <c r="E2520" s="2">
        <v>44259.643750000003</v>
      </c>
      <c r="F2520" s="2">
        <v>44259.654803240737</v>
      </c>
      <c r="G2520" s="3">
        <v>1.1053240734327119E-2</v>
      </c>
      <c r="H2520" s="3">
        <v>960.81717092551446</v>
      </c>
      <c r="I2520" s="3">
        <v>16.013619515425241</v>
      </c>
      <c r="J2520" s="3">
        <v>0.26689365859042069</v>
      </c>
    </row>
    <row r="2521" spans="1:11" x14ac:dyDescent="0.35">
      <c r="A2521">
        <v>2520</v>
      </c>
      <c r="B2521" t="s">
        <v>2</v>
      </c>
      <c r="C2521" t="s">
        <v>96</v>
      </c>
      <c r="D2521" t="s">
        <v>140</v>
      </c>
      <c r="E2521" s="2">
        <v>44259.655046296299</v>
      </c>
      <c r="F2521" s="2">
        <v>44259.683437500003</v>
      </c>
      <c r="G2521" s="3">
        <v>2.8391203704813961E-2</v>
      </c>
      <c r="H2521" s="3">
        <v>2467.9419075811857</v>
      </c>
      <c r="I2521" s="3">
        <v>41.132365126353093</v>
      </c>
      <c r="J2521" s="3">
        <v>0.68553941877255153</v>
      </c>
    </row>
    <row r="2522" spans="1:11" x14ac:dyDescent="0.35">
      <c r="A2522">
        <v>2521</v>
      </c>
      <c r="B2522" t="s">
        <v>2</v>
      </c>
      <c r="C2522" t="s">
        <v>96</v>
      </c>
      <c r="D2522" t="s">
        <v>140</v>
      </c>
      <c r="E2522" s="2">
        <v>44259.683715277781</v>
      </c>
      <c r="F2522" s="2">
        <v>44259.70994212963</v>
      </c>
      <c r="G2522" s="3">
        <v>2.622685184906004E-2</v>
      </c>
      <c r="H2522" s="3">
        <v>2279.8028380615469</v>
      </c>
      <c r="I2522" s="3">
        <v>37.99671396769245</v>
      </c>
      <c r="J2522" s="3">
        <v>0.63327856612820754</v>
      </c>
    </row>
    <row r="2523" spans="1:11" x14ac:dyDescent="0.35">
      <c r="A2523">
        <v>2522</v>
      </c>
      <c r="B2523" t="s">
        <v>11</v>
      </c>
      <c r="C2523" t="s">
        <v>11</v>
      </c>
      <c r="D2523" t="s">
        <v>140</v>
      </c>
      <c r="E2523" s="2">
        <v>44259.845891203702</v>
      </c>
      <c r="F2523" s="2">
        <v>44259.915729166663</v>
      </c>
      <c r="G2523" s="3">
        <v>6.9837962961173616E-2</v>
      </c>
      <c r="H2523" s="3">
        <v>6070.7547775707244</v>
      </c>
      <c r="I2523" s="3">
        <v>101.17924629284541</v>
      </c>
      <c r="J2523" s="3">
        <v>1.6863207715474233</v>
      </c>
    </row>
    <row r="2524" spans="1:11" x14ac:dyDescent="0.35">
      <c r="A2524">
        <v>2523</v>
      </c>
      <c r="B2524" t="s">
        <v>11</v>
      </c>
      <c r="C2524" t="s">
        <v>11</v>
      </c>
      <c r="D2524" t="s">
        <v>140</v>
      </c>
      <c r="E2524" s="2">
        <v>44259.91920138889</v>
      </c>
      <c r="F2524" s="2">
        <v>44260.020833333336</v>
      </c>
      <c r="G2524" s="3">
        <v>0.101631944446126</v>
      </c>
      <c r="H2524" s="3">
        <v>8834.4875213948199</v>
      </c>
      <c r="I2524" s="3">
        <v>147.24145868991366</v>
      </c>
      <c r="J2524" s="3">
        <v>2.4540243114985612</v>
      </c>
    </row>
    <row r="2525" spans="1:11" x14ac:dyDescent="0.35">
      <c r="A2525">
        <v>2524</v>
      </c>
      <c r="B2525" t="s">
        <v>2</v>
      </c>
      <c r="C2525" t="s">
        <v>136</v>
      </c>
      <c r="D2525" t="s">
        <v>140</v>
      </c>
      <c r="E2525" s="2">
        <v>44260.331192129626</v>
      </c>
      <c r="F2525" s="2">
        <v>44260.360231481478</v>
      </c>
      <c r="G2525" s="3">
        <v>2.9039351851679385E-2</v>
      </c>
      <c r="H2525" s="3">
        <v>2524.283019095913</v>
      </c>
      <c r="I2525" s="3">
        <v>42.071383651598552</v>
      </c>
      <c r="J2525" s="3">
        <v>0.70118972752664255</v>
      </c>
      <c r="K2525" t="s">
        <v>90</v>
      </c>
    </row>
    <row r="2526" spans="1:11" x14ac:dyDescent="0.35">
      <c r="A2526">
        <v>2525</v>
      </c>
      <c r="B2526" t="s">
        <v>16</v>
      </c>
      <c r="C2526" t="s">
        <v>16</v>
      </c>
      <c r="D2526" t="s">
        <v>140</v>
      </c>
      <c r="E2526" s="2">
        <v>44260.360347222224</v>
      </c>
      <c r="F2526" s="2">
        <v>44260.374930555554</v>
      </c>
      <c r="G2526" s="3">
        <v>1.4583333329937886E-2</v>
      </c>
      <c r="H2526" s="3">
        <v>1267.6750112950178</v>
      </c>
      <c r="I2526" s="3">
        <v>21.127916854916965</v>
      </c>
      <c r="J2526" s="3">
        <v>0.35213194758194943</v>
      </c>
    </row>
    <row r="2527" spans="1:11" x14ac:dyDescent="0.35">
      <c r="A2527">
        <v>2526</v>
      </c>
      <c r="B2527" t="s">
        <v>2</v>
      </c>
      <c r="C2527" t="s">
        <v>72</v>
      </c>
      <c r="D2527" t="s">
        <v>140</v>
      </c>
      <c r="E2527" s="2">
        <v>44260.375057870369</v>
      </c>
      <c r="F2527" s="2">
        <v>44260.415879629632</v>
      </c>
      <c r="G2527" s="3">
        <v>4.0821759263053536E-2</v>
      </c>
      <c r="H2527" s="3">
        <v>3548.4839415032625</v>
      </c>
      <c r="I2527" s="3">
        <v>59.141399025054376</v>
      </c>
      <c r="J2527" s="3">
        <v>0.98568998375090622</v>
      </c>
      <c r="K2527" t="s">
        <v>73</v>
      </c>
    </row>
    <row r="2528" spans="1:11" x14ac:dyDescent="0.35">
      <c r="A2528">
        <v>2527</v>
      </c>
      <c r="B2528" t="s">
        <v>11</v>
      </c>
      <c r="C2528" t="s">
        <v>11</v>
      </c>
      <c r="D2528" t="s">
        <v>140</v>
      </c>
      <c r="E2528" s="2">
        <v>44260.416006944448</v>
      </c>
      <c r="F2528" s="2">
        <v>44260.425578703704</v>
      </c>
      <c r="G2528" s="3">
        <v>9.5717592557775788E-3</v>
      </c>
      <c r="H2528" s="3">
        <v>832.0374874632804</v>
      </c>
      <c r="I2528" s="3">
        <v>13.86729145772134</v>
      </c>
      <c r="J2528" s="3">
        <v>0.23112152429535565</v>
      </c>
    </row>
    <row r="2529" spans="1:11" x14ac:dyDescent="0.35">
      <c r="A2529">
        <v>2528</v>
      </c>
      <c r="B2529" t="s">
        <v>2</v>
      </c>
      <c r="C2529" t="s">
        <v>136</v>
      </c>
      <c r="D2529" t="s">
        <v>140</v>
      </c>
      <c r="E2529" s="2">
        <v>44260.425833333335</v>
      </c>
      <c r="F2529" s="2">
        <v>44260.458483796298</v>
      </c>
      <c r="G2529" s="3">
        <v>3.2650462962919846E-2</v>
      </c>
      <c r="H2529" s="3">
        <v>2838.1834981675802</v>
      </c>
      <c r="I2529" s="3">
        <v>47.303058302793005</v>
      </c>
      <c r="J2529" s="3">
        <v>0.7883843050465501</v>
      </c>
      <c r="K2529" t="s">
        <v>90</v>
      </c>
    </row>
    <row r="2530" spans="1:11" x14ac:dyDescent="0.35">
      <c r="A2530">
        <v>2529</v>
      </c>
      <c r="B2530" t="s">
        <v>11</v>
      </c>
      <c r="C2530" t="s">
        <v>11</v>
      </c>
      <c r="D2530" t="s">
        <v>140</v>
      </c>
      <c r="E2530" s="2">
        <v>44260.458680555559</v>
      </c>
      <c r="F2530" s="2">
        <v>44260.470289351855</v>
      </c>
      <c r="G2530" s="3">
        <v>1.1608796296059154E-2</v>
      </c>
      <c r="H2530" s="3">
        <v>1009.1095528563242</v>
      </c>
      <c r="I2530" s="3">
        <v>16.818492547605402</v>
      </c>
      <c r="J2530" s="3">
        <v>0.28030820912675669</v>
      </c>
    </row>
    <row r="2531" spans="1:11" x14ac:dyDescent="0.35">
      <c r="A2531">
        <v>2530</v>
      </c>
      <c r="B2531" t="s">
        <v>2</v>
      </c>
      <c r="C2531" t="s">
        <v>132</v>
      </c>
      <c r="D2531" t="s">
        <v>140</v>
      </c>
      <c r="E2531" s="2">
        <v>44260.470520833333</v>
      </c>
      <c r="F2531" s="2">
        <v>44260.492627314816</v>
      </c>
      <c r="G2531" s="3">
        <v>2.2106481483206153E-2</v>
      </c>
      <c r="H2531" s="3">
        <v>1921.6343431159728</v>
      </c>
      <c r="I2531" s="3">
        <v>32.027239051932881</v>
      </c>
      <c r="J2531" s="3">
        <v>0.53378731753221464</v>
      </c>
      <c r="K2531" t="s">
        <v>93</v>
      </c>
    </row>
    <row r="2532" spans="1:11" x14ac:dyDescent="0.35">
      <c r="A2532">
        <v>2531</v>
      </c>
      <c r="B2532" t="s">
        <v>16</v>
      </c>
      <c r="C2532" t="s">
        <v>16</v>
      </c>
      <c r="D2532" t="s">
        <v>140</v>
      </c>
      <c r="E2532" s="2">
        <v>44260.492708333331</v>
      </c>
      <c r="F2532" s="2">
        <v>44260.526666666665</v>
      </c>
      <c r="G2532" s="3">
        <v>3.3958333333430346E-2</v>
      </c>
      <c r="H2532" s="3">
        <v>2951.8718127112606</v>
      </c>
      <c r="I2532" s="3">
        <v>49.19786354518768</v>
      </c>
      <c r="J2532" s="3">
        <v>0.81996439241979469</v>
      </c>
    </row>
    <row r="2533" spans="1:11" x14ac:dyDescent="0.35">
      <c r="A2533">
        <v>2532</v>
      </c>
      <c r="B2533" t="s">
        <v>2</v>
      </c>
      <c r="C2533" t="s">
        <v>96</v>
      </c>
      <c r="D2533" t="s">
        <v>140</v>
      </c>
      <c r="E2533" s="2">
        <v>44260.526805555557</v>
      </c>
      <c r="F2533" s="2">
        <v>44260.606238425928</v>
      </c>
      <c r="G2533" s="3">
        <v>7.94328703705105E-2</v>
      </c>
      <c r="H2533" s="3">
        <v>6904.8044480624558</v>
      </c>
      <c r="I2533" s="3">
        <v>115.08007413437426</v>
      </c>
      <c r="J2533" s="3">
        <v>1.9180012355729044</v>
      </c>
    </row>
    <row r="2534" spans="1:11" x14ac:dyDescent="0.35">
      <c r="A2534">
        <v>2533</v>
      </c>
      <c r="B2534" t="s">
        <v>2</v>
      </c>
      <c r="C2534" t="s">
        <v>132</v>
      </c>
      <c r="D2534" t="s">
        <v>140</v>
      </c>
      <c r="E2534" s="2">
        <v>44260.606412037036</v>
      </c>
      <c r="F2534" s="2">
        <v>44260.621828703705</v>
      </c>
      <c r="G2534" s="3">
        <v>1.541666666889796E-2</v>
      </c>
      <c r="H2534" s="3">
        <v>1340.1135838749965</v>
      </c>
      <c r="I2534" s="3">
        <v>22.335226397916607</v>
      </c>
      <c r="J2534" s="3">
        <v>0.37225377329861009</v>
      </c>
      <c r="K2534" t="s">
        <v>93</v>
      </c>
    </row>
    <row r="2535" spans="1:11" x14ac:dyDescent="0.35">
      <c r="A2535">
        <v>2534</v>
      </c>
      <c r="B2535" t="s">
        <v>11</v>
      </c>
      <c r="C2535" t="s">
        <v>11</v>
      </c>
      <c r="D2535" t="s">
        <v>140</v>
      </c>
      <c r="E2535" s="2">
        <v>44260.622349537036</v>
      </c>
      <c r="F2535" s="2">
        <v>44260.629780092589</v>
      </c>
      <c r="G2535" s="3">
        <v>7.4305555535829626E-3</v>
      </c>
      <c r="H2535" s="3">
        <v>645.91060097209333</v>
      </c>
      <c r="I2535" s="3">
        <v>10.765176682868223</v>
      </c>
      <c r="J2535" s="3">
        <v>0.17941961138113705</v>
      </c>
    </row>
    <row r="2536" spans="1:11" x14ac:dyDescent="0.35">
      <c r="A2536">
        <v>2535</v>
      </c>
      <c r="B2536" t="s">
        <v>2</v>
      </c>
      <c r="C2536" t="s">
        <v>132</v>
      </c>
      <c r="D2536" t="s">
        <v>140</v>
      </c>
      <c r="E2536" s="2">
        <v>44260.630104166667</v>
      </c>
      <c r="F2536" s="2">
        <v>44260.642604166664</v>
      </c>
      <c r="G2536" s="3">
        <v>1.2499999997089617E-2</v>
      </c>
      <c r="H2536" s="3">
        <v>1086.5785811100154</v>
      </c>
      <c r="I2536" s="3">
        <v>18.109643018500257</v>
      </c>
      <c r="J2536" s="3">
        <v>0.30182738364167094</v>
      </c>
      <c r="K2536" t="s">
        <v>42</v>
      </c>
    </row>
    <row r="2537" spans="1:11" x14ac:dyDescent="0.35">
      <c r="A2537">
        <v>2536</v>
      </c>
      <c r="B2537" t="s">
        <v>2</v>
      </c>
      <c r="C2537" t="s">
        <v>132</v>
      </c>
      <c r="D2537" t="s">
        <v>140</v>
      </c>
      <c r="E2537" s="2">
        <v>44260.643055555556</v>
      </c>
      <c r="F2537" s="2">
        <v>44260.645891203705</v>
      </c>
      <c r="G2537" s="3">
        <v>2.8356481489026919E-3</v>
      </c>
      <c r="H2537" s="3">
        <v>246.49236343034525</v>
      </c>
      <c r="I2537" s="3">
        <v>4.1082060571724206</v>
      </c>
      <c r="J2537" s="3">
        <v>6.8470100952873675E-2</v>
      </c>
      <c r="K2537" t="s">
        <v>93</v>
      </c>
    </row>
    <row r="2538" spans="1:11" x14ac:dyDescent="0.35">
      <c r="A2538">
        <v>2537</v>
      </c>
      <c r="B2538" t="s">
        <v>11</v>
      </c>
      <c r="C2538" t="s">
        <v>11</v>
      </c>
      <c r="D2538" t="s">
        <v>140</v>
      </c>
      <c r="E2538" s="2">
        <v>44260.64603009259</v>
      </c>
      <c r="F2538" s="2">
        <v>44260.657905092594</v>
      </c>
      <c r="G2538" s="3">
        <v>1.1875000003783498E-2</v>
      </c>
      <c r="H2538" s="3">
        <v>1032.2496526237394</v>
      </c>
      <c r="I2538" s="3">
        <v>17.204160877062325</v>
      </c>
      <c r="J2538" s="3">
        <v>0.28673601461770543</v>
      </c>
    </row>
    <row r="2539" spans="1:11" x14ac:dyDescent="0.35">
      <c r="A2539">
        <v>2538</v>
      </c>
      <c r="B2539" t="s">
        <v>2</v>
      </c>
      <c r="C2539" t="s">
        <v>96</v>
      </c>
      <c r="D2539" t="s">
        <v>140</v>
      </c>
      <c r="E2539" s="2">
        <v>44260.658148148148</v>
      </c>
      <c r="F2539" s="2">
        <v>44260.688483796293</v>
      </c>
      <c r="G2539" s="3">
        <v>3.0335648145410232E-2</v>
      </c>
      <c r="H2539" s="3">
        <v>2636.9652421253677</v>
      </c>
      <c r="I2539" s="3">
        <v>43.949420702089462</v>
      </c>
      <c r="J2539" s="3">
        <v>0.73249034503482435</v>
      </c>
    </row>
    <row r="2540" spans="1:11" x14ac:dyDescent="0.35">
      <c r="A2540">
        <v>2539</v>
      </c>
      <c r="B2540" t="s">
        <v>11</v>
      </c>
      <c r="C2540" t="s">
        <v>11</v>
      </c>
      <c r="D2540" t="s">
        <v>140</v>
      </c>
      <c r="E2540" s="2">
        <v>44262.772280092591</v>
      </c>
      <c r="F2540" s="2">
        <v>44262.792129629626</v>
      </c>
      <c r="G2540" s="3">
        <v>1.9849537035042886E-2</v>
      </c>
      <c r="H2540" s="3">
        <v>1725.4465433799448</v>
      </c>
      <c r="I2540" s="3">
        <v>28.757442389665748</v>
      </c>
      <c r="J2540" s="3">
        <v>0.47929070649442912</v>
      </c>
    </row>
    <row r="2541" spans="1:11" x14ac:dyDescent="0.35">
      <c r="A2541">
        <v>2540</v>
      </c>
      <c r="B2541" t="s">
        <v>11</v>
      </c>
      <c r="C2541" t="s">
        <v>11</v>
      </c>
      <c r="D2541" t="s">
        <v>140</v>
      </c>
      <c r="E2541" s="2">
        <v>44263.334351851852</v>
      </c>
      <c r="F2541" s="2">
        <v>44263.344155092593</v>
      </c>
      <c r="G2541" s="3">
        <v>9.8032407404389232E-3</v>
      </c>
      <c r="H2541" s="3">
        <v>852.15931332049047</v>
      </c>
      <c r="I2541" s="3">
        <v>14.202655222008174</v>
      </c>
      <c r="J2541" s="3">
        <v>0.23671092036680288</v>
      </c>
    </row>
    <row r="2542" spans="1:11" x14ac:dyDescent="0.35">
      <c r="A2542">
        <v>2541</v>
      </c>
      <c r="B2542" t="s">
        <v>2</v>
      </c>
      <c r="C2542" t="s">
        <v>96</v>
      </c>
      <c r="D2542" t="s">
        <v>140</v>
      </c>
      <c r="E2542" s="2">
        <v>44263.344317129631</v>
      </c>
      <c r="F2542" s="2">
        <v>44263.35297453704</v>
      </c>
      <c r="G2542" s="3">
        <v>8.6574074084637687E-3</v>
      </c>
      <c r="H2542" s="3">
        <v>752.55627681360988</v>
      </c>
      <c r="I2542" s="3">
        <v>12.542604613560165</v>
      </c>
      <c r="J2542" s="3">
        <v>0.20904341022600276</v>
      </c>
    </row>
    <row r="2543" spans="1:11" x14ac:dyDescent="0.35">
      <c r="A2543">
        <v>2542</v>
      </c>
      <c r="B2543" t="s">
        <v>2</v>
      </c>
      <c r="C2543" t="s">
        <v>96</v>
      </c>
      <c r="D2543" t="s">
        <v>140</v>
      </c>
      <c r="E2543" s="2">
        <v>44263.353159722225</v>
      </c>
      <c r="F2543" s="2">
        <v>44263.356631944444</v>
      </c>
      <c r="G2543" s="3">
        <v>3.4722222189884633E-3</v>
      </c>
      <c r="H2543" s="3">
        <v>301.82738343084691</v>
      </c>
      <c r="I2543" s="3">
        <v>5.0304563905141153</v>
      </c>
      <c r="J2543" s="3">
        <v>8.3840939841901926E-2</v>
      </c>
    </row>
    <row r="2544" spans="1:11" x14ac:dyDescent="0.35">
      <c r="A2544">
        <v>2543</v>
      </c>
      <c r="B2544" t="s">
        <v>11</v>
      </c>
      <c r="C2544" t="s">
        <v>11</v>
      </c>
      <c r="D2544" t="s">
        <v>140</v>
      </c>
      <c r="E2544" s="2">
        <v>44263.356828703705</v>
      </c>
      <c r="F2544" s="2">
        <v>44263.36278935185</v>
      </c>
      <c r="G2544" s="3">
        <v>5.9606481445371173E-3</v>
      </c>
      <c r="H2544" s="3">
        <v>518.13700839161311</v>
      </c>
      <c r="I2544" s="3">
        <v>8.635616806526885</v>
      </c>
      <c r="J2544" s="3">
        <v>0.14392694677544809</v>
      </c>
    </row>
    <row r="2545" spans="1:11" x14ac:dyDescent="0.35">
      <c r="A2545">
        <v>2544</v>
      </c>
      <c r="B2545" t="s">
        <v>2</v>
      </c>
      <c r="C2545" t="s">
        <v>132</v>
      </c>
      <c r="D2545" t="s">
        <v>140</v>
      </c>
      <c r="E2545" s="2">
        <v>44263.36309027778</v>
      </c>
      <c r="F2545" s="2">
        <v>44263.372442129628</v>
      </c>
      <c r="G2545" s="3">
        <v>9.3518518478958867E-3</v>
      </c>
      <c r="H2545" s="3">
        <v>812.9217531202961</v>
      </c>
      <c r="I2545" s="3">
        <v>13.548695885338269</v>
      </c>
      <c r="J2545" s="3">
        <v>0.22581159808897114</v>
      </c>
      <c r="K2545" t="s">
        <v>93</v>
      </c>
    </row>
    <row r="2546" spans="1:11" x14ac:dyDescent="0.35">
      <c r="A2546">
        <v>2545</v>
      </c>
      <c r="B2546" t="s">
        <v>2</v>
      </c>
      <c r="C2546" t="s">
        <v>96</v>
      </c>
      <c r="D2546" t="s">
        <v>140</v>
      </c>
      <c r="E2546" s="2">
        <v>44263.372569444444</v>
      </c>
      <c r="F2546" s="2">
        <v>44263.381284722222</v>
      </c>
      <c r="G2546" s="3">
        <v>8.7152777778101154E-3</v>
      </c>
      <c r="H2546" s="3">
        <v>757.58673311979442</v>
      </c>
      <c r="I2546" s="3">
        <v>12.626445551996573</v>
      </c>
      <c r="J2546" s="3">
        <v>0.2104407591999429</v>
      </c>
    </row>
    <row r="2547" spans="1:11" x14ac:dyDescent="0.35">
      <c r="A2547">
        <v>2546</v>
      </c>
      <c r="B2547" t="s">
        <v>2</v>
      </c>
      <c r="C2547" t="s">
        <v>132</v>
      </c>
      <c r="D2547" t="s">
        <v>140</v>
      </c>
      <c r="E2547" s="2">
        <v>44263.381481481483</v>
      </c>
      <c r="F2547" s="2">
        <v>44263.417268518519</v>
      </c>
      <c r="G2547" s="3">
        <v>3.5787037035333924E-2</v>
      </c>
      <c r="H2547" s="3">
        <v>3110.8342346430741</v>
      </c>
      <c r="I2547" s="3">
        <v>51.847237244051236</v>
      </c>
      <c r="J2547" s="3">
        <v>0.86412062073418727</v>
      </c>
      <c r="K2547" t="s">
        <v>93</v>
      </c>
    </row>
    <row r="2548" spans="1:11" x14ac:dyDescent="0.35">
      <c r="A2548">
        <v>2547</v>
      </c>
      <c r="B2548" t="s">
        <v>16</v>
      </c>
      <c r="C2548" t="s">
        <v>16</v>
      </c>
      <c r="D2548" t="s">
        <v>140</v>
      </c>
      <c r="E2548" s="2">
        <v>44263.417731481481</v>
      </c>
      <c r="F2548" s="2">
        <v>44263.421064814815</v>
      </c>
      <c r="G2548" s="3">
        <v>3.3333333340124227E-3</v>
      </c>
      <c r="H2548" s="3">
        <v>289.75428842249846</v>
      </c>
      <c r="I2548" s="3">
        <v>4.829238140374974</v>
      </c>
      <c r="J2548" s="3">
        <v>8.04873023395829E-2</v>
      </c>
    </row>
    <row r="2549" spans="1:11" x14ac:dyDescent="0.35">
      <c r="A2549">
        <v>2548</v>
      </c>
      <c r="B2549" t="s">
        <v>2</v>
      </c>
      <c r="C2549" t="s">
        <v>132</v>
      </c>
      <c r="D2549" t="s">
        <v>140</v>
      </c>
      <c r="E2549" s="2">
        <v>44263.421597222223</v>
      </c>
      <c r="F2549" s="2">
        <v>44263.430092592593</v>
      </c>
      <c r="G2549" s="3">
        <v>8.4953703699284233E-3</v>
      </c>
      <c r="H2549" s="3">
        <v>738.47099877681001</v>
      </c>
      <c r="I2549" s="3">
        <v>12.307849979613501</v>
      </c>
      <c r="J2549" s="3">
        <v>0.20513083299355833</v>
      </c>
      <c r="K2549" t="s">
        <v>93</v>
      </c>
    </row>
    <row r="2550" spans="1:11" x14ac:dyDescent="0.35">
      <c r="A2550">
        <v>2549</v>
      </c>
      <c r="B2550" t="s">
        <v>2</v>
      </c>
      <c r="C2550" t="s">
        <v>132</v>
      </c>
      <c r="D2550" t="s">
        <v>140</v>
      </c>
      <c r="E2550" s="2">
        <v>44263.430231481485</v>
      </c>
      <c r="F2550" s="2">
        <v>44263.431215277778</v>
      </c>
      <c r="G2550" s="3">
        <v>9.8379629343980923E-4</v>
      </c>
      <c r="H2550" s="3">
        <v>85.517758470080764</v>
      </c>
      <c r="I2550" s="3">
        <v>1.425295974501346</v>
      </c>
      <c r="J2550" s="3">
        <v>2.3754932908355769E-2</v>
      </c>
      <c r="K2550" t="s">
        <v>93</v>
      </c>
    </row>
    <row r="2551" spans="1:11" x14ac:dyDescent="0.35">
      <c r="A2551">
        <v>2550</v>
      </c>
      <c r="B2551" t="s">
        <v>2</v>
      </c>
      <c r="C2551" t="s">
        <v>132</v>
      </c>
      <c r="D2551" t="s">
        <v>140</v>
      </c>
      <c r="E2551" s="2">
        <v>44263.431354166663</v>
      </c>
      <c r="F2551" s="2">
        <v>44263.437858796293</v>
      </c>
      <c r="G2551" s="3">
        <v>6.5046296294895001E-3</v>
      </c>
      <c r="H2551" s="3">
        <v>565.42329880819716</v>
      </c>
      <c r="I2551" s="3">
        <v>9.4237216468032852</v>
      </c>
      <c r="J2551" s="3">
        <v>0.15706202744672143</v>
      </c>
      <c r="K2551" t="s">
        <v>93</v>
      </c>
    </row>
    <row r="2552" spans="1:11" x14ac:dyDescent="0.35">
      <c r="A2552">
        <v>2551</v>
      </c>
      <c r="B2552" t="s">
        <v>16</v>
      </c>
      <c r="C2552" t="s">
        <v>16</v>
      </c>
      <c r="D2552" t="s">
        <v>140</v>
      </c>
      <c r="E2552" s="2">
        <v>44263.437951388885</v>
      </c>
      <c r="F2552" s="2">
        <v>44263.447523148148</v>
      </c>
      <c r="G2552" s="3">
        <v>9.5717592630535364E-3</v>
      </c>
      <c r="H2552" s="3">
        <v>832.03748809575245</v>
      </c>
      <c r="I2552" s="3">
        <v>13.867291468262541</v>
      </c>
      <c r="J2552" s="3">
        <v>0.23112152447104237</v>
      </c>
    </row>
    <row r="2553" spans="1:11" x14ac:dyDescent="0.35">
      <c r="A2553">
        <v>2552</v>
      </c>
      <c r="B2553" t="s">
        <v>2</v>
      </c>
      <c r="C2553" t="s">
        <v>132</v>
      </c>
      <c r="D2553" t="s">
        <v>140</v>
      </c>
      <c r="E2553" s="2">
        <v>44263.447858796295</v>
      </c>
      <c r="F2553" s="2">
        <v>44263.454317129632</v>
      </c>
      <c r="G2553" s="3">
        <v>6.4583333369228058E-3</v>
      </c>
      <c r="H2553" s="3">
        <v>561.39893401623829</v>
      </c>
      <c r="I2553" s="3">
        <v>9.3566489002706383</v>
      </c>
      <c r="J2553" s="3">
        <v>0.15594414833784398</v>
      </c>
      <c r="K2553" t="s">
        <v>93</v>
      </c>
    </row>
    <row r="2554" spans="1:11" x14ac:dyDescent="0.35">
      <c r="A2554">
        <v>2553</v>
      </c>
      <c r="B2554" t="s">
        <v>2</v>
      </c>
      <c r="C2554" t="s">
        <v>136</v>
      </c>
      <c r="D2554" t="s">
        <v>140</v>
      </c>
      <c r="E2554" s="2">
        <v>44263.456111111111</v>
      </c>
      <c r="F2554" s="2">
        <v>44263.46502314815</v>
      </c>
      <c r="G2554" s="3">
        <v>8.9120370394084603E-3</v>
      </c>
      <c r="H2554" s="3">
        <v>774.69028506679933</v>
      </c>
      <c r="I2554" s="3">
        <v>12.911504751113322</v>
      </c>
      <c r="J2554" s="3">
        <v>0.21519174585188869</v>
      </c>
      <c r="K2554" t="s">
        <v>90</v>
      </c>
    </row>
    <row r="2555" spans="1:11" x14ac:dyDescent="0.35">
      <c r="A2555">
        <v>2554</v>
      </c>
      <c r="B2555" t="s">
        <v>2</v>
      </c>
      <c r="C2555" t="s">
        <v>136</v>
      </c>
      <c r="D2555" t="s">
        <v>140</v>
      </c>
      <c r="E2555" s="2">
        <v>44263.465150462966</v>
      </c>
      <c r="F2555" s="2">
        <v>44263.485347222224</v>
      </c>
      <c r="G2555" s="3">
        <v>2.0196759258396924E-2</v>
      </c>
      <c r="H2555" s="3">
        <v>1755.6292818495237</v>
      </c>
      <c r="I2555" s="3">
        <v>29.260488030825396</v>
      </c>
      <c r="J2555" s="3">
        <v>0.48767480051375661</v>
      </c>
      <c r="K2555" t="s">
        <v>90</v>
      </c>
    </row>
    <row r="2556" spans="1:11" x14ac:dyDescent="0.35">
      <c r="A2556">
        <v>2555</v>
      </c>
      <c r="B2556" t="s">
        <v>16</v>
      </c>
      <c r="C2556" t="s">
        <v>16</v>
      </c>
      <c r="D2556" t="s">
        <v>140</v>
      </c>
      <c r="E2556" s="2">
        <v>44263.485451388886</v>
      </c>
      <c r="F2556" s="2">
        <v>44263.518703703703</v>
      </c>
      <c r="G2556" s="3">
        <v>2.5694444448163267E-2</v>
      </c>
      <c r="H2556" s="3">
        <v>2233.5226397916608</v>
      </c>
      <c r="I2556" s="3">
        <v>37.225377329861011</v>
      </c>
      <c r="J2556" s="3">
        <v>0.62042295549768356</v>
      </c>
    </row>
    <row r="2557" spans="1:11" x14ac:dyDescent="0.35">
      <c r="A2557">
        <v>2556</v>
      </c>
      <c r="B2557" t="s">
        <v>11</v>
      </c>
      <c r="C2557" t="s">
        <v>11</v>
      </c>
      <c r="D2557" t="s">
        <v>140</v>
      </c>
      <c r="E2557" s="2">
        <v>44263.518460648149</v>
      </c>
      <c r="F2557" s="2">
        <v>44263.522812499999</v>
      </c>
      <c r="G2557" s="3">
        <v>4.3518518505152315E-3</v>
      </c>
      <c r="H2557" s="3">
        <v>378.29032080278438</v>
      </c>
      <c r="I2557" s="3">
        <v>6.304838680046406</v>
      </c>
      <c r="J2557" s="3">
        <v>0.1050806446674401</v>
      </c>
    </row>
    <row r="2558" spans="1:11" x14ac:dyDescent="0.35">
      <c r="A2558">
        <v>2557</v>
      </c>
      <c r="B2558" t="s">
        <v>2</v>
      </c>
      <c r="C2558" t="s">
        <v>72</v>
      </c>
      <c r="D2558" t="s">
        <v>140</v>
      </c>
      <c r="E2558" s="2">
        <v>44263.522905092592</v>
      </c>
      <c r="F2558" s="2">
        <v>44263.573252314818</v>
      </c>
      <c r="G2558" s="3">
        <v>5.0347222226264421E-2</v>
      </c>
      <c r="H2558" s="3">
        <v>4376.497064174584</v>
      </c>
      <c r="I2558" s="3">
        <v>72.94161773624306</v>
      </c>
      <c r="J2558" s="3">
        <v>1.2156936289373843</v>
      </c>
      <c r="K2558" t="s">
        <v>73</v>
      </c>
    </row>
    <row r="2559" spans="1:11" x14ac:dyDescent="0.35">
      <c r="A2559">
        <v>2558</v>
      </c>
      <c r="B2559" t="s">
        <v>2</v>
      </c>
      <c r="C2559" t="s">
        <v>136</v>
      </c>
      <c r="D2559" t="s">
        <v>140</v>
      </c>
      <c r="E2559" s="2">
        <v>44263.573553240742</v>
      </c>
      <c r="F2559" s="2">
        <v>44263.58861111111</v>
      </c>
      <c r="G2559" s="3">
        <v>1.505787036876427E-2</v>
      </c>
      <c r="H2559" s="3">
        <v>1308.9247538911916</v>
      </c>
      <c r="I2559" s="3">
        <v>21.815412564853194</v>
      </c>
      <c r="J2559" s="3">
        <v>0.36359020941421988</v>
      </c>
      <c r="K2559" t="s">
        <v>90</v>
      </c>
    </row>
    <row r="2560" spans="1:11" x14ac:dyDescent="0.35">
      <c r="A2560">
        <v>2559</v>
      </c>
      <c r="B2560" t="s">
        <v>11</v>
      </c>
      <c r="C2560" t="s">
        <v>11</v>
      </c>
      <c r="D2560" t="s">
        <v>140</v>
      </c>
      <c r="E2560" s="2">
        <v>44263.58866898148</v>
      </c>
      <c r="F2560" s="2">
        <v>44263.596678240741</v>
      </c>
      <c r="G2560" s="3">
        <v>8.0092592615983449E-3</v>
      </c>
      <c r="H2560" s="3">
        <v>696.21516529888254</v>
      </c>
      <c r="I2560" s="3">
        <v>11.603586088314708</v>
      </c>
      <c r="J2560" s="3">
        <v>0.1933931014719118</v>
      </c>
    </row>
    <row r="2561" spans="1:11" x14ac:dyDescent="0.35">
      <c r="A2561">
        <v>2560</v>
      </c>
      <c r="B2561" t="s">
        <v>2</v>
      </c>
      <c r="C2561" t="s">
        <v>136</v>
      </c>
      <c r="D2561" t="s">
        <v>140</v>
      </c>
      <c r="E2561" s="2">
        <v>44263.596805555557</v>
      </c>
      <c r="F2561" s="2">
        <v>44263.637835648151</v>
      </c>
      <c r="G2561" s="3">
        <v>4.1030092594155576E-2</v>
      </c>
      <c r="H2561" s="3">
        <v>3566.5935843320212</v>
      </c>
      <c r="I2561" s="3">
        <v>59.443226405533686</v>
      </c>
      <c r="J2561" s="3">
        <v>0.99072044009222815</v>
      </c>
      <c r="K2561" t="s">
        <v>90</v>
      </c>
    </row>
    <row r="2562" spans="1:11" x14ac:dyDescent="0.35">
      <c r="A2562">
        <v>2561</v>
      </c>
      <c r="B2562" t="s">
        <v>16</v>
      </c>
      <c r="C2562" t="s">
        <v>16</v>
      </c>
      <c r="D2562" t="s">
        <v>140</v>
      </c>
      <c r="E2562" s="2">
        <v>44263.637986111113</v>
      </c>
      <c r="F2562" s="2">
        <v>44263.647106481483</v>
      </c>
      <c r="G2562" s="3">
        <v>9.1203703705104999E-3</v>
      </c>
      <c r="H2562" s="3">
        <v>792.79992789555797</v>
      </c>
      <c r="I2562" s="3">
        <v>13.213332131592633</v>
      </c>
      <c r="J2562" s="3">
        <v>0.22022220219321056</v>
      </c>
    </row>
    <row r="2563" spans="1:11" x14ac:dyDescent="0.35">
      <c r="A2563">
        <v>2562</v>
      </c>
      <c r="B2563" t="s">
        <v>2</v>
      </c>
      <c r="C2563" t="s">
        <v>96</v>
      </c>
      <c r="D2563" t="s">
        <v>140</v>
      </c>
      <c r="E2563" s="2">
        <v>44263.647256944445</v>
      </c>
      <c r="F2563" s="2">
        <v>44263.694768518515</v>
      </c>
      <c r="G2563" s="3">
        <v>4.7511574070085771E-2</v>
      </c>
      <c r="H2563" s="3">
        <v>4130.0047001117673</v>
      </c>
      <c r="I2563" s="3">
        <v>68.83341166852945</v>
      </c>
      <c r="J2563" s="3">
        <v>1.1472235278088241</v>
      </c>
    </row>
    <row r="2564" spans="1:11" x14ac:dyDescent="0.35">
      <c r="A2564">
        <v>2563</v>
      </c>
      <c r="B2564" t="s">
        <v>11</v>
      </c>
      <c r="C2564" t="s">
        <v>11</v>
      </c>
      <c r="D2564" t="s">
        <v>140</v>
      </c>
      <c r="E2564" s="2">
        <v>44263.763148148151</v>
      </c>
      <c r="F2564" s="2">
        <v>44263.804375</v>
      </c>
      <c r="G2564" s="3">
        <v>4.1226851848477963E-2</v>
      </c>
      <c r="H2564" s="3">
        <v>3583.6971356465542</v>
      </c>
      <c r="I2564" s="3">
        <v>59.728285594109238</v>
      </c>
      <c r="J2564" s="3">
        <v>0.99547142656848731</v>
      </c>
    </row>
    <row r="2565" spans="1:11" x14ac:dyDescent="0.35">
      <c r="A2565">
        <v>2564</v>
      </c>
      <c r="B2565" t="s">
        <v>11</v>
      </c>
      <c r="C2565" t="s">
        <v>11</v>
      </c>
      <c r="D2565" t="s">
        <v>140</v>
      </c>
      <c r="E2565" s="2">
        <v>44264.30709490741</v>
      </c>
      <c r="F2565" s="2">
        <v>44264.312094907407</v>
      </c>
      <c r="G2565" s="3">
        <v>4.9999999973806553E-3</v>
      </c>
      <c r="H2565" s="3">
        <v>434.63143231751172</v>
      </c>
      <c r="I2565" s="3">
        <v>7.2438572052918619</v>
      </c>
      <c r="J2565" s="3">
        <v>0.12073095342153103</v>
      </c>
    </row>
    <row r="2566" spans="1:11" x14ac:dyDescent="0.35">
      <c r="A2566">
        <v>2565</v>
      </c>
      <c r="B2566" t="s">
        <v>2</v>
      </c>
      <c r="C2566" t="s">
        <v>132</v>
      </c>
      <c r="D2566" t="s">
        <v>140</v>
      </c>
      <c r="E2566" s="2">
        <v>44264.312222222223</v>
      </c>
      <c r="F2566" s="2">
        <v>44264.332175925927</v>
      </c>
      <c r="G2566" s="3">
        <v>1.9953703704231884E-2</v>
      </c>
      <c r="H2566" s="3">
        <v>1734.5013651105601</v>
      </c>
      <c r="I2566" s="3">
        <v>28.908356085176003</v>
      </c>
      <c r="J2566" s="3">
        <v>0.48180593475293337</v>
      </c>
      <c r="K2566" t="s">
        <v>93</v>
      </c>
    </row>
    <row r="2567" spans="1:11" x14ac:dyDescent="0.35">
      <c r="A2567">
        <v>2566</v>
      </c>
      <c r="B2567" t="s">
        <v>2</v>
      </c>
      <c r="C2567" t="s">
        <v>96</v>
      </c>
      <c r="D2567" t="s">
        <v>140</v>
      </c>
      <c r="E2567" s="2">
        <v>44264.332465277781</v>
      </c>
      <c r="F2567" s="2">
        <v>44264.358391203707</v>
      </c>
      <c r="G2567" s="3">
        <v>2.5925925925548654E-2</v>
      </c>
      <c r="H2567" s="3">
        <v>2253.644465016399</v>
      </c>
      <c r="I2567" s="3">
        <v>37.560741083606651</v>
      </c>
      <c r="J2567" s="3">
        <v>0.62601235139344413</v>
      </c>
    </row>
    <row r="2568" spans="1:11" x14ac:dyDescent="0.35">
      <c r="A2568">
        <v>2567</v>
      </c>
      <c r="B2568" t="s">
        <v>11</v>
      </c>
      <c r="C2568" t="s">
        <v>11</v>
      </c>
      <c r="D2568" t="s">
        <v>140</v>
      </c>
      <c r="E2568" s="2">
        <v>44264.358553240738</v>
      </c>
      <c r="F2568" s="2">
        <v>44264.359988425924</v>
      </c>
      <c r="G2568" s="3">
        <v>1.4351851859828457E-3</v>
      </c>
      <c r="H2568" s="3">
        <v>124.75531867027517</v>
      </c>
      <c r="I2568" s="3">
        <v>2.0792553111712531</v>
      </c>
      <c r="J2568" s="3">
        <v>3.4654255186187553E-2</v>
      </c>
    </row>
    <row r="2569" spans="1:11" x14ac:dyDescent="0.35">
      <c r="A2569">
        <v>2568</v>
      </c>
      <c r="B2569" t="s">
        <v>2</v>
      </c>
      <c r="C2569" t="s">
        <v>136</v>
      </c>
      <c r="D2569" t="s">
        <v>140</v>
      </c>
      <c r="E2569" s="2">
        <v>44264.360219907408</v>
      </c>
      <c r="F2569" s="2">
        <v>44264.379374999997</v>
      </c>
      <c r="G2569" s="3">
        <v>1.915509258833481E-2</v>
      </c>
      <c r="H2569" s="3">
        <v>1665.0810664407866</v>
      </c>
      <c r="I2569" s="3">
        <v>27.751351107346444</v>
      </c>
      <c r="J2569" s="3">
        <v>0.46252251845577408</v>
      </c>
      <c r="K2569" t="s">
        <v>90</v>
      </c>
    </row>
    <row r="2570" spans="1:11" x14ac:dyDescent="0.35">
      <c r="A2570">
        <v>2569</v>
      </c>
      <c r="B2570" t="s">
        <v>2</v>
      </c>
      <c r="C2570" t="s">
        <v>132</v>
      </c>
      <c r="D2570" t="s">
        <v>140</v>
      </c>
      <c r="E2570" s="2">
        <v>44264.379652777781</v>
      </c>
      <c r="F2570" s="2">
        <v>44264.394930555558</v>
      </c>
      <c r="G2570" s="3">
        <v>1.5277777776645962E-2</v>
      </c>
      <c r="H2570" s="3">
        <v>1328.0404882341761</v>
      </c>
      <c r="I2570" s="3">
        <v>22.134008137236268</v>
      </c>
      <c r="J2570" s="3">
        <v>0.36890013562060447</v>
      </c>
      <c r="K2570" t="s">
        <v>93</v>
      </c>
    </row>
    <row r="2571" spans="1:11" x14ac:dyDescent="0.35">
      <c r="A2571">
        <v>2570</v>
      </c>
      <c r="B2571" t="s">
        <v>2</v>
      </c>
      <c r="C2571" t="s">
        <v>132</v>
      </c>
      <c r="D2571" t="s">
        <v>140</v>
      </c>
      <c r="E2571" s="2">
        <v>44264.395173611112</v>
      </c>
      <c r="F2571" s="2">
        <v>44264.399895833332</v>
      </c>
      <c r="G2571" s="3">
        <v>4.7222222201526165E-3</v>
      </c>
      <c r="H2571" s="3">
        <v>410.48524166834284</v>
      </c>
      <c r="I2571" s="3">
        <v>6.8414206944723803</v>
      </c>
      <c r="J2571" s="3">
        <v>0.11402367824120634</v>
      </c>
      <c r="K2571" t="s">
        <v>93</v>
      </c>
    </row>
    <row r="2572" spans="1:11" x14ac:dyDescent="0.35">
      <c r="A2572">
        <v>2571</v>
      </c>
      <c r="B2572" t="s">
        <v>2</v>
      </c>
      <c r="C2572" t="s">
        <v>132</v>
      </c>
      <c r="D2572" t="s">
        <v>140</v>
      </c>
      <c r="E2572" s="2">
        <v>44264.400243055556</v>
      </c>
      <c r="F2572" s="2">
        <v>44264.425069444442</v>
      </c>
      <c r="G2572" s="3">
        <v>2.4826388886140194E-2</v>
      </c>
      <c r="H2572" s="3">
        <v>2158.0657933014772</v>
      </c>
      <c r="I2572" s="3">
        <v>35.967763221691285</v>
      </c>
      <c r="J2572" s="3">
        <v>0.59946272036152137</v>
      </c>
      <c r="K2572" t="s">
        <v>93</v>
      </c>
    </row>
    <row r="2573" spans="1:11" x14ac:dyDescent="0.35">
      <c r="A2573">
        <v>2572</v>
      </c>
      <c r="B2573" t="s">
        <v>16</v>
      </c>
      <c r="C2573" t="s">
        <v>16</v>
      </c>
      <c r="D2573" t="s">
        <v>140</v>
      </c>
      <c r="E2573" s="2">
        <v>44264.425150462965</v>
      </c>
      <c r="F2573" s="2">
        <v>44264.435972222222</v>
      </c>
      <c r="G2573" s="3">
        <v>1.0821759256941732E-2</v>
      </c>
      <c r="H2573" s="3">
        <v>940.69534570077633</v>
      </c>
      <c r="I2573" s="3">
        <v>15.678255761679605</v>
      </c>
      <c r="J2573" s="3">
        <v>0.26130426269466006</v>
      </c>
    </row>
    <row r="2574" spans="1:11" x14ac:dyDescent="0.35">
      <c r="A2574">
        <v>2573</v>
      </c>
      <c r="B2574" t="s">
        <v>2</v>
      </c>
      <c r="C2574" t="s">
        <v>136</v>
      </c>
      <c r="D2574" t="s">
        <v>140</v>
      </c>
      <c r="E2574" s="2">
        <v>44264.436469907407</v>
      </c>
      <c r="F2574" s="2">
        <v>44264.457233796296</v>
      </c>
      <c r="G2574" s="3">
        <v>2.0763888889632653E-2</v>
      </c>
      <c r="H2574" s="3">
        <v>1804.9277546620874</v>
      </c>
      <c r="I2574" s="3">
        <v>30.082129244368122</v>
      </c>
      <c r="J2574" s="3">
        <v>0.50136882073946876</v>
      </c>
      <c r="K2574" t="s">
        <v>90</v>
      </c>
    </row>
    <row r="2575" spans="1:11" x14ac:dyDescent="0.35">
      <c r="A2575">
        <v>2574</v>
      </c>
      <c r="B2575" t="s">
        <v>11</v>
      </c>
      <c r="C2575" t="s">
        <v>11</v>
      </c>
      <c r="D2575" t="s">
        <v>140</v>
      </c>
      <c r="E2575" s="2">
        <v>44264.457326388889</v>
      </c>
      <c r="F2575" s="2">
        <v>44264.508738425924</v>
      </c>
      <c r="G2575" s="3">
        <v>5.1412037035333924E-2</v>
      </c>
      <c r="H2575" s="3">
        <v>4469.0574613468289</v>
      </c>
      <c r="I2575" s="3">
        <v>74.484291022447152</v>
      </c>
      <c r="J2575" s="3">
        <v>1.2414048503741193</v>
      </c>
    </row>
    <row r="2576" spans="1:11" x14ac:dyDescent="0.35">
      <c r="A2576">
        <v>2575</v>
      </c>
      <c r="B2576" t="s">
        <v>16</v>
      </c>
      <c r="C2576" t="s">
        <v>16</v>
      </c>
      <c r="D2576" t="s">
        <v>140</v>
      </c>
      <c r="E2576" s="2">
        <v>44264.508831018517</v>
      </c>
      <c r="F2576" s="2">
        <v>44264.508773148147</v>
      </c>
      <c r="G2576" s="3">
        <v>-5.7870369346346706E-5</v>
      </c>
      <c r="H2576" s="3">
        <v>-5.0304563061845187</v>
      </c>
      <c r="I2576" s="3">
        <v>-8.3840938436408649E-2</v>
      </c>
      <c r="J2576" s="3">
        <v>-1.3973489739401441E-3</v>
      </c>
    </row>
    <row r="2577" spans="1:11" x14ac:dyDescent="0.35">
      <c r="A2577">
        <v>2576</v>
      </c>
      <c r="B2577" t="s">
        <v>11</v>
      </c>
      <c r="C2577" t="s">
        <v>11</v>
      </c>
      <c r="D2577" t="s">
        <v>140</v>
      </c>
      <c r="E2577" s="2">
        <v>44264.529849537037</v>
      </c>
      <c r="F2577" s="2">
        <v>44264.583078703705</v>
      </c>
      <c r="G2577" s="3">
        <v>5.3229166667733807E-2</v>
      </c>
      <c r="H2577" s="3">
        <v>4627.0137923968887</v>
      </c>
      <c r="I2577" s="3">
        <v>77.116896539948144</v>
      </c>
      <c r="J2577" s="3">
        <v>1.2852816089991357</v>
      </c>
    </row>
    <row r="2578" spans="1:11" x14ac:dyDescent="0.35">
      <c r="A2578">
        <v>2577</v>
      </c>
      <c r="B2578" t="s">
        <v>2</v>
      </c>
      <c r="C2578" t="s">
        <v>96</v>
      </c>
      <c r="D2578" t="s">
        <v>140</v>
      </c>
      <c r="E2578" s="2">
        <v>44264.583240740743</v>
      </c>
      <c r="F2578" s="2">
        <v>44264.646018518521</v>
      </c>
      <c r="G2578" s="3">
        <v>6.2777777777228039E-2</v>
      </c>
      <c r="H2578" s="3">
        <v>5457.0390974641896</v>
      </c>
      <c r="I2578" s="3">
        <v>90.950651624403164</v>
      </c>
      <c r="J2578" s="3">
        <v>1.5158441937400526</v>
      </c>
    </row>
    <row r="2579" spans="1:11" x14ac:dyDescent="0.35">
      <c r="A2579">
        <v>2578</v>
      </c>
      <c r="B2579" t="s">
        <v>11</v>
      </c>
      <c r="C2579" t="s">
        <v>11</v>
      </c>
      <c r="D2579" t="s">
        <v>140</v>
      </c>
      <c r="E2579" s="2">
        <v>44264.646180555559</v>
      </c>
      <c r="F2579" s="2">
        <v>44264.667002314818</v>
      </c>
      <c r="G2579" s="3">
        <v>2.0821759258979E-2</v>
      </c>
      <c r="H2579" s="3">
        <v>1809.9582109682717</v>
      </c>
      <c r="I2579" s="3">
        <v>30.165970182804529</v>
      </c>
      <c r="J2579" s="3">
        <v>0.50276616971340882</v>
      </c>
    </row>
    <row r="2580" spans="1:11" x14ac:dyDescent="0.35">
      <c r="A2580">
        <v>2579</v>
      </c>
      <c r="B2580" t="s">
        <v>16</v>
      </c>
      <c r="C2580" t="s">
        <v>16</v>
      </c>
      <c r="D2580" t="s">
        <v>140</v>
      </c>
      <c r="E2580" s="2">
        <v>44264.667164351849</v>
      </c>
      <c r="F2580" s="2">
        <v>44264.675856481481</v>
      </c>
      <c r="G2580" s="3">
        <v>8.6921296315267682E-3</v>
      </c>
      <c r="H2580" s="3">
        <v>755.57455072381504</v>
      </c>
      <c r="I2580" s="3">
        <v>12.592909178730251</v>
      </c>
      <c r="J2580" s="3">
        <v>0.20988181964550418</v>
      </c>
    </row>
    <row r="2581" spans="1:11" x14ac:dyDescent="0.35">
      <c r="A2581">
        <v>2580</v>
      </c>
      <c r="B2581" t="s">
        <v>11</v>
      </c>
      <c r="C2581" t="s">
        <v>11</v>
      </c>
      <c r="D2581" t="s">
        <v>140</v>
      </c>
      <c r="E2581" s="2">
        <v>44264.67596064815</v>
      </c>
      <c r="F2581" s="2">
        <v>44264.746979166666</v>
      </c>
      <c r="G2581" s="3">
        <v>7.101851851621177E-2</v>
      </c>
      <c r="H2581" s="3">
        <v>6173.37608798781</v>
      </c>
      <c r="I2581" s="3">
        <v>102.8896014664635</v>
      </c>
      <c r="J2581" s="3">
        <v>1.714826691107725</v>
      </c>
    </row>
    <row r="2582" spans="1:11" x14ac:dyDescent="0.35">
      <c r="A2582">
        <v>2581</v>
      </c>
      <c r="B2582" t="s">
        <v>11</v>
      </c>
      <c r="C2582" t="s">
        <v>11</v>
      </c>
      <c r="D2582" t="s">
        <v>140</v>
      </c>
      <c r="E2582" s="2">
        <v>44264.747164351851</v>
      </c>
      <c r="F2582" s="2">
        <v>44264.776608796295</v>
      </c>
      <c r="G2582" s="3">
        <v>2.9444444444379769E-2</v>
      </c>
      <c r="H2582" s="3">
        <v>2559.4962138716764</v>
      </c>
      <c r="I2582" s="3">
        <v>42.658270231194606</v>
      </c>
      <c r="J2582" s="3">
        <v>0.7109711705199101</v>
      </c>
    </row>
    <row r="2583" spans="1:11" x14ac:dyDescent="0.35">
      <c r="A2583">
        <v>2582</v>
      </c>
      <c r="B2583" t="s">
        <v>2</v>
      </c>
      <c r="C2583" t="s">
        <v>136</v>
      </c>
      <c r="D2583" t="s">
        <v>140</v>
      </c>
      <c r="E2583" s="2">
        <v>44265.289351851854</v>
      </c>
      <c r="F2583" s="2">
        <v>44265.354189814818</v>
      </c>
      <c r="G2583" s="3">
        <v>6.4837962963792961E-2</v>
      </c>
      <c r="H2583" s="3">
        <v>5636.1233452532124</v>
      </c>
      <c r="I2583" s="3">
        <v>93.935389087553546</v>
      </c>
      <c r="J2583" s="3">
        <v>1.5655898181258925</v>
      </c>
      <c r="K2583" t="s">
        <v>90</v>
      </c>
    </row>
    <row r="2584" spans="1:11" x14ac:dyDescent="0.35">
      <c r="A2584">
        <v>2583</v>
      </c>
      <c r="B2584" t="s">
        <v>2</v>
      </c>
      <c r="C2584" t="s">
        <v>132</v>
      </c>
      <c r="D2584" t="s">
        <v>140</v>
      </c>
      <c r="E2584" s="2">
        <v>44265.354398148149</v>
      </c>
      <c r="F2584" s="2">
        <v>44265.357141203705</v>
      </c>
      <c r="G2584" s="3">
        <v>2.7430555564933456E-3</v>
      </c>
      <c r="H2584" s="3">
        <v>238.44363321395562</v>
      </c>
      <c r="I2584" s="3">
        <v>3.974060553565927</v>
      </c>
      <c r="J2584" s="3">
        <v>6.6234342559432113E-2</v>
      </c>
      <c r="K2584" t="s">
        <v>93</v>
      </c>
    </row>
    <row r="2585" spans="1:11" x14ac:dyDescent="0.35">
      <c r="A2585">
        <v>2584</v>
      </c>
      <c r="B2585" t="s">
        <v>2</v>
      </c>
      <c r="C2585" t="s">
        <v>136</v>
      </c>
      <c r="D2585" t="s">
        <v>140</v>
      </c>
      <c r="E2585" s="2">
        <v>44265.357812499999</v>
      </c>
      <c r="F2585" s="2">
        <v>44265.396458333336</v>
      </c>
      <c r="G2585" s="3">
        <v>3.8645833337795921E-2</v>
      </c>
      <c r="H2585" s="3">
        <v>3359.3387811018706</v>
      </c>
      <c r="I2585" s="3">
        <v>55.988979685031175</v>
      </c>
      <c r="J2585" s="3">
        <v>0.93314966141718625</v>
      </c>
      <c r="K2585" t="s">
        <v>90</v>
      </c>
    </row>
    <row r="2586" spans="1:11" x14ac:dyDescent="0.35">
      <c r="A2586">
        <v>2585</v>
      </c>
      <c r="B2586" t="s">
        <v>2</v>
      </c>
      <c r="C2586" t="s">
        <v>72</v>
      </c>
      <c r="D2586" t="s">
        <v>140</v>
      </c>
      <c r="E2586" s="2">
        <v>44265.396574074075</v>
      </c>
      <c r="F2586" s="2">
        <v>44265.435185185182</v>
      </c>
      <c r="G2586" s="3">
        <v>3.8611111107456964E-2</v>
      </c>
      <c r="H2586" s="3">
        <v>3356.3205065591933</v>
      </c>
      <c r="I2586" s="3">
        <v>55.938675109319888</v>
      </c>
      <c r="J2586" s="3">
        <v>0.93231125182199814</v>
      </c>
      <c r="K2586" t="s">
        <v>73</v>
      </c>
    </row>
    <row r="2587" spans="1:11" x14ac:dyDescent="0.35">
      <c r="A2587">
        <v>2586</v>
      </c>
      <c r="B2587" t="s">
        <v>2</v>
      </c>
      <c r="C2587" t="s">
        <v>136</v>
      </c>
      <c r="D2587" t="s">
        <v>140</v>
      </c>
      <c r="E2587" s="2">
        <v>44265.435439814813</v>
      </c>
      <c r="F2587" s="2">
        <v>44265.478171296294</v>
      </c>
      <c r="G2587" s="3">
        <v>4.2731481480586808E-2</v>
      </c>
      <c r="H2587" s="3">
        <v>3714.4890021372398</v>
      </c>
      <c r="I2587" s="3">
        <v>61.908150035620665</v>
      </c>
      <c r="J2587" s="3">
        <v>1.0318025005936777</v>
      </c>
      <c r="K2587" t="s">
        <v>90</v>
      </c>
    </row>
    <row r="2588" spans="1:11" x14ac:dyDescent="0.35">
      <c r="A2588">
        <v>2587</v>
      </c>
      <c r="B2588" t="s">
        <v>2</v>
      </c>
      <c r="C2588" t="s">
        <v>132</v>
      </c>
      <c r="D2588" t="s">
        <v>140</v>
      </c>
      <c r="E2588" s="2">
        <v>44265.478321759256</v>
      </c>
      <c r="F2588" s="2">
        <v>44265.509444444448</v>
      </c>
      <c r="G2588" s="3">
        <v>3.1122685191803612E-2</v>
      </c>
      <c r="H2588" s="3">
        <v>2705.3794499133874</v>
      </c>
      <c r="I2588" s="3">
        <v>45.089657498556456</v>
      </c>
      <c r="J2588" s="3">
        <v>0.75149429164260761</v>
      </c>
      <c r="K2588" t="s">
        <v>93</v>
      </c>
    </row>
    <row r="2589" spans="1:11" x14ac:dyDescent="0.35">
      <c r="A2589">
        <v>2588</v>
      </c>
      <c r="B2589" t="s">
        <v>16</v>
      </c>
      <c r="C2589" t="s">
        <v>16</v>
      </c>
      <c r="D2589" t="s">
        <v>140</v>
      </c>
      <c r="E2589" s="2">
        <v>44265.509571759256</v>
      </c>
      <c r="F2589" s="2">
        <v>44265.533101851855</v>
      </c>
      <c r="G2589" s="3">
        <v>2.3530092599685304E-2</v>
      </c>
      <c r="H2589" s="3">
        <v>2045.3835709044943</v>
      </c>
      <c r="I2589" s="3">
        <v>34.089726181741568</v>
      </c>
      <c r="J2589" s="3">
        <v>0.56816210302902614</v>
      </c>
    </row>
    <row r="2590" spans="1:11" x14ac:dyDescent="0.35">
      <c r="A2590">
        <v>2589</v>
      </c>
      <c r="B2590" t="s">
        <v>11</v>
      </c>
      <c r="C2590" t="s">
        <v>11</v>
      </c>
      <c r="D2590" t="s">
        <v>140</v>
      </c>
      <c r="E2590" s="2">
        <v>44265.533275462964</v>
      </c>
      <c r="F2590" s="2">
        <v>44265.543194444443</v>
      </c>
      <c r="G2590" s="3">
        <v>9.9189814791316167E-3</v>
      </c>
      <c r="H2590" s="3">
        <v>862.22022593285953</v>
      </c>
      <c r="I2590" s="3">
        <v>14.370337098880992</v>
      </c>
      <c r="J2590" s="3">
        <v>0.2395056183146832</v>
      </c>
    </row>
    <row r="2591" spans="1:11" x14ac:dyDescent="0.35">
      <c r="A2591">
        <v>2590</v>
      </c>
      <c r="B2591" t="s">
        <v>2</v>
      </c>
      <c r="C2591" t="s">
        <v>96</v>
      </c>
      <c r="D2591" t="s">
        <v>140</v>
      </c>
      <c r="E2591" s="2">
        <v>44265.543321759258</v>
      </c>
      <c r="F2591" s="2">
        <v>44265.57508101852</v>
      </c>
      <c r="G2591" s="3">
        <v>3.1759259261889383E-2</v>
      </c>
      <c r="H2591" s="3">
        <v>2760.7144699138894</v>
      </c>
      <c r="I2591" s="3">
        <v>46.011907831898156</v>
      </c>
      <c r="J2591" s="3">
        <v>0.76686513053163596</v>
      </c>
    </row>
    <row r="2592" spans="1:11" x14ac:dyDescent="0.35">
      <c r="A2592">
        <v>2591</v>
      </c>
      <c r="B2592" t="s">
        <v>16</v>
      </c>
      <c r="C2592" t="s">
        <v>16</v>
      </c>
      <c r="D2592" t="s">
        <v>140</v>
      </c>
      <c r="E2592" s="2">
        <v>44265.575173611112</v>
      </c>
      <c r="F2592" s="2">
        <v>44265.59097222222</v>
      </c>
      <c r="G2592" s="3">
        <v>1.579861110803904E-2</v>
      </c>
      <c r="H2592" s="3">
        <v>1373.3145956223086</v>
      </c>
      <c r="I2592" s="3">
        <v>22.888576593705142</v>
      </c>
      <c r="J2592" s="3">
        <v>0.38147627656175237</v>
      </c>
    </row>
    <row r="2593" spans="1:11" x14ac:dyDescent="0.35">
      <c r="A2593">
        <v>2592</v>
      </c>
      <c r="B2593" t="s">
        <v>2</v>
      </c>
      <c r="C2593" t="s">
        <v>96</v>
      </c>
      <c r="D2593" t="s">
        <v>140</v>
      </c>
      <c r="E2593" s="2">
        <v>44265.591539351852</v>
      </c>
      <c r="F2593" s="2">
        <v>44265.629131944443</v>
      </c>
      <c r="G2593" s="3">
        <v>3.7592592590954155E-2</v>
      </c>
      <c r="H2593" s="3">
        <v>3267.7844741789077</v>
      </c>
      <c r="I2593" s="3">
        <v>54.463074569648462</v>
      </c>
      <c r="J2593" s="3">
        <v>0.907717909494141</v>
      </c>
    </row>
    <row r="2594" spans="1:11" x14ac:dyDescent="0.35">
      <c r="A2594">
        <v>2593</v>
      </c>
      <c r="B2594" t="s">
        <v>2</v>
      </c>
      <c r="C2594" t="s">
        <v>136</v>
      </c>
      <c r="D2594" t="s">
        <v>140</v>
      </c>
      <c r="E2594" s="2">
        <v>44265.629467592589</v>
      </c>
      <c r="F2594" s="2">
        <v>44265.642962962964</v>
      </c>
      <c r="G2594" s="3">
        <v>2.5694444448163267E-2</v>
      </c>
      <c r="H2594" s="3">
        <v>2233.5226397916608</v>
      </c>
      <c r="I2594" s="3">
        <v>37.225377329861011</v>
      </c>
      <c r="J2594" s="3">
        <v>0.62042295549768356</v>
      </c>
      <c r="K2594" t="s">
        <v>90</v>
      </c>
    </row>
    <row r="2595" spans="1:11" x14ac:dyDescent="0.35">
      <c r="A2595">
        <v>2594</v>
      </c>
      <c r="B2595" t="s">
        <v>2</v>
      </c>
      <c r="C2595" t="s">
        <v>96</v>
      </c>
      <c r="D2595" t="s">
        <v>140</v>
      </c>
      <c r="E2595" s="2">
        <v>44265.643113425926</v>
      </c>
      <c r="F2595" s="2">
        <v>44265.650625000002</v>
      </c>
      <c r="G2595" s="3">
        <v>7.5115740764886141E-3</v>
      </c>
      <c r="H2595" s="3">
        <v>652.9532403067293</v>
      </c>
      <c r="I2595" s="3">
        <v>10.882554005112155</v>
      </c>
      <c r="J2595" s="3">
        <v>0.18137590008520257</v>
      </c>
    </row>
    <row r="2596" spans="1:11" x14ac:dyDescent="0.35">
      <c r="A2596">
        <v>2595</v>
      </c>
      <c r="B2596" t="s">
        <v>2</v>
      </c>
      <c r="C2596" t="s">
        <v>136</v>
      </c>
      <c r="D2596" t="s">
        <v>140</v>
      </c>
      <c r="E2596" s="2">
        <v>44265.650694444441</v>
      </c>
      <c r="F2596" s="2">
        <v>44265.726655092592</v>
      </c>
      <c r="G2596" s="3">
        <v>7.5960648151522037E-2</v>
      </c>
      <c r="H2596" s="3">
        <v>6602.9770646316092</v>
      </c>
      <c r="I2596" s="3">
        <v>110.04961774386015</v>
      </c>
      <c r="J2596" s="3">
        <v>1.8341602957310026</v>
      </c>
      <c r="K2596" t="s">
        <v>90</v>
      </c>
    </row>
    <row r="2597" spans="1:11" x14ac:dyDescent="0.35">
      <c r="A2597">
        <v>2596</v>
      </c>
      <c r="B2597" t="s">
        <v>16</v>
      </c>
      <c r="C2597" t="s">
        <v>16</v>
      </c>
      <c r="D2597" t="s">
        <v>140</v>
      </c>
      <c r="E2597" s="2">
        <v>44265.742986111109</v>
      </c>
      <c r="F2597" s="2">
        <v>44265.760925925926</v>
      </c>
      <c r="G2597" s="3">
        <v>1.7939814817509614E-2</v>
      </c>
      <c r="H2597" s="3">
        <v>1559.4414827459677</v>
      </c>
      <c r="I2597" s="3">
        <v>25.990691379099463</v>
      </c>
      <c r="J2597" s="3">
        <v>0.43317818965165772</v>
      </c>
    </row>
    <row r="2598" spans="1:11" x14ac:dyDescent="0.35">
      <c r="A2598">
        <v>2597</v>
      </c>
      <c r="B2598" t="s">
        <v>11</v>
      </c>
      <c r="C2598" t="s">
        <v>11</v>
      </c>
      <c r="D2598" t="s">
        <v>140</v>
      </c>
      <c r="E2598" s="2">
        <v>44265.814270833333</v>
      </c>
      <c r="F2598" s="2">
        <v>44265.848194444443</v>
      </c>
      <c r="G2598" s="3">
        <v>3.3923611110367347E-2</v>
      </c>
      <c r="H2598" s="3">
        <v>2948.8535388010555</v>
      </c>
      <c r="I2598" s="3">
        <v>49.147558980017592</v>
      </c>
      <c r="J2598" s="3">
        <v>0.81912598300029316</v>
      </c>
    </row>
    <row r="2599" spans="1:11" x14ac:dyDescent="0.35">
      <c r="A2599">
        <v>2598</v>
      </c>
      <c r="B2599" t="s">
        <v>2</v>
      </c>
      <c r="C2599" t="s">
        <v>72</v>
      </c>
      <c r="D2599" t="s">
        <v>140</v>
      </c>
      <c r="E2599" s="2">
        <v>44266.333055555559</v>
      </c>
      <c r="F2599" s="2">
        <v>44266.354259259257</v>
      </c>
      <c r="G2599" s="3">
        <v>2.120370369812008E-2</v>
      </c>
      <c r="H2599" s="3">
        <v>1843.1592227155841</v>
      </c>
      <c r="I2599" s="3">
        <v>30.719320378593068</v>
      </c>
      <c r="J2599" s="3">
        <v>0.51198867297655115</v>
      </c>
      <c r="K2599" t="s">
        <v>73</v>
      </c>
    </row>
    <row r="2600" spans="1:11" x14ac:dyDescent="0.35">
      <c r="A2600">
        <v>2599</v>
      </c>
      <c r="B2600" t="s">
        <v>2</v>
      </c>
      <c r="C2600" t="s">
        <v>96</v>
      </c>
      <c r="D2600" t="s">
        <v>140</v>
      </c>
      <c r="E2600" s="2">
        <v>44266.354363425926</v>
      </c>
      <c r="F2600" s="2">
        <v>44266.376296296294</v>
      </c>
      <c r="G2600" s="3">
        <v>2.1932870367891155E-2</v>
      </c>
      <c r="H2600" s="3">
        <v>1906.5429735649473</v>
      </c>
      <c r="I2600" s="3">
        <v>31.775716226082455</v>
      </c>
      <c r="J2600" s="3">
        <v>0.52959527043470755</v>
      </c>
    </row>
    <row r="2601" spans="1:11" x14ac:dyDescent="0.35">
      <c r="A2601">
        <v>2600</v>
      </c>
      <c r="B2601" t="s">
        <v>2</v>
      </c>
      <c r="C2601" t="s">
        <v>136</v>
      </c>
      <c r="D2601" t="s">
        <v>140</v>
      </c>
      <c r="E2601" s="2">
        <v>44266.376446759263</v>
      </c>
      <c r="F2601" s="2">
        <v>44266.412222222221</v>
      </c>
      <c r="G2601" s="3">
        <v>3.5775462958554272E-2</v>
      </c>
      <c r="H2601" s="3">
        <v>3109.8281431288483</v>
      </c>
      <c r="I2601" s="3">
        <v>51.830469052147471</v>
      </c>
      <c r="J2601" s="3">
        <v>0.8638411508691245</v>
      </c>
      <c r="K2601" t="s">
        <v>90</v>
      </c>
    </row>
    <row r="2602" spans="1:11" x14ac:dyDescent="0.35">
      <c r="A2602">
        <v>2601</v>
      </c>
      <c r="B2602" t="s">
        <v>16</v>
      </c>
      <c r="C2602" t="s">
        <v>16</v>
      </c>
      <c r="D2602" t="s">
        <v>140</v>
      </c>
      <c r="E2602" s="2">
        <v>44266.412638888891</v>
      </c>
      <c r="F2602" s="2">
        <v>44266.421342592592</v>
      </c>
      <c r="G2602" s="3">
        <v>8.703703701030463E-3</v>
      </c>
      <c r="H2602" s="3">
        <v>756.58064160556876</v>
      </c>
      <c r="I2602" s="3">
        <v>12.609677360092812</v>
      </c>
      <c r="J2602" s="3">
        <v>0.21016128933488021</v>
      </c>
    </row>
    <row r="2603" spans="1:11" x14ac:dyDescent="0.35">
      <c r="A2603">
        <v>2602</v>
      </c>
      <c r="B2603" t="s">
        <v>2</v>
      </c>
      <c r="C2603" t="s">
        <v>132</v>
      </c>
      <c r="D2603" t="s">
        <v>140</v>
      </c>
      <c r="E2603" s="2">
        <v>44266.422037037039</v>
      </c>
      <c r="F2603" s="2">
        <v>44266.441423611112</v>
      </c>
      <c r="G2603" s="3">
        <v>1.9386574072996154E-2</v>
      </c>
      <c r="H2603" s="3">
        <v>1685.2028922979966</v>
      </c>
      <c r="I2603" s="3">
        <v>28.086714871633276</v>
      </c>
      <c r="J2603" s="3">
        <v>0.46811191452722128</v>
      </c>
      <c r="K2603" t="s">
        <v>93</v>
      </c>
    </row>
    <row r="2604" spans="1:11" x14ac:dyDescent="0.35">
      <c r="A2604">
        <v>2603</v>
      </c>
      <c r="B2604" t="s">
        <v>11</v>
      </c>
      <c r="C2604" t="s">
        <v>11</v>
      </c>
      <c r="D2604" t="s">
        <v>140</v>
      </c>
      <c r="E2604" s="2">
        <v>44266.441863425927</v>
      </c>
      <c r="F2604" s="2">
        <v>44266.446817129632</v>
      </c>
      <c r="G2604" s="3">
        <v>4.9537037048139609E-3</v>
      </c>
      <c r="H2604" s="3">
        <v>430.60706752555291</v>
      </c>
      <c r="I2604" s="3">
        <v>7.1767844587592151</v>
      </c>
      <c r="J2604" s="3">
        <v>0.11961307431265358</v>
      </c>
    </row>
    <row r="2605" spans="1:11" x14ac:dyDescent="0.35">
      <c r="A2605">
        <v>2604</v>
      </c>
      <c r="B2605" t="s">
        <v>2</v>
      </c>
      <c r="C2605" t="s">
        <v>136</v>
      </c>
      <c r="D2605" t="s">
        <v>140</v>
      </c>
      <c r="E2605" s="2">
        <v>44266.446921296294</v>
      </c>
      <c r="F2605" s="2">
        <v>44266.449143518519</v>
      </c>
      <c r="G2605" s="3">
        <v>2.2222222251002677E-3</v>
      </c>
      <c r="H2605" s="3">
        <v>193.16952582582297</v>
      </c>
      <c r="I2605" s="3">
        <v>3.2194920970970498</v>
      </c>
      <c r="J2605" s="3">
        <v>5.3658201618284163E-2</v>
      </c>
      <c r="K2605" t="s">
        <v>90</v>
      </c>
    </row>
    <row r="2606" spans="1:11" x14ac:dyDescent="0.35">
      <c r="A2606">
        <v>2605</v>
      </c>
      <c r="B2606" t="s">
        <v>2</v>
      </c>
      <c r="C2606" t="s">
        <v>132</v>
      </c>
      <c r="D2606" t="s">
        <v>140</v>
      </c>
      <c r="E2606" s="2">
        <v>44266.449305555558</v>
      </c>
      <c r="F2606" s="2">
        <v>44266.468414351853</v>
      </c>
      <c r="G2606" s="3">
        <v>1.9108796295768116E-2</v>
      </c>
      <c r="H2606" s="3">
        <v>1661.0567016488278</v>
      </c>
      <c r="I2606" s="3">
        <v>27.684278360813796</v>
      </c>
      <c r="J2606" s="3">
        <v>0.46140463934689657</v>
      </c>
      <c r="K2606" t="s">
        <v>93</v>
      </c>
    </row>
    <row r="2607" spans="1:11" x14ac:dyDescent="0.35">
      <c r="A2607">
        <v>2606</v>
      </c>
      <c r="B2607" t="s">
        <v>2</v>
      </c>
      <c r="C2607" t="s">
        <v>72</v>
      </c>
      <c r="D2607" t="s">
        <v>140</v>
      </c>
      <c r="E2607" s="2">
        <v>44266.468530092592</v>
      </c>
      <c r="F2607" s="2">
        <v>44266.534479166665</v>
      </c>
      <c r="G2607" s="3">
        <v>6.5949074072705116E-2</v>
      </c>
      <c r="H2607" s="3">
        <v>5732.7081078498877</v>
      </c>
      <c r="I2607" s="3">
        <v>95.545135130831468</v>
      </c>
      <c r="J2607" s="3">
        <v>1.5924189188471911</v>
      </c>
      <c r="K2607" t="s">
        <v>73</v>
      </c>
    </row>
    <row r="2608" spans="1:11" x14ac:dyDescent="0.35">
      <c r="A2608">
        <v>2607</v>
      </c>
      <c r="B2608" t="s">
        <v>16</v>
      </c>
      <c r="C2608" t="s">
        <v>16</v>
      </c>
      <c r="D2608" t="s">
        <v>140</v>
      </c>
      <c r="E2608" s="2">
        <v>44266.534548611111</v>
      </c>
      <c r="F2608" s="2">
        <v>44266.551886574074</v>
      </c>
      <c r="G2608" s="3">
        <v>1.7337962963210884E-2</v>
      </c>
      <c r="H2608" s="3">
        <v>1507.1247360231991</v>
      </c>
      <c r="I2608" s="3">
        <v>25.118745600386653</v>
      </c>
      <c r="J2608" s="3">
        <v>0.41864576000644421</v>
      </c>
    </row>
    <row r="2609" spans="1:11" x14ac:dyDescent="0.35">
      <c r="A2609">
        <v>2608</v>
      </c>
      <c r="B2609" t="s">
        <v>11</v>
      </c>
      <c r="C2609" t="s">
        <v>11</v>
      </c>
      <c r="D2609" t="s">
        <v>140</v>
      </c>
      <c r="E2609" s="2">
        <v>44266.552025462966</v>
      </c>
      <c r="F2609" s="2">
        <v>44266.565312500003</v>
      </c>
      <c r="G2609" s="3">
        <v>1.3287037036207039E-2</v>
      </c>
      <c r="H2609" s="3">
        <v>1154.9927882655631</v>
      </c>
      <c r="I2609" s="3">
        <v>19.249879804426051</v>
      </c>
      <c r="J2609" s="3">
        <v>0.32083133007376752</v>
      </c>
    </row>
    <row r="2610" spans="1:11" x14ac:dyDescent="0.35">
      <c r="A2610">
        <v>2609</v>
      </c>
      <c r="B2610" t="s">
        <v>2</v>
      </c>
      <c r="C2610" t="s">
        <v>96</v>
      </c>
      <c r="D2610" t="s">
        <v>140</v>
      </c>
      <c r="E2610" s="2">
        <v>44266.565462962964</v>
      </c>
      <c r="F2610" s="2">
        <v>44266.612638888888</v>
      </c>
      <c r="G2610" s="3">
        <v>4.7175925923511386E-2</v>
      </c>
      <c r="H2610" s="3">
        <v>4100.8280531564133</v>
      </c>
      <c r="I2610" s="3">
        <v>68.347134219273556</v>
      </c>
      <c r="J2610" s="3">
        <v>1.1391189036545593</v>
      </c>
    </row>
    <row r="2611" spans="1:11" x14ac:dyDescent="0.35">
      <c r="A2611">
        <v>2610</v>
      </c>
      <c r="B2611" t="s">
        <v>2</v>
      </c>
      <c r="C2611" t="s">
        <v>136</v>
      </c>
      <c r="D2611" t="s">
        <v>140</v>
      </c>
      <c r="E2611" s="2">
        <v>44266.612824074073</v>
      </c>
      <c r="F2611" s="2">
        <v>44266.642812500002</v>
      </c>
      <c r="G2611" s="3">
        <v>2.9988425929332152E-2</v>
      </c>
      <c r="H2611" s="3">
        <v>2606.7825042882605</v>
      </c>
      <c r="I2611" s="3">
        <v>43.44637507147101</v>
      </c>
      <c r="J2611" s="3">
        <v>0.72410625119118355</v>
      </c>
      <c r="K2611" t="s">
        <v>90</v>
      </c>
    </row>
    <row r="2612" spans="1:11" x14ac:dyDescent="0.35">
      <c r="A2612">
        <v>2611</v>
      </c>
      <c r="B2612" t="s">
        <v>2</v>
      </c>
      <c r="C2612" t="s">
        <v>132</v>
      </c>
      <c r="D2612" t="s">
        <v>140</v>
      </c>
      <c r="E2612" s="2">
        <v>44266.644317129627</v>
      </c>
      <c r="F2612" s="2">
        <v>44266.67260416667</v>
      </c>
      <c r="G2612" s="3">
        <v>2.828703704290092E-2</v>
      </c>
      <c r="H2612" s="3">
        <v>2458.8870864830424</v>
      </c>
      <c r="I2612" s="3">
        <v>40.981451441384039</v>
      </c>
      <c r="J2612" s="3">
        <v>0.68302419068973397</v>
      </c>
      <c r="K2612" t="s">
        <v>93</v>
      </c>
    </row>
    <row r="2613" spans="1:11" x14ac:dyDescent="0.35">
      <c r="A2613">
        <v>2612</v>
      </c>
      <c r="B2613" t="s">
        <v>2</v>
      </c>
      <c r="C2613" t="s">
        <v>132</v>
      </c>
      <c r="D2613" t="s">
        <v>140</v>
      </c>
      <c r="E2613" s="2">
        <v>44266.672708333332</v>
      </c>
      <c r="F2613" s="2">
        <v>44266.673402777778</v>
      </c>
      <c r="G2613" s="3">
        <v>6.944444467080757E-4</v>
      </c>
      <c r="H2613" s="3">
        <v>60.365476939158178</v>
      </c>
      <c r="I2613" s="3">
        <v>1.0060912823193029</v>
      </c>
      <c r="J2613" s="3">
        <v>1.6768188038655048E-2</v>
      </c>
      <c r="K2613" t="s">
        <v>93</v>
      </c>
    </row>
    <row r="2614" spans="1:11" x14ac:dyDescent="0.35">
      <c r="A2614">
        <v>2613</v>
      </c>
      <c r="B2614" t="s">
        <v>2</v>
      </c>
      <c r="C2614" t="s">
        <v>132</v>
      </c>
      <c r="D2614" t="s">
        <v>140</v>
      </c>
      <c r="E2614" s="2">
        <v>44266.673541666663</v>
      </c>
      <c r="F2614" s="2">
        <v>44266.689976851849</v>
      </c>
      <c r="G2614" s="3">
        <v>1.6435185185400769E-2</v>
      </c>
      <c r="H2614" s="3">
        <v>1428.6496162552824</v>
      </c>
      <c r="I2614" s="3">
        <v>23.81082693758804</v>
      </c>
      <c r="J2614" s="3">
        <v>0.39684711562646735</v>
      </c>
      <c r="K2614" t="s">
        <v>93</v>
      </c>
    </row>
    <row r="2615" spans="1:11" x14ac:dyDescent="0.35">
      <c r="A2615">
        <v>2614</v>
      </c>
      <c r="B2615" t="s">
        <v>2</v>
      </c>
      <c r="C2615" t="s">
        <v>132</v>
      </c>
      <c r="D2615" t="s">
        <v>140</v>
      </c>
      <c r="E2615" s="2">
        <v>44266.690104166664</v>
      </c>
      <c r="F2615" s="2">
        <v>44266.694907407407</v>
      </c>
      <c r="G2615" s="3">
        <v>4.803240743058268E-3</v>
      </c>
      <c r="H2615" s="3">
        <v>417.52788100297875</v>
      </c>
      <c r="I2615" s="3">
        <v>6.9587980167163126</v>
      </c>
      <c r="J2615" s="3">
        <v>0.11597996694527188</v>
      </c>
      <c r="K2615" t="s">
        <v>93</v>
      </c>
    </row>
    <row r="2616" spans="1:11" x14ac:dyDescent="0.35">
      <c r="A2616">
        <v>2615</v>
      </c>
      <c r="B2616" t="s">
        <v>2</v>
      </c>
      <c r="C2616" t="s">
        <v>132</v>
      </c>
      <c r="D2616" t="s">
        <v>140</v>
      </c>
      <c r="E2616" s="2">
        <v>44266.695694444446</v>
      </c>
      <c r="F2616" s="2">
        <v>44266.698182870372</v>
      </c>
      <c r="G2616" s="3">
        <v>2.488425925548654E-3</v>
      </c>
      <c r="H2616" s="3">
        <v>216.30962496076617</v>
      </c>
      <c r="I2616" s="3">
        <v>3.6051604160127697</v>
      </c>
      <c r="J2616" s="3">
        <v>6.0086006933546161E-2</v>
      </c>
      <c r="K2616" t="s">
        <v>93</v>
      </c>
    </row>
    <row r="2617" spans="1:11" x14ac:dyDescent="0.35">
      <c r="A2617">
        <v>2616</v>
      </c>
      <c r="B2617" t="s">
        <v>2</v>
      </c>
      <c r="C2617" t="s">
        <v>132</v>
      </c>
      <c r="D2617" t="s">
        <v>140</v>
      </c>
      <c r="E2617" s="2">
        <v>44266.698379629626</v>
      </c>
      <c r="F2617" s="2">
        <v>44266.713472222225</v>
      </c>
      <c r="G2617" s="3">
        <v>1.5092592599103227E-2</v>
      </c>
      <c r="H2617" s="3">
        <v>1311.9430284338687</v>
      </c>
      <c r="I2617" s="3">
        <v>21.865717140564477</v>
      </c>
      <c r="J2617" s="3">
        <v>0.36442861900940798</v>
      </c>
      <c r="K2617" t="s">
        <v>93</v>
      </c>
    </row>
    <row r="2618" spans="1:11" x14ac:dyDescent="0.35">
      <c r="A2618">
        <v>2617</v>
      </c>
      <c r="B2618" t="s">
        <v>11</v>
      </c>
      <c r="C2618" t="s">
        <v>11</v>
      </c>
      <c r="D2618" t="s">
        <v>140</v>
      </c>
      <c r="E2618" s="2">
        <v>44266.713819444441</v>
      </c>
      <c r="F2618" s="2">
        <v>44266.728819444441</v>
      </c>
      <c r="G2618" s="3">
        <v>1.4999999999417923E-2</v>
      </c>
      <c r="H2618" s="3">
        <v>1303.8942975850073</v>
      </c>
      <c r="I2618" s="3">
        <v>21.731571626416788</v>
      </c>
      <c r="J2618" s="3">
        <v>0.36219286044027982</v>
      </c>
    </row>
    <row r="2619" spans="1:11" x14ac:dyDescent="0.35">
      <c r="A2619">
        <v>2618</v>
      </c>
      <c r="B2619" t="s">
        <v>11</v>
      </c>
      <c r="C2619" t="s">
        <v>11</v>
      </c>
      <c r="D2619" t="s">
        <v>140</v>
      </c>
      <c r="E2619" s="2">
        <v>44267.313148148147</v>
      </c>
      <c r="F2619" s="2">
        <v>44267.314375000002</v>
      </c>
      <c r="G2619" s="3">
        <v>1.2268518548808061E-3</v>
      </c>
      <c r="H2619" s="3">
        <v>106.64567584151652</v>
      </c>
      <c r="I2619" s="3">
        <v>1.777427930691942</v>
      </c>
      <c r="J2619" s="3">
        <v>2.9623798844865702E-2</v>
      </c>
    </row>
    <row r="2620" spans="1:11" x14ac:dyDescent="0.35">
      <c r="A2620">
        <v>2619</v>
      </c>
      <c r="B2620" t="s">
        <v>2</v>
      </c>
      <c r="C2620" t="s">
        <v>96</v>
      </c>
      <c r="D2620" t="s">
        <v>140</v>
      </c>
      <c r="E2620" s="2">
        <v>44267.314560185187</v>
      </c>
      <c r="F2620" s="2">
        <v>44267.334872685184</v>
      </c>
      <c r="G2620" s="3">
        <v>2.0312499997089617E-2</v>
      </c>
      <c r="H2620" s="3">
        <v>1765.6901944618928</v>
      </c>
      <c r="I2620" s="3">
        <v>29.428169907698212</v>
      </c>
      <c r="J2620" s="3">
        <v>0.49046949846163684</v>
      </c>
    </row>
    <row r="2621" spans="1:11" x14ac:dyDescent="0.35">
      <c r="A2621">
        <v>2620</v>
      </c>
      <c r="B2621" t="s">
        <v>2</v>
      </c>
      <c r="C2621" t="s">
        <v>132</v>
      </c>
      <c r="D2621" t="s">
        <v>140</v>
      </c>
      <c r="E2621" s="2">
        <v>44267.334953703707</v>
      </c>
      <c r="F2621" s="2">
        <v>44267.345150462963</v>
      </c>
      <c r="G2621" s="3">
        <v>1.0196759256359655E-2</v>
      </c>
      <c r="H2621" s="3">
        <v>886.36641658202836</v>
      </c>
      <c r="I2621" s="3">
        <v>14.772773609700472</v>
      </c>
      <c r="J2621" s="3">
        <v>0.24621289349500788</v>
      </c>
      <c r="K2621" t="s">
        <v>93</v>
      </c>
    </row>
    <row r="2622" spans="1:11" x14ac:dyDescent="0.35">
      <c r="A2622">
        <v>2621</v>
      </c>
      <c r="B2622" t="s">
        <v>2</v>
      </c>
      <c r="C2622" t="s">
        <v>96</v>
      </c>
      <c r="D2622" t="s">
        <v>140</v>
      </c>
      <c r="E2622" s="2">
        <v>44267.345312500001</v>
      </c>
      <c r="F2622" s="2">
        <v>44267.35392361111</v>
      </c>
      <c r="G2622" s="3">
        <v>8.6111111086211167E-3</v>
      </c>
      <c r="H2622" s="3">
        <v>748.53191138917907</v>
      </c>
      <c r="I2622" s="3">
        <v>12.475531856486318</v>
      </c>
      <c r="J2622" s="3">
        <v>0.20792553094143865</v>
      </c>
    </row>
    <row r="2623" spans="1:11" x14ac:dyDescent="0.35">
      <c r="A2623">
        <v>2622</v>
      </c>
      <c r="B2623" t="s">
        <v>2</v>
      </c>
      <c r="C2623" t="s">
        <v>132</v>
      </c>
      <c r="D2623" t="s">
        <v>140</v>
      </c>
      <c r="E2623" s="2">
        <v>44267.354050925926</v>
      </c>
      <c r="F2623" s="2">
        <v>44267.362407407411</v>
      </c>
      <c r="G2623" s="3">
        <v>8.3564814849523827E-3</v>
      </c>
      <c r="H2623" s="3">
        <v>726.39790376846156</v>
      </c>
      <c r="I2623" s="3">
        <v>12.10663172947436</v>
      </c>
      <c r="J2623" s="3">
        <v>0.20177719549123935</v>
      </c>
      <c r="K2623" t="s">
        <v>93</v>
      </c>
    </row>
    <row r="2624" spans="1:11" x14ac:dyDescent="0.35">
      <c r="A2624">
        <v>2623</v>
      </c>
      <c r="B2624" t="s">
        <v>2</v>
      </c>
      <c r="C2624" t="s">
        <v>132</v>
      </c>
      <c r="D2624" t="s">
        <v>140</v>
      </c>
      <c r="E2624" s="2">
        <v>44267.362719907411</v>
      </c>
      <c r="F2624" s="2">
        <v>44267.393310185187</v>
      </c>
      <c r="G2624" s="3">
        <v>3.0590277776354924E-2</v>
      </c>
      <c r="H2624" s="3">
        <v>2659.0992503785574</v>
      </c>
      <c r="I2624" s="3">
        <v>44.318320839642624</v>
      </c>
      <c r="J2624" s="3">
        <v>0.73863868066071037</v>
      </c>
      <c r="K2624" t="s">
        <v>93</v>
      </c>
    </row>
    <row r="2625" spans="1:11" x14ac:dyDescent="0.35">
      <c r="A2625">
        <v>2624</v>
      </c>
      <c r="B2625" t="s">
        <v>16</v>
      </c>
      <c r="C2625" t="s">
        <v>16</v>
      </c>
      <c r="D2625" t="s">
        <v>140</v>
      </c>
      <c r="E2625" s="2">
        <v>44267.39340277778</v>
      </c>
      <c r="F2625" s="2">
        <v>44267.400740740741</v>
      </c>
      <c r="G2625" s="3">
        <v>7.3379629611736163E-3</v>
      </c>
      <c r="H2625" s="3">
        <v>637.86187075570376</v>
      </c>
      <c r="I2625" s="3">
        <v>10.631031179261729</v>
      </c>
      <c r="J2625" s="3">
        <v>0.17718385298769548</v>
      </c>
    </row>
    <row r="2626" spans="1:11" x14ac:dyDescent="0.35">
      <c r="A2626">
        <v>2625</v>
      </c>
      <c r="B2626" t="s">
        <v>2</v>
      </c>
      <c r="C2626" t="s">
        <v>136</v>
      </c>
      <c r="D2626" t="s">
        <v>140</v>
      </c>
      <c r="E2626" s="2">
        <v>44267.400891203702</v>
      </c>
      <c r="F2626" s="2">
        <v>44267.493356481478</v>
      </c>
      <c r="G2626" s="3">
        <v>9.2465277775772847E-2</v>
      </c>
      <c r="H2626" s="3">
        <v>8037.6632280748299</v>
      </c>
      <c r="I2626" s="3">
        <v>133.96105380124717</v>
      </c>
      <c r="J2626" s="3">
        <v>2.2326842300207863</v>
      </c>
      <c r="K2626" t="s">
        <v>90</v>
      </c>
    </row>
    <row r="2627" spans="1:11" x14ac:dyDescent="0.35">
      <c r="A2627">
        <v>2626</v>
      </c>
      <c r="B2627" t="s">
        <v>16</v>
      </c>
      <c r="C2627" t="s">
        <v>16</v>
      </c>
      <c r="D2627" t="s">
        <v>140</v>
      </c>
      <c r="E2627" s="2">
        <v>44267.493460648147</v>
      </c>
      <c r="F2627" s="2">
        <v>44267.532118055555</v>
      </c>
      <c r="G2627" s="3">
        <v>3.8657407407299615E-2</v>
      </c>
      <c r="H2627" s="3">
        <v>3360.3448719836242</v>
      </c>
      <c r="I2627" s="3">
        <v>56.00574786639374</v>
      </c>
      <c r="J2627" s="3">
        <v>0.93342913110656234</v>
      </c>
    </row>
    <row r="2628" spans="1:11" x14ac:dyDescent="0.35">
      <c r="A2628">
        <v>2627</v>
      </c>
      <c r="B2628" t="s">
        <v>2</v>
      </c>
      <c r="C2628" t="s">
        <v>132</v>
      </c>
      <c r="D2628" t="s">
        <v>140</v>
      </c>
      <c r="E2628" s="2">
        <v>44267.532326388886</v>
      </c>
      <c r="F2628" s="2">
        <v>44267.554965277777</v>
      </c>
      <c r="G2628" s="3">
        <v>2.2638888891378883E-2</v>
      </c>
      <c r="H2628" s="3">
        <v>1967.9145420183313</v>
      </c>
      <c r="I2628" s="3">
        <v>32.79857570030552</v>
      </c>
      <c r="J2628" s="3">
        <v>0.54664292833842532</v>
      </c>
      <c r="K2628" t="s">
        <v>93</v>
      </c>
    </row>
    <row r="2629" spans="1:11" x14ac:dyDescent="0.35">
      <c r="A2629">
        <v>2628</v>
      </c>
      <c r="B2629" t="s">
        <v>2</v>
      </c>
      <c r="C2629" t="s">
        <v>96</v>
      </c>
      <c r="D2629" t="s">
        <v>140</v>
      </c>
      <c r="E2629" s="2">
        <v>44267.555104166669</v>
      </c>
      <c r="F2629" s="2">
        <v>44267.563310185185</v>
      </c>
      <c r="G2629" s="3">
        <v>8.2060185159207322E-3</v>
      </c>
      <c r="H2629" s="3">
        <v>713.31871661341552</v>
      </c>
      <c r="I2629" s="3">
        <v>11.888645276890259</v>
      </c>
      <c r="J2629" s="3">
        <v>0.19814408794817098</v>
      </c>
    </row>
    <row r="2630" spans="1:11" x14ac:dyDescent="0.35">
      <c r="A2630">
        <v>2629</v>
      </c>
      <c r="B2630" t="s">
        <v>2</v>
      </c>
      <c r="C2630" t="s">
        <v>72</v>
      </c>
      <c r="D2630" t="s">
        <v>140</v>
      </c>
      <c r="E2630" s="2">
        <v>44267.563483796293</v>
      </c>
      <c r="F2630" s="2">
        <v>44267.583657407406</v>
      </c>
      <c r="G2630" s="3">
        <v>2.0173611112113576E-2</v>
      </c>
      <c r="H2630" s="3">
        <v>1753.6170994535444</v>
      </c>
      <c r="I2630" s="3">
        <v>29.226951657559074</v>
      </c>
      <c r="J2630" s="3">
        <v>0.48711586095931791</v>
      </c>
      <c r="K2630" t="s">
        <v>73</v>
      </c>
    </row>
    <row r="2631" spans="1:11" x14ac:dyDescent="0.35">
      <c r="A2631">
        <v>2630</v>
      </c>
      <c r="B2631" t="s">
        <v>11</v>
      </c>
      <c r="C2631" t="s">
        <v>11</v>
      </c>
      <c r="D2631" t="s">
        <v>140</v>
      </c>
      <c r="E2631" s="2">
        <v>44267.583726851852</v>
      </c>
      <c r="F2631" s="2">
        <v>44267.591805555552</v>
      </c>
      <c r="G2631" s="3">
        <v>8.0787037004483864E-3</v>
      </c>
      <c r="H2631" s="3">
        <v>702.25171248682079</v>
      </c>
      <c r="I2631" s="3">
        <v>11.70419520811368</v>
      </c>
      <c r="J2631" s="3">
        <v>0.195069920135228</v>
      </c>
    </row>
    <row r="2632" spans="1:11" x14ac:dyDescent="0.35">
      <c r="A2632">
        <v>2631</v>
      </c>
      <c r="B2632" t="s">
        <v>2</v>
      </c>
      <c r="C2632" t="s">
        <v>96</v>
      </c>
      <c r="D2632" t="s">
        <v>140</v>
      </c>
      <c r="E2632" s="2">
        <v>44267.592037037037</v>
      </c>
      <c r="F2632" s="2">
        <v>44267.599178240744</v>
      </c>
      <c r="G2632" s="3">
        <v>7.1412037068512291E-3</v>
      </c>
      <c r="H2632" s="3">
        <v>620.75831944117078</v>
      </c>
      <c r="I2632" s="3">
        <v>10.345971990686179</v>
      </c>
      <c r="J2632" s="3">
        <v>0.17243286651143633</v>
      </c>
    </row>
    <row r="2633" spans="1:11" x14ac:dyDescent="0.35">
      <c r="A2633">
        <v>2632</v>
      </c>
      <c r="B2633" t="s">
        <v>11</v>
      </c>
      <c r="C2633" t="s">
        <v>11</v>
      </c>
      <c r="D2633" t="s">
        <v>140</v>
      </c>
      <c r="E2633" s="2">
        <v>44267.599282407406</v>
      </c>
      <c r="F2633" s="2">
        <v>44267.612928240742</v>
      </c>
      <c r="G2633" s="3">
        <v>1.3645833336340729E-2</v>
      </c>
      <c r="H2633" s="3">
        <v>1186.1816182493678</v>
      </c>
      <c r="I2633" s="3">
        <v>19.769693637489464</v>
      </c>
      <c r="J2633" s="3">
        <v>0.32949489395815773</v>
      </c>
    </row>
    <row r="2634" spans="1:11" x14ac:dyDescent="0.35">
      <c r="A2634">
        <v>2633</v>
      </c>
      <c r="B2634" t="s">
        <v>2</v>
      </c>
      <c r="C2634" t="s">
        <v>132</v>
      </c>
      <c r="D2634" t="s">
        <v>140</v>
      </c>
      <c r="E2634" s="2">
        <v>44267.613136574073</v>
      </c>
      <c r="F2634" s="2">
        <v>44267.622337962966</v>
      </c>
      <c r="G2634" s="3">
        <v>9.2013888934161514E-3</v>
      </c>
      <c r="H2634" s="3">
        <v>799.84256723019394</v>
      </c>
      <c r="I2634" s="3">
        <v>13.330709453836565</v>
      </c>
      <c r="J2634" s="3">
        <v>0.22217849089727609</v>
      </c>
      <c r="K2634" t="s">
        <v>93</v>
      </c>
    </row>
    <row r="2635" spans="1:11" x14ac:dyDescent="0.35">
      <c r="A2635">
        <v>2634</v>
      </c>
      <c r="B2635" t="s">
        <v>2</v>
      </c>
      <c r="C2635" t="s">
        <v>72</v>
      </c>
      <c r="D2635" t="s">
        <v>140</v>
      </c>
      <c r="E2635" s="2">
        <v>44267.622442129628</v>
      </c>
      <c r="F2635" s="2">
        <v>44267.625983796293</v>
      </c>
      <c r="G2635" s="3">
        <v>3.5416666651144624E-3</v>
      </c>
      <c r="H2635" s="3">
        <v>307.86393125125716</v>
      </c>
      <c r="I2635" s="3">
        <v>5.1310655208542864</v>
      </c>
      <c r="J2635" s="3">
        <v>8.5517758680904776E-2</v>
      </c>
      <c r="K2635" t="s">
        <v>73</v>
      </c>
    </row>
    <row r="2636" spans="1:11" x14ac:dyDescent="0.35">
      <c r="A2636">
        <v>2635</v>
      </c>
      <c r="B2636" t="s">
        <v>2</v>
      </c>
      <c r="C2636" t="s">
        <v>132</v>
      </c>
      <c r="D2636" t="s">
        <v>140</v>
      </c>
      <c r="E2636" s="2">
        <v>44267.626134259262</v>
      </c>
      <c r="F2636" s="2">
        <v>44267.633043981485</v>
      </c>
      <c r="G2636" s="3">
        <v>6.9097222221898846E-3</v>
      </c>
      <c r="H2636" s="3">
        <v>600.63649358396071</v>
      </c>
      <c r="I2636" s="3">
        <v>10.010608226399345</v>
      </c>
      <c r="J2636" s="3">
        <v>0.16684347043998909</v>
      </c>
      <c r="K2636" t="s">
        <v>93</v>
      </c>
    </row>
    <row r="2637" spans="1:11" x14ac:dyDescent="0.35">
      <c r="A2637">
        <v>2636</v>
      </c>
      <c r="B2637" t="s">
        <v>2</v>
      </c>
      <c r="C2637" t="s">
        <v>132</v>
      </c>
      <c r="D2637" t="s">
        <v>140</v>
      </c>
      <c r="E2637" s="2">
        <v>44267.633136574077</v>
      </c>
      <c r="F2637" s="2">
        <v>44267.63658564815</v>
      </c>
      <c r="G2637" s="3">
        <v>3.4490740727051161E-3</v>
      </c>
      <c r="H2637" s="3">
        <v>299.81520103486753</v>
      </c>
      <c r="I2637" s="3">
        <v>4.9969200172477919</v>
      </c>
      <c r="J2637" s="3">
        <v>8.3282000287463201E-2</v>
      </c>
      <c r="K2637" t="s">
        <v>93</v>
      </c>
    </row>
    <row r="2638" spans="1:11" x14ac:dyDescent="0.35">
      <c r="A2638">
        <v>2637</v>
      </c>
      <c r="B2638" t="s">
        <v>2</v>
      </c>
      <c r="C2638" t="s">
        <v>132</v>
      </c>
      <c r="D2638" t="s">
        <v>140</v>
      </c>
      <c r="E2638" s="2">
        <v>44267.636863425927</v>
      </c>
      <c r="F2638" s="2">
        <v>44267.640902777777</v>
      </c>
      <c r="G2638" s="3">
        <v>4.0393518502241932E-3</v>
      </c>
      <c r="H2638" s="3">
        <v>351.1258562434104</v>
      </c>
      <c r="I2638" s="3">
        <v>5.8520976040568398</v>
      </c>
      <c r="J2638" s="3">
        <v>9.7534960067614002E-2</v>
      </c>
      <c r="K2638" t="s">
        <v>93</v>
      </c>
    </row>
    <row r="2639" spans="1:11" x14ac:dyDescent="0.35">
      <c r="A2639">
        <v>2638</v>
      </c>
      <c r="B2639" t="s">
        <v>11</v>
      </c>
      <c r="C2639" t="s">
        <v>11</v>
      </c>
      <c r="D2639" t="s">
        <v>140</v>
      </c>
      <c r="E2639" s="2">
        <v>44267.641018518516</v>
      </c>
      <c r="F2639" s="2">
        <v>44267.642581018517</v>
      </c>
      <c r="G2639" s="3">
        <v>1.5625000014551915E-3</v>
      </c>
      <c r="H2639" s="3">
        <v>135.82232279686991</v>
      </c>
      <c r="I2639" s="3">
        <v>2.2637053799478317</v>
      </c>
      <c r="J2639" s="3">
        <v>3.7728422999130526E-2</v>
      </c>
    </row>
    <row r="2640" spans="1:11" x14ac:dyDescent="0.35">
      <c r="A2640">
        <v>2639</v>
      </c>
      <c r="B2640" t="s">
        <v>2</v>
      </c>
      <c r="C2640" t="s">
        <v>136</v>
      </c>
      <c r="D2640" t="s">
        <v>140</v>
      </c>
      <c r="E2640" s="2">
        <v>44267.642731481479</v>
      </c>
      <c r="F2640" s="2">
        <v>44267.659305555557</v>
      </c>
      <c r="G2640" s="3">
        <v>1.6574074077652767E-2</v>
      </c>
      <c r="H2640" s="3">
        <v>1440.7227118961027</v>
      </c>
      <c r="I2640" s="3">
        <v>24.012045198268378</v>
      </c>
      <c r="J2640" s="3">
        <v>0.40020075330447297</v>
      </c>
      <c r="K2640" t="s">
        <v>90</v>
      </c>
    </row>
    <row r="2641" spans="1:11" x14ac:dyDescent="0.35">
      <c r="A2641">
        <v>2640</v>
      </c>
      <c r="B2641" t="s">
        <v>2</v>
      </c>
      <c r="C2641" t="s">
        <v>132</v>
      </c>
      <c r="D2641" t="s">
        <v>140</v>
      </c>
      <c r="E2641" s="2">
        <v>44267.659479166665</v>
      </c>
      <c r="F2641" s="2">
        <v>44267.676516203705</v>
      </c>
      <c r="G2641" s="3">
        <v>1.7037037039699499E-2</v>
      </c>
      <c r="H2641" s="3">
        <v>1480.9663629780509</v>
      </c>
      <c r="I2641" s="3">
        <v>24.68277271630085</v>
      </c>
      <c r="J2641" s="3">
        <v>0.4113795452716808</v>
      </c>
      <c r="K2641" t="s">
        <v>93</v>
      </c>
    </row>
    <row r="2642" spans="1:11" x14ac:dyDescent="0.35">
      <c r="A2642">
        <v>2641</v>
      </c>
      <c r="B2642" t="s">
        <v>2</v>
      </c>
      <c r="C2642" t="s">
        <v>96</v>
      </c>
      <c r="D2642" t="s">
        <v>140</v>
      </c>
      <c r="E2642" s="2">
        <v>44267.676689814813</v>
      </c>
      <c r="F2642" s="2">
        <v>44267.678611111114</v>
      </c>
      <c r="G2642" s="3">
        <v>1.9212963015888818E-3</v>
      </c>
      <c r="H2642" s="3">
        <v>167.01115278067468</v>
      </c>
      <c r="I2642" s="3">
        <v>2.7835192130112447</v>
      </c>
      <c r="J2642" s="3">
        <v>4.6391986883520746E-2</v>
      </c>
    </row>
    <row r="2643" spans="1:11" x14ac:dyDescent="0.35">
      <c r="A2643">
        <v>2642</v>
      </c>
      <c r="B2643" t="s">
        <v>2</v>
      </c>
      <c r="C2643" t="s">
        <v>132</v>
      </c>
      <c r="D2643" t="s">
        <v>140</v>
      </c>
      <c r="E2643" s="2">
        <v>44267.678900462961</v>
      </c>
      <c r="F2643" s="2">
        <v>44267.686307870368</v>
      </c>
      <c r="G2643" s="3">
        <v>7.4074074072996154E-3</v>
      </c>
      <c r="H2643" s="3">
        <v>643.89841857611395</v>
      </c>
      <c r="I2643" s="3">
        <v>10.731640309601898</v>
      </c>
      <c r="J2643" s="3">
        <v>0.17886067182669832</v>
      </c>
      <c r="K2643" t="s">
        <v>93</v>
      </c>
    </row>
    <row r="2644" spans="1:11" x14ac:dyDescent="0.35">
      <c r="A2644">
        <v>2643</v>
      </c>
      <c r="B2644" t="s">
        <v>16</v>
      </c>
      <c r="C2644" t="s">
        <v>16</v>
      </c>
      <c r="D2644" t="s">
        <v>140</v>
      </c>
      <c r="E2644" s="2">
        <v>44267.686400462961</v>
      </c>
      <c r="F2644" s="2">
        <v>44267.69259259259</v>
      </c>
      <c r="G2644" s="3">
        <v>6.1921296291984618E-3</v>
      </c>
      <c r="H2644" s="3">
        <v>538.25883424882318</v>
      </c>
      <c r="I2644" s="3">
        <v>8.9709805708137189</v>
      </c>
      <c r="J2644" s="3">
        <v>0.14951634284689533</v>
      </c>
    </row>
    <row r="2645" spans="1:11" x14ac:dyDescent="0.35">
      <c r="A2645">
        <v>2644</v>
      </c>
      <c r="B2645" t="s">
        <v>11</v>
      </c>
      <c r="C2645" t="s">
        <v>11</v>
      </c>
      <c r="D2645" t="s">
        <v>140</v>
      </c>
      <c r="E2645" s="2">
        <v>44267.692754629628</v>
      </c>
      <c r="F2645" s="2">
        <v>44267.693622685183</v>
      </c>
      <c r="G2645" s="3">
        <v>8.6805555474711582E-4</v>
      </c>
      <c r="H2645" s="3">
        <v>75.456845857711727</v>
      </c>
      <c r="I2645" s="3">
        <v>1.2576140976285288</v>
      </c>
      <c r="J2645" s="3">
        <v>2.0960234960475482E-2</v>
      </c>
    </row>
    <row r="2646" spans="1:11" x14ac:dyDescent="0.35">
      <c r="A2646">
        <v>2645</v>
      </c>
      <c r="B2646" t="s">
        <v>2</v>
      </c>
      <c r="C2646" t="s">
        <v>132</v>
      </c>
      <c r="D2646" t="s">
        <v>140</v>
      </c>
      <c r="E2646" s="2">
        <v>44267.694016203706</v>
      </c>
      <c r="F2646" s="2">
        <v>44267.705034722225</v>
      </c>
      <c r="G2646" s="3">
        <v>1.1018518518540077E-2</v>
      </c>
      <c r="H2646" s="3">
        <v>957.79889764778136</v>
      </c>
      <c r="I2646" s="3">
        <v>15.963314960796357</v>
      </c>
      <c r="J2646" s="3">
        <v>0.26605524934660596</v>
      </c>
      <c r="K2646" t="s">
        <v>93</v>
      </c>
    </row>
    <row r="2647" spans="1:11" x14ac:dyDescent="0.35">
      <c r="A2647">
        <v>2646</v>
      </c>
      <c r="B2647" t="s">
        <v>11</v>
      </c>
      <c r="C2647" t="s">
        <v>11</v>
      </c>
      <c r="D2647" t="s">
        <v>140</v>
      </c>
      <c r="E2647" s="2">
        <v>44267.705254629633</v>
      </c>
      <c r="F2647" s="2">
        <v>44267.802060185182</v>
      </c>
      <c r="G2647" s="3">
        <v>9.6805555549508426E-2</v>
      </c>
      <c r="H2647" s="3">
        <v>8414.9474573633888</v>
      </c>
      <c r="I2647" s="3">
        <v>140.24912428938981</v>
      </c>
      <c r="J2647" s="3">
        <v>2.3374854048231635</v>
      </c>
    </row>
    <row r="2648" spans="1:11" x14ac:dyDescent="0.35">
      <c r="A2648">
        <v>2647</v>
      </c>
      <c r="B2648" t="s">
        <v>11</v>
      </c>
      <c r="C2648" t="s">
        <v>11</v>
      </c>
      <c r="D2648" t="s">
        <v>140</v>
      </c>
      <c r="E2648" s="2">
        <v>44267.815798611111</v>
      </c>
      <c r="F2648" s="2">
        <v>44267.88616898148</v>
      </c>
      <c r="G2648" s="3">
        <v>7.0370370369346347E-2</v>
      </c>
      <c r="H2648" s="3">
        <v>6117.0349764730827</v>
      </c>
      <c r="I2648" s="3">
        <v>101.95058294121804</v>
      </c>
      <c r="J2648" s="3">
        <v>1.6991763823536341</v>
      </c>
    </row>
    <row r="2649" spans="1:11" x14ac:dyDescent="0.35">
      <c r="A2649">
        <v>2648</v>
      </c>
      <c r="B2649" t="s">
        <v>11</v>
      </c>
      <c r="C2649" t="s">
        <v>11</v>
      </c>
      <c r="D2649" t="s">
        <v>140</v>
      </c>
      <c r="E2649" s="2">
        <v>44268.769386574073</v>
      </c>
      <c r="F2649" s="2">
        <v>44268.868842592594</v>
      </c>
      <c r="G2649" s="3">
        <v>9.9456018520868383E-2</v>
      </c>
      <c r="H2649" s="3">
        <v>8645.3423609934271</v>
      </c>
      <c r="I2649" s="3">
        <v>144.08903934989044</v>
      </c>
      <c r="J2649" s="3">
        <v>2.4014839891648405</v>
      </c>
    </row>
    <row r="2650" spans="1:11" x14ac:dyDescent="0.35">
      <c r="A2650">
        <v>2649</v>
      </c>
      <c r="B2650" t="s">
        <v>11</v>
      </c>
      <c r="C2650" t="s">
        <v>11</v>
      </c>
      <c r="D2650" t="s">
        <v>140</v>
      </c>
      <c r="E2650" s="2">
        <v>44269.398668981485</v>
      </c>
      <c r="F2650" s="2">
        <v>44269.416493055556</v>
      </c>
      <c r="G2650" s="3">
        <v>1.7824074071540963E-2</v>
      </c>
      <c r="H2650" s="3">
        <v>1549.3805695011267</v>
      </c>
      <c r="I2650" s="3">
        <v>25.823009491685447</v>
      </c>
      <c r="J2650" s="3">
        <v>0.4303834915280908</v>
      </c>
    </row>
    <row r="2651" spans="1:11" x14ac:dyDescent="0.35">
      <c r="A2651">
        <v>2650</v>
      </c>
      <c r="B2651" t="s">
        <v>11</v>
      </c>
      <c r="C2651" t="s">
        <v>11</v>
      </c>
      <c r="D2651" t="s">
        <v>140</v>
      </c>
      <c r="E2651" s="2">
        <v>44269.550856481481</v>
      </c>
      <c r="F2651" s="2">
        <v>44269.872303240743</v>
      </c>
      <c r="G2651" s="3">
        <v>0.32144675926247146</v>
      </c>
      <c r="H2651" s="3">
        <v>27942.173093052108</v>
      </c>
      <c r="I2651" s="3">
        <v>465.70288488420181</v>
      </c>
      <c r="J2651" s="3">
        <v>7.7617147480700304</v>
      </c>
    </row>
    <row r="2652" spans="1:11" x14ac:dyDescent="0.35">
      <c r="A2652">
        <v>2651</v>
      </c>
      <c r="B2652" t="s">
        <v>11</v>
      </c>
      <c r="C2652" t="s">
        <v>11</v>
      </c>
      <c r="D2652" t="s">
        <v>140</v>
      </c>
      <c r="E2652" s="2">
        <v>44270.351736111108</v>
      </c>
      <c r="F2652" s="2">
        <v>44270.355358796296</v>
      </c>
      <c r="G2652" s="3">
        <v>3.6226851880201139E-3</v>
      </c>
      <c r="H2652" s="3">
        <v>314.90657058589306</v>
      </c>
      <c r="I2652" s="3">
        <v>5.2484428430982177</v>
      </c>
      <c r="J2652" s="3">
        <v>8.7474047384970291E-2</v>
      </c>
    </row>
    <row r="2653" spans="1:11" x14ac:dyDescent="0.35">
      <c r="A2653">
        <v>2652</v>
      </c>
      <c r="B2653" t="s">
        <v>2</v>
      </c>
      <c r="C2653" t="s">
        <v>96</v>
      </c>
      <c r="D2653" t="s">
        <v>140</v>
      </c>
      <c r="E2653" s="2">
        <v>44270.355520833335</v>
      </c>
      <c r="F2653" s="2">
        <v>44270.395543981482</v>
      </c>
      <c r="G2653" s="3">
        <v>4.0023148147156462E-2</v>
      </c>
      <c r="H2653" s="3">
        <v>3479.0636428334892</v>
      </c>
      <c r="I2653" s="3">
        <v>57.984394047224818</v>
      </c>
      <c r="J2653" s="3">
        <v>0.96640656745374698</v>
      </c>
    </row>
    <row r="2654" spans="1:11" x14ac:dyDescent="0.35">
      <c r="A2654">
        <v>2653</v>
      </c>
      <c r="B2654" t="s">
        <v>11</v>
      </c>
      <c r="C2654" t="s">
        <v>11</v>
      </c>
      <c r="D2654" t="s">
        <v>140</v>
      </c>
      <c r="E2654" s="2">
        <v>44270.39571759259</v>
      </c>
      <c r="F2654" s="2">
        <v>44270.403969907406</v>
      </c>
      <c r="G2654" s="3">
        <v>8.2523148157633841E-3</v>
      </c>
      <c r="H2654" s="3">
        <v>717.34308203784633</v>
      </c>
      <c r="I2654" s="3">
        <v>11.955718033964105</v>
      </c>
      <c r="J2654" s="3">
        <v>0.19926196723273509</v>
      </c>
    </row>
    <row r="2655" spans="1:11" x14ac:dyDescent="0.35">
      <c r="A2655">
        <v>2654</v>
      </c>
      <c r="B2655" t="s">
        <v>2</v>
      </c>
      <c r="C2655" t="s">
        <v>132</v>
      </c>
      <c r="D2655" t="s">
        <v>140</v>
      </c>
      <c r="E2655" s="2">
        <v>44270.404178240744</v>
      </c>
      <c r="F2655" s="2">
        <v>44270.412326388891</v>
      </c>
      <c r="G2655" s="3">
        <v>8.1481481465743855E-3</v>
      </c>
      <c r="H2655" s="3">
        <v>708.28826030723098</v>
      </c>
      <c r="I2655" s="3">
        <v>11.804804338453851</v>
      </c>
      <c r="J2655" s="3">
        <v>0.19674673897423084</v>
      </c>
      <c r="K2655" t="s">
        <v>93</v>
      </c>
    </row>
    <row r="2656" spans="1:11" x14ac:dyDescent="0.35">
      <c r="A2656">
        <v>2655</v>
      </c>
      <c r="B2656" t="s">
        <v>16</v>
      </c>
      <c r="C2656" t="s">
        <v>16</v>
      </c>
      <c r="D2656" t="s">
        <v>140</v>
      </c>
      <c r="E2656" s="2">
        <v>44270.412395833337</v>
      </c>
      <c r="F2656" s="2">
        <v>44270.419039351851</v>
      </c>
      <c r="G2656" s="3">
        <v>6.6435185144655406E-3</v>
      </c>
      <c r="H2656" s="3">
        <v>577.49639381654561</v>
      </c>
      <c r="I2656" s="3">
        <v>9.6249398969424274</v>
      </c>
      <c r="J2656" s="3">
        <v>0.16041566494904044</v>
      </c>
    </row>
    <row r="2657" spans="1:11" x14ac:dyDescent="0.35">
      <c r="A2657">
        <v>2656</v>
      </c>
      <c r="B2657" t="s">
        <v>2</v>
      </c>
      <c r="C2657" t="s">
        <v>132</v>
      </c>
      <c r="D2657" t="s">
        <v>140</v>
      </c>
      <c r="E2657" s="2">
        <v>44270.41920138889</v>
      </c>
      <c r="F2657" s="2">
        <v>44270.465763888889</v>
      </c>
      <c r="G2657" s="3">
        <v>4.6562499999708962E-2</v>
      </c>
      <c r="H2657" s="3">
        <v>4047.5052155518915</v>
      </c>
      <c r="I2657" s="3">
        <v>67.458420259198192</v>
      </c>
      <c r="J2657" s="3">
        <v>1.1243070043199699</v>
      </c>
      <c r="K2657" t="s">
        <v>93</v>
      </c>
    </row>
    <row r="2658" spans="1:11" x14ac:dyDescent="0.35">
      <c r="A2658">
        <v>2657</v>
      </c>
      <c r="B2658" t="s">
        <v>2</v>
      </c>
      <c r="C2658" t="s">
        <v>136</v>
      </c>
      <c r="D2658" t="s">
        <v>140</v>
      </c>
      <c r="E2658" s="2">
        <v>44270.465960648151</v>
      </c>
      <c r="F2658" s="2">
        <v>44270.475902777776</v>
      </c>
      <c r="G2658" s="3">
        <v>9.9421296254149638E-3</v>
      </c>
      <c r="H2658" s="3">
        <v>864.23240832883891</v>
      </c>
      <c r="I2658" s="3">
        <v>14.403873472147316</v>
      </c>
      <c r="J2658" s="3">
        <v>0.24006455786912193</v>
      </c>
      <c r="K2658" t="s">
        <v>90</v>
      </c>
    </row>
    <row r="2659" spans="1:11" x14ac:dyDescent="0.35">
      <c r="A2659">
        <v>2658</v>
      </c>
      <c r="B2659" t="s">
        <v>11</v>
      </c>
      <c r="C2659" t="s">
        <v>11</v>
      </c>
      <c r="D2659" t="s">
        <v>140</v>
      </c>
      <c r="E2659" s="2">
        <v>44270.476041666669</v>
      </c>
      <c r="F2659" s="2">
        <v>44270.532488425924</v>
      </c>
      <c r="G2659" s="3">
        <v>5.6446759255777579E-2</v>
      </c>
      <c r="H2659" s="3">
        <v>4906.7071675745456</v>
      </c>
      <c r="I2659" s="3">
        <v>81.778452792909093</v>
      </c>
      <c r="J2659" s="3">
        <v>1.3629742132151514</v>
      </c>
    </row>
    <row r="2660" spans="1:11" x14ac:dyDescent="0.35">
      <c r="A2660">
        <v>2659</v>
      </c>
      <c r="B2660" t="s">
        <v>16</v>
      </c>
      <c r="C2660" t="s">
        <v>16</v>
      </c>
      <c r="D2660" t="s">
        <v>140</v>
      </c>
      <c r="E2660" s="2">
        <v>44270.532546296294</v>
      </c>
      <c r="F2660" s="2">
        <v>44270.566631944443</v>
      </c>
      <c r="G2660" s="3">
        <v>3.4085648148902692E-2</v>
      </c>
      <c r="H2660" s="3">
        <v>2962.9388168378555</v>
      </c>
      <c r="I2660" s="3">
        <v>49.382313613964257</v>
      </c>
      <c r="J2660" s="3">
        <v>0.82303856023273758</v>
      </c>
    </row>
    <row r="2661" spans="1:11" x14ac:dyDescent="0.35">
      <c r="A2661">
        <v>2660</v>
      </c>
      <c r="B2661" t="s">
        <v>11</v>
      </c>
      <c r="C2661" t="s">
        <v>11</v>
      </c>
      <c r="D2661" t="s">
        <v>140</v>
      </c>
      <c r="E2661" s="2">
        <v>44270.566770833335</v>
      </c>
      <c r="F2661" s="2">
        <v>44270.57236111111</v>
      </c>
      <c r="G2661" s="3">
        <v>5.5902777748997323E-3</v>
      </c>
      <c r="H2661" s="3">
        <v>485.94208752605459</v>
      </c>
      <c r="I2661" s="3">
        <v>8.0990347921009107</v>
      </c>
      <c r="J2661" s="3">
        <v>0.13498391320168185</v>
      </c>
    </row>
    <row r="2662" spans="1:11" x14ac:dyDescent="0.35">
      <c r="A2662">
        <v>2661</v>
      </c>
      <c r="B2662" t="s">
        <v>2</v>
      </c>
      <c r="C2662" t="s">
        <v>132</v>
      </c>
      <c r="D2662" t="s">
        <v>140</v>
      </c>
      <c r="E2662" s="2">
        <v>44270.572627314818</v>
      </c>
      <c r="F2662" s="2">
        <v>44270.603043981479</v>
      </c>
      <c r="G2662" s="3">
        <v>3.0416666661039926E-2</v>
      </c>
      <c r="H2662" s="3">
        <v>2644.0078808275316</v>
      </c>
      <c r="I2662" s="3">
        <v>44.066798013792194</v>
      </c>
      <c r="J2662" s="3">
        <v>0.73444663356320328</v>
      </c>
      <c r="K2662" t="s">
        <v>93</v>
      </c>
    </row>
    <row r="2663" spans="1:11" x14ac:dyDescent="0.35">
      <c r="A2663">
        <v>2662</v>
      </c>
      <c r="B2663" t="s">
        <v>2</v>
      </c>
      <c r="C2663" t="s">
        <v>136</v>
      </c>
      <c r="D2663" t="s">
        <v>140</v>
      </c>
      <c r="E2663" s="2">
        <v>44270.603263888886</v>
      </c>
      <c r="F2663" s="2">
        <v>44270.606770833336</v>
      </c>
      <c r="G2663" s="3">
        <v>3.5069444493274204E-3</v>
      </c>
      <c r="H2663" s="3">
        <v>304.845657973524</v>
      </c>
      <c r="I2663" s="3">
        <v>5.0807609662253999</v>
      </c>
      <c r="J2663" s="3">
        <v>8.4679349437090004E-2</v>
      </c>
      <c r="K2663" t="s">
        <v>90</v>
      </c>
    </row>
    <row r="2664" spans="1:11" x14ac:dyDescent="0.35">
      <c r="A2664">
        <v>2663</v>
      </c>
      <c r="B2664" t="s">
        <v>2</v>
      </c>
      <c r="C2664" t="s">
        <v>132</v>
      </c>
      <c r="D2664" t="s">
        <v>140</v>
      </c>
      <c r="E2664" s="2">
        <v>44270.607187499998</v>
      </c>
      <c r="F2664" s="2">
        <v>44270.623819444445</v>
      </c>
      <c r="G2664" s="3">
        <v>1.6631944446999114E-2</v>
      </c>
      <c r="H2664" s="3">
        <v>1445.7531682022873</v>
      </c>
      <c r="I2664" s="3">
        <v>24.095886136704788</v>
      </c>
      <c r="J2664" s="3">
        <v>0.40159810227841314</v>
      </c>
      <c r="K2664" t="s">
        <v>93</v>
      </c>
    </row>
    <row r="2665" spans="1:11" x14ac:dyDescent="0.35">
      <c r="A2665">
        <v>2664</v>
      </c>
      <c r="B2665" t="s">
        <v>16</v>
      </c>
      <c r="C2665" t="s">
        <v>16</v>
      </c>
      <c r="D2665" t="s">
        <v>140</v>
      </c>
      <c r="E2665" s="2">
        <v>44270.623981481483</v>
      </c>
      <c r="F2665" s="2">
        <v>44270.637303240743</v>
      </c>
      <c r="G2665" s="3">
        <v>1.3321759259270038E-2</v>
      </c>
      <c r="H2665" s="3">
        <v>1158.0110621757683</v>
      </c>
      <c r="I2665" s="3">
        <v>19.300184369596138</v>
      </c>
      <c r="J2665" s="3">
        <v>0.32166973949326899</v>
      </c>
    </row>
    <row r="2666" spans="1:11" x14ac:dyDescent="0.35">
      <c r="A2666">
        <v>2665</v>
      </c>
      <c r="B2666" t="s">
        <v>2</v>
      </c>
      <c r="C2666" t="s">
        <v>132</v>
      </c>
      <c r="D2666" t="s">
        <v>140</v>
      </c>
      <c r="E2666" s="2">
        <v>44270.637557870374</v>
      </c>
      <c r="F2666" s="2">
        <v>44270.694282407407</v>
      </c>
      <c r="G2666" s="3">
        <v>5.6724537033005618E-2</v>
      </c>
      <c r="H2666" s="3">
        <v>4930.8533582237151</v>
      </c>
      <c r="I2666" s="3">
        <v>82.180889303728591</v>
      </c>
      <c r="J2666" s="3">
        <v>1.3696814883954764</v>
      </c>
      <c r="K2666" t="s">
        <v>93</v>
      </c>
    </row>
    <row r="2667" spans="1:11" x14ac:dyDescent="0.35">
      <c r="A2667">
        <v>2666</v>
      </c>
      <c r="B2667" t="s">
        <v>11</v>
      </c>
      <c r="C2667" t="s">
        <v>11</v>
      </c>
      <c r="D2667" t="s">
        <v>140</v>
      </c>
      <c r="E2667" s="2">
        <v>44270.853425925925</v>
      </c>
      <c r="F2667" s="2">
        <v>44270.891180555554</v>
      </c>
      <c r="G2667" s="3">
        <v>3.77546296294895E-2</v>
      </c>
      <c r="H2667" s="3">
        <v>3281.8697522157072</v>
      </c>
      <c r="I2667" s="3">
        <v>54.69782920359512</v>
      </c>
      <c r="J2667" s="3">
        <v>0.91163048672658531</v>
      </c>
    </row>
    <row r="2668" spans="1:11" x14ac:dyDescent="0.35">
      <c r="A2668">
        <v>2667</v>
      </c>
      <c r="B2668" t="s">
        <v>11</v>
      </c>
      <c r="C2668" t="s">
        <v>11</v>
      </c>
      <c r="D2668" t="s">
        <v>140</v>
      </c>
      <c r="E2668" s="2">
        <v>44270.891273148147</v>
      </c>
      <c r="F2668" s="2">
        <v>44270.932430555556</v>
      </c>
      <c r="G2668" s="3">
        <v>4.1157407409627922E-2</v>
      </c>
      <c r="H2668" s="3">
        <v>3577.6605884586161</v>
      </c>
      <c r="I2668" s="3">
        <v>59.62767647431027</v>
      </c>
      <c r="J2668" s="3">
        <v>0.99379460790517116</v>
      </c>
    </row>
    <row r="2669" spans="1:11" x14ac:dyDescent="0.35">
      <c r="A2669">
        <v>2668</v>
      </c>
      <c r="B2669" t="s">
        <v>11</v>
      </c>
      <c r="C2669" t="s">
        <v>11</v>
      </c>
      <c r="D2669" t="s">
        <v>140</v>
      </c>
      <c r="E2669" s="2">
        <v>44271.323437500003</v>
      </c>
      <c r="F2669" s="2">
        <v>44271.332731481481</v>
      </c>
      <c r="G2669" s="3">
        <v>9.29398147854954E-3</v>
      </c>
      <c r="H2669" s="3">
        <v>807.89129681411157</v>
      </c>
      <c r="I2669" s="3">
        <v>13.464854946901859</v>
      </c>
      <c r="J2669" s="3">
        <v>0.22441424911503099</v>
      </c>
    </row>
    <row r="2670" spans="1:11" x14ac:dyDescent="0.35">
      <c r="A2670">
        <v>2669</v>
      </c>
      <c r="B2670" t="s">
        <v>11</v>
      </c>
      <c r="C2670" t="s">
        <v>11</v>
      </c>
      <c r="D2670" t="s">
        <v>140</v>
      </c>
      <c r="E2670" s="2">
        <v>44271.332858796297</v>
      </c>
      <c r="F2670" s="2">
        <v>44271.349074074074</v>
      </c>
      <c r="G2670" s="3">
        <v>1.6215277777519077E-2</v>
      </c>
      <c r="H2670" s="3">
        <v>1409.5338819122981</v>
      </c>
      <c r="I2670" s="3">
        <v>23.492231365204969</v>
      </c>
      <c r="J2670" s="3">
        <v>0.39153718942008281</v>
      </c>
    </row>
    <row r="2671" spans="1:11" x14ac:dyDescent="0.35">
      <c r="A2671">
        <v>2670</v>
      </c>
      <c r="B2671" t="s">
        <v>2</v>
      </c>
      <c r="C2671" t="s">
        <v>132</v>
      </c>
      <c r="D2671" t="s">
        <v>140</v>
      </c>
      <c r="E2671" s="2">
        <v>44271.349351851852</v>
      </c>
      <c r="F2671" s="2">
        <v>44271.398506944446</v>
      </c>
      <c r="G2671" s="3">
        <v>4.9155092594446614E-2</v>
      </c>
      <c r="H2671" s="3">
        <v>4272.8696622432726</v>
      </c>
      <c r="I2671" s="3">
        <v>71.214494370721212</v>
      </c>
      <c r="J2671" s="3">
        <v>1.1869082395120203</v>
      </c>
      <c r="K2671" t="s">
        <v>93</v>
      </c>
    </row>
    <row r="2672" spans="1:11" x14ac:dyDescent="0.35">
      <c r="A2672">
        <v>2671</v>
      </c>
      <c r="B2672" t="s">
        <v>2</v>
      </c>
      <c r="C2672" t="s">
        <v>96</v>
      </c>
      <c r="D2672" t="s">
        <v>140</v>
      </c>
      <c r="E2672" s="2">
        <v>44271.398634259262</v>
      </c>
      <c r="F2672" s="2">
        <v>44271.403298611112</v>
      </c>
      <c r="G2672" s="3">
        <v>4.6643518508062698E-3</v>
      </c>
      <c r="H2672" s="3">
        <v>405.45478536215836</v>
      </c>
      <c r="I2672" s="3">
        <v>6.7575797560359723</v>
      </c>
      <c r="J2672" s="3">
        <v>0.11262632926726621</v>
      </c>
    </row>
    <row r="2673" spans="1:11" x14ac:dyDescent="0.35">
      <c r="A2673">
        <v>2672</v>
      </c>
      <c r="B2673" t="s">
        <v>2</v>
      </c>
      <c r="C2673" t="s">
        <v>132</v>
      </c>
      <c r="D2673" t="s">
        <v>140</v>
      </c>
      <c r="E2673" s="2">
        <v>44271.40347222222</v>
      </c>
      <c r="F2673" s="2">
        <v>44271.410729166666</v>
      </c>
      <c r="G2673" s="3">
        <v>7.2569444455439225E-3</v>
      </c>
      <c r="H2673" s="3">
        <v>630.81923205353985</v>
      </c>
      <c r="I2673" s="3">
        <v>10.513653867558997</v>
      </c>
      <c r="J2673" s="3">
        <v>0.17522756445931661</v>
      </c>
      <c r="K2673" t="s">
        <v>93</v>
      </c>
    </row>
    <row r="2674" spans="1:11" x14ac:dyDescent="0.35">
      <c r="A2674">
        <v>2673</v>
      </c>
      <c r="B2674" t="s">
        <v>2</v>
      </c>
      <c r="C2674" t="s">
        <v>132</v>
      </c>
      <c r="D2674" t="s">
        <v>140</v>
      </c>
      <c r="E2674" s="2">
        <v>44271.411006944443</v>
      </c>
      <c r="F2674" s="2">
        <v>44271.445289351854</v>
      </c>
      <c r="G2674" s="3">
        <v>3.4282407410501037E-2</v>
      </c>
      <c r="H2674" s="3">
        <v>2980.0423687848606</v>
      </c>
      <c r="I2674" s="3">
        <v>49.667372813081009</v>
      </c>
      <c r="J2674" s="3">
        <v>0.82778954688468354</v>
      </c>
      <c r="K2674" t="s">
        <v>93</v>
      </c>
    </row>
    <row r="2675" spans="1:11" x14ac:dyDescent="0.35">
      <c r="A2675">
        <v>2674</v>
      </c>
      <c r="B2675" t="s">
        <v>2</v>
      </c>
      <c r="C2675" t="s">
        <v>136</v>
      </c>
      <c r="D2675" t="s">
        <v>140</v>
      </c>
      <c r="E2675" s="2">
        <v>44271.445439814815</v>
      </c>
      <c r="F2675" s="2">
        <v>44271.48636574074</v>
      </c>
      <c r="G2675" s="3">
        <v>4.0925925924966577E-2</v>
      </c>
      <c r="H2675" s="3">
        <v>3557.5387626014062</v>
      </c>
      <c r="I2675" s="3">
        <v>59.292312710023438</v>
      </c>
      <c r="J2675" s="3">
        <v>0.98820521183372401</v>
      </c>
      <c r="K2675" t="s">
        <v>90</v>
      </c>
    </row>
    <row r="2676" spans="1:11" x14ac:dyDescent="0.35">
      <c r="A2676">
        <v>2675</v>
      </c>
      <c r="B2676" t="s">
        <v>11</v>
      </c>
      <c r="C2676" t="s">
        <v>11</v>
      </c>
      <c r="D2676" t="s">
        <v>140</v>
      </c>
      <c r="E2676" s="2">
        <v>44271.486701388887</v>
      </c>
      <c r="F2676" s="2">
        <v>44271.491550925923</v>
      </c>
      <c r="G2676" s="3">
        <v>4.8495370356249623E-3</v>
      </c>
      <c r="H2676" s="3">
        <v>421.55224579493756</v>
      </c>
      <c r="I2676" s="3">
        <v>7.0258707632489594</v>
      </c>
      <c r="J2676" s="3">
        <v>0.11709784605414933</v>
      </c>
    </row>
    <row r="2677" spans="1:11" x14ac:dyDescent="0.35">
      <c r="A2677">
        <v>2676</v>
      </c>
      <c r="B2677" t="s">
        <v>2</v>
      </c>
      <c r="C2677" t="s">
        <v>132</v>
      </c>
      <c r="D2677" t="s">
        <v>140</v>
      </c>
      <c r="E2677" s="2">
        <v>44271.491782407407</v>
      </c>
      <c r="F2677" s="2">
        <v>44271.510497685187</v>
      </c>
      <c r="G2677" s="3">
        <v>1.8715277779847383E-2</v>
      </c>
      <c r="H2677" s="3">
        <v>1626.8495983872899</v>
      </c>
      <c r="I2677" s="3">
        <v>27.114159973121499</v>
      </c>
      <c r="J2677" s="3">
        <v>0.45190266621869163</v>
      </c>
      <c r="K2677" t="s">
        <v>93</v>
      </c>
    </row>
    <row r="2678" spans="1:11" x14ac:dyDescent="0.35">
      <c r="A2678">
        <v>2677</v>
      </c>
      <c r="B2678" t="s">
        <v>16</v>
      </c>
      <c r="C2678" t="s">
        <v>16</v>
      </c>
      <c r="D2678" t="s">
        <v>140</v>
      </c>
      <c r="E2678" s="2">
        <v>44271.510613425926</v>
      </c>
      <c r="F2678" s="2">
        <v>44271.547696759262</v>
      </c>
      <c r="G2678" s="3">
        <v>3.7083333336340729E-2</v>
      </c>
      <c r="H2678" s="3">
        <v>3223.5164583050005</v>
      </c>
      <c r="I2678" s="3">
        <v>53.725274305083339</v>
      </c>
      <c r="J2678" s="3">
        <v>0.89542123841805565</v>
      </c>
    </row>
    <row r="2679" spans="1:11" x14ac:dyDescent="0.35">
      <c r="A2679">
        <v>2678</v>
      </c>
      <c r="B2679" t="s">
        <v>2</v>
      </c>
      <c r="C2679" t="s">
        <v>72</v>
      </c>
      <c r="D2679" t="s">
        <v>140</v>
      </c>
      <c r="E2679" s="2">
        <v>44271.547893518517</v>
      </c>
      <c r="F2679" s="2">
        <v>44271.554525462961</v>
      </c>
      <c r="G2679" s="3">
        <v>6.6319444449618459E-3</v>
      </c>
      <c r="H2679" s="3">
        <v>576.49030293479188</v>
      </c>
      <c r="I2679" s="3">
        <v>9.6081717155798643</v>
      </c>
      <c r="J2679" s="3">
        <v>0.16013619525966441</v>
      </c>
      <c r="K2679" t="s">
        <v>73</v>
      </c>
    </row>
    <row r="2680" spans="1:11" x14ac:dyDescent="0.35">
      <c r="A2680">
        <v>2679</v>
      </c>
      <c r="B2680" t="s">
        <v>2</v>
      </c>
      <c r="C2680" t="s">
        <v>132</v>
      </c>
      <c r="D2680" t="s">
        <v>140</v>
      </c>
      <c r="E2680" s="2">
        <v>44271.554803240739</v>
      </c>
      <c r="F2680" s="2">
        <v>44271.574641203704</v>
      </c>
      <c r="G2680" s="3">
        <v>1.9837962965539191E-2</v>
      </c>
      <c r="H2680" s="3">
        <v>1724.440452498191</v>
      </c>
      <c r="I2680" s="3">
        <v>28.740674208303183</v>
      </c>
      <c r="J2680" s="3">
        <v>0.47901123680505303</v>
      </c>
      <c r="K2680" t="s">
        <v>41</v>
      </c>
    </row>
    <row r="2681" spans="1:11" x14ac:dyDescent="0.35">
      <c r="A2681">
        <v>2680</v>
      </c>
      <c r="B2681" t="s">
        <v>2</v>
      </c>
      <c r="C2681" t="s">
        <v>132</v>
      </c>
      <c r="D2681" t="s">
        <v>140</v>
      </c>
      <c r="E2681" s="2">
        <v>44271.574826388889</v>
      </c>
      <c r="F2681" s="2">
        <v>44271.583912037036</v>
      </c>
      <c r="G2681" s="3">
        <v>9.0856481474475004E-3</v>
      </c>
      <c r="H2681" s="3">
        <v>789.78165398535293</v>
      </c>
      <c r="I2681" s="3">
        <v>13.163027566422549</v>
      </c>
      <c r="J2681" s="3">
        <v>0.21938379277370915</v>
      </c>
      <c r="K2681" t="s">
        <v>95</v>
      </c>
    </row>
    <row r="2682" spans="1:11" x14ac:dyDescent="0.35">
      <c r="A2682">
        <v>2681</v>
      </c>
      <c r="B2682" t="s">
        <v>16</v>
      </c>
      <c r="C2682" t="s">
        <v>16</v>
      </c>
      <c r="D2682" t="s">
        <v>140</v>
      </c>
      <c r="E2682" s="2">
        <v>44271.583981481483</v>
      </c>
      <c r="F2682" s="2">
        <v>44271.590821759259</v>
      </c>
      <c r="G2682" s="3">
        <v>6.8402777760638855E-3</v>
      </c>
      <c r="H2682" s="3">
        <v>594.59994576355052</v>
      </c>
      <c r="I2682" s="3">
        <v>9.9099990960591757</v>
      </c>
      <c r="J2682" s="3">
        <v>0.16516665160098626</v>
      </c>
    </row>
    <row r="2683" spans="1:11" x14ac:dyDescent="0.35">
      <c r="A2683">
        <v>2682</v>
      </c>
      <c r="B2683" t="s">
        <v>2</v>
      </c>
      <c r="C2683" t="s">
        <v>132</v>
      </c>
      <c r="D2683" t="s">
        <v>140</v>
      </c>
      <c r="E2683" s="2">
        <v>44271.591203703705</v>
      </c>
      <c r="F2683" s="2">
        <v>44271.616562499999</v>
      </c>
      <c r="G2683" s="3">
        <v>2.5358796294312924E-2</v>
      </c>
      <c r="H2683" s="3">
        <v>2204.3459922038355</v>
      </c>
      <c r="I2683" s="3">
        <v>36.739099870063924</v>
      </c>
      <c r="J2683" s="3">
        <v>0.61231833116773204</v>
      </c>
      <c r="K2683" t="s">
        <v>93</v>
      </c>
    </row>
    <row r="2684" spans="1:11" x14ac:dyDescent="0.35">
      <c r="A2684">
        <v>2683</v>
      </c>
      <c r="B2684" t="s">
        <v>2</v>
      </c>
      <c r="C2684" t="s">
        <v>136</v>
      </c>
      <c r="D2684" t="s">
        <v>140</v>
      </c>
      <c r="E2684" s="2">
        <v>44271.616886574076</v>
      </c>
      <c r="F2684" s="2">
        <v>44271.708078703705</v>
      </c>
      <c r="G2684" s="3">
        <v>9.1192129628325347E-2</v>
      </c>
      <c r="H2684" s="3">
        <v>7926.9931874413542</v>
      </c>
      <c r="I2684" s="3">
        <v>132.11655312402257</v>
      </c>
      <c r="J2684" s="3">
        <v>2.201942552067043</v>
      </c>
      <c r="K2684" t="s">
        <v>90</v>
      </c>
    </row>
    <row r="2685" spans="1:11" x14ac:dyDescent="0.35">
      <c r="A2685">
        <v>2684</v>
      </c>
      <c r="B2685" t="s">
        <v>11</v>
      </c>
      <c r="C2685" t="s">
        <v>11</v>
      </c>
      <c r="D2685" t="s">
        <v>140</v>
      </c>
      <c r="E2685" s="2">
        <v>44271.708182870374</v>
      </c>
      <c r="F2685" s="2">
        <v>44271.791666666664</v>
      </c>
      <c r="G2685" s="3">
        <v>8.3483796290238388E-2</v>
      </c>
      <c r="H2685" s="3">
        <v>7256.9363951876212</v>
      </c>
      <c r="I2685" s="3">
        <v>120.94893991979369</v>
      </c>
      <c r="J2685" s="3">
        <v>2.0158156653298946</v>
      </c>
    </row>
    <row r="2686" spans="1:11" x14ac:dyDescent="0.35">
      <c r="A2686">
        <v>2685</v>
      </c>
      <c r="B2686" t="s">
        <v>11</v>
      </c>
      <c r="C2686" t="s">
        <v>11</v>
      </c>
      <c r="D2686" t="s">
        <v>140</v>
      </c>
      <c r="E2686" s="2">
        <v>44271.909224537034</v>
      </c>
      <c r="F2686" s="2">
        <v>44271.922708333332</v>
      </c>
      <c r="G2686" s="3">
        <v>1.3483796297805384E-2</v>
      </c>
      <c r="H2686" s="3">
        <v>1172.0963402125681</v>
      </c>
      <c r="I2686" s="3">
        <v>19.534939003542799</v>
      </c>
      <c r="J2686" s="3">
        <v>0.32558231672571331</v>
      </c>
    </row>
    <row r="2687" spans="1:11" x14ac:dyDescent="0.35">
      <c r="A2687">
        <v>2686</v>
      </c>
      <c r="B2687" t="s">
        <v>2</v>
      </c>
      <c r="C2687" t="s">
        <v>72</v>
      </c>
      <c r="D2687" t="s">
        <v>140</v>
      </c>
      <c r="E2687" s="2">
        <v>44272.333148148151</v>
      </c>
      <c r="F2687" s="2">
        <v>44272.361909722225</v>
      </c>
      <c r="G2687" s="3">
        <v>2.8761574074451346E-2</v>
      </c>
      <c r="H2687" s="3">
        <v>2500.1368284467444</v>
      </c>
      <c r="I2687" s="3">
        <v>41.668947140779075</v>
      </c>
      <c r="J2687" s="3">
        <v>0.69448245234631789</v>
      </c>
      <c r="K2687" t="s">
        <v>73</v>
      </c>
    </row>
    <row r="2688" spans="1:11" x14ac:dyDescent="0.35">
      <c r="A2688">
        <v>2687</v>
      </c>
      <c r="B2688" t="s">
        <v>11</v>
      </c>
      <c r="C2688" t="s">
        <v>11</v>
      </c>
      <c r="D2688" t="s">
        <v>140</v>
      </c>
      <c r="E2688" s="2">
        <v>44272.362083333333</v>
      </c>
      <c r="F2688" s="2">
        <v>44272.364166666666</v>
      </c>
      <c r="G2688" s="3">
        <v>2.0833333328482695E-3</v>
      </c>
      <c r="H2688" s="3">
        <v>181.09643018500256</v>
      </c>
      <c r="I2688" s="3">
        <v>3.0182738364167094</v>
      </c>
      <c r="J2688" s="3">
        <v>5.0304563940278491E-2</v>
      </c>
    </row>
    <row r="2689" spans="1:11" x14ac:dyDescent="0.35">
      <c r="A2689">
        <v>2688</v>
      </c>
      <c r="B2689" t="s">
        <v>2</v>
      </c>
      <c r="C2689" t="s">
        <v>136</v>
      </c>
      <c r="D2689" t="s">
        <v>140</v>
      </c>
      <c r="E2689" s="2">
        <v>44272.364432870374</v>
      </c>
      <c r="F2689" s="2">
        <v>44272.375104166669</v>
      </c>
      <c r="G2689" s="3">
        <v>1.0671296295186039E-2</v>
      </c>
      <c r="H2689" s="3">
        <v>927.61615917820222</v>
      </c>
      <c r="I2689" s="3">
        <v>15.460269319636703</v>
      </c>
      <c r="J2689" s="3">
        <v>0.25767115532727841</v>
      </c>
      <c r="K2689" t="s">
        <v>90</v>
      </c>
    </row>
    <row r="2690" spans="1:11" x14ac:dyDescent="0.35">
      <c r="A2690">
        <v>2689</v>
      </c>
      <c r="B2690" t="s">
        <v>2</v>
      </c>
      <c r="C2690" t="s">
        <v>136</v>
      </c>
      <c r="D2690" t="s">
        <v>140</v>
      </c>
      <c r="E2690" s="2">
        <v>44272.375173611108</v>
      </c>
      <c r="F2690" s="2">
        <v>44272.394513888888</v>
      </c>
      <c r="G2690" s="3">
        <v>1.934027778042946E-2</v>
      </c>
      <c r="H2690" s="3">
        <v>1681.1785275060379</v>
      </c>
      <c r="I2690" s="3">
        <v>28.019642125100631</v>
      </c>
      <c r="J2690" s="3">
        <v>0.46699403541834383</v>
      </c>
      <c r="K2690" t="s">
        <v>90</v>
      </c>
    </row>
    <row r="2691" spans="1:11" x14ac:dyDescent="0.35">
      <c r="A2691">
        <v>2690</v>
      </c>
      <c r="B2691" t="s">
        <v>2</v>
      </c>
      <c r="C2691" t="s">
        <v>96</v>
      </c>
      <c r="D2691" t="s">
        <v>140</v>
      </c>
      <c r="E2691" s="2">
        <v>44272.394745370373</v>
      </c>
      <c r="F2691" s="2">
        <v>44272.468692129631</v>
      </c>
      <c r="G2691" s="3">
        <v>7.3946759257523809E-2</v>
      </c>
      <c r="H2691" s="3">
        <v>6427.9171816345452</v>
      </c>
      <c r="I2691" s="3">
        <v>107.13195302724242</v>
      </c>
      <c r="J2691" s="3">
        <v>1.7855325504540402</v>
      </c>
    </row>
    <row r="2692" spans="1:11" x14ac:dyDescent="0.35">
      <c r="A2692">
        <v>2691</v>
      </c>
      <c r="B2692" t="s">
        <v>2</v>
      </c>
      <c r="C2692" t="s">
        <v>132</v>
      </c>
      <c r="D2692" t="s">
        <v>140</v>
      </c>
      <c r="E2692" s="2">
        <v>44272.469074074077</v>
      </c>
      <c r="F2692" s="2">
        <v>44272.474826388891</v>
      </c>
      <c r="G2692" s="3">
        <v>5.7523148134350777E-3</v>
      </c>
      <c r="H2692" s="3">
        <v>500.02736556285441</v>
      </c>
      <c r="I2692" s="3">
        <v>8.3337894260475736</v>
      </c>
      <c r="J2692" s="3">
        <v>0.13889649043412622</v>
      </c>
      <c r="K2692" t="s">
        <v>93</v>
      </c>
    </row>
    <row r="2693" spans="1:11" x14ac:dyDescent="0.35">
      <c r="A2693">
        <v>2692</v>
      </c>
      <c r="B2693" t="s">
        <v>2</v>
      </c>
      <c r="C2693" t="s">
        <v>132</v>
      </c>
      <c r="D2693" t="s">
        <v>140</v>
      </c>
      <c r="E2693" s="2">
        <v>44272.474988425929</v>
      </c>
      <c r="F2693" s="2">
        <v>44272.480439814812</v>
      </c>
      <c r="G2693" s="3">
        <v>5.4513888826477341E-3</v>
      </c>
      <c r="H2693" s="3">
        <v>473.86899188523415</v>
      </c>
      <c r="I2693" s="3">
        <v>7.8978165314205695</v>
      </c>
      <c r="J2693" s="3">
        <v>0.13163027552367615</v>
      </c>
      <c r="K2693" t="s">
        <v>93</v>
      </c>
    </row>
    <row r="2694" spans="1:11" x14ac:dyDescent="0.35">
      <c r="A2694">
        <v>2693</v>
      </c>
      <c r="B2694" t="s">
        <v>2</v>
      </c>
      <c r="C2694" t="s">
        <v>132</v>
      </c>
      <c r="D2694" t="s">
        <v>140</v>
      </c>
      <c r="E2694" s="2">
        <v>44272.480752314812</v>
      </c>
      <c r="F2694" s="2">
        <v>44272.48810185185</v>
      </c>
      <c r="G2694" s="3">
        <v>7.3495370379532687E-3</v>
      </c>
      <c r="H2694" s="3">
        <v>638.86796226992942</v>
      </c>
      <c r="I2694" s="3">
        <v>10.64779937116549</v>
      </c>
      <c r="J2694" s="3">
        <v>0.17746332285275818</v>
      </c>
      <c r="K2694" t="s">
        <v>93</v>
      </c>
    </row>
    <row r="2695" spans="1:11" x14ac:dyDescent="0.35">
      <c r="A2695">
        <v>2694</v>
      </c>
      <c r="B2695" t="s">
        <v>16</v>
      </c>
      <c r="C2695" t="s">
        <v>16</v>
      </c>
      <c r="D2695" t="s">
        <v>140</v>
      </c>
      <c r="E2695" s="2">
        <v>44272.488182870373</v>
      </c>
      <c r="F2695" s="2">
        <v>44272.53434027778</v>
      </c>
      <c r="G2695" s="3">
        <v>4.6157407407008577E-2</v>
      </c>
      <c r="H2695" s="3">
        <v>4012.2920207761276</v>
      </c>
      <c r="I2695" s="3">
        <v>66.871533679602123</v>
      </c>
      <c r="J2695" s="3">
        <v>1.114525561326702</v>
      </c>
    </row>
    <row r="2696" spans="1:11" x14ac:dyDescent="0.35">
      <c r="A2696">
        <v>2695</v>
      </c>
      <c r="B2696" t="s">
        <v>2</v>
      </c>
      <c r="C2696" t="s">
        <v>132</v>
      </c>
      <c r="D2696" t="s">
        <v>140</v>
      </c>
      <c r="E2696" s="2">
        <v>44272.534594907411</v>
      </c>
      <c r="F2696" s="2">
        <v>44272.542337962965</v>
      </c>
      <c r="G2696" s="3">
        <v>7.7430555538740009E-3</v>
      </c>
      <c r="H2696" s="3">
        <v>673.07506553146732</v>
      </c>
      <c r="I2696" s="3">
        <v>11.217917758857789</v>
      </c>
      <c r="J2696" s="3">
        <v>0.18696529598096315</v>
      </c>
      <c r="K2696" t="s">
        <v>93</v>
      </c>
    </row>
    <row r="2697" spans="1:11" x14ac:dyDescent="0.35">
      <c r="A2697">
        <v>2696</v>
      </c>
      <c r="B2697" t="s">
        <v>2</v>
      </c>
      <c r="C2697" t="s">
        <v>136</v>
      </c>
      <c r="D2697" t="s">
        <v>140</v>
      </c>
      <c r="E2697" s="2">
        <v>44272.54247685185</v>
      </c>
      <c r="F2697" s="2">
        <v>44272.568391203706</v>
      </c>
      <c r="G2697" s="3">
        <v>2.5914351856044959E-2</v>
      </c>
      <c r="H2697" s="3">
        <v>2252.6383741346453</v>
      </c>
      <c r="I2697" s="3">
        <v>37.543972902244086</v>
      </c>
      <c r="J2697" s="3">
        <v>0.62573288170406804</v>
      </c>
      <c r="K2697" t="s">
        <v>90</v>
      </c>
    </row>
    <row r="2698" spans="1:11" x14ac:dyDescent="0.35">
      <c r="A2698">
        <v>2697</v>
      </c>
      <c r="B2698" t="s">
        <v>2</v>
      </c>
      <c r="C2698" t="s">
        <v>96</v>
      </c>
      <c r="D2698" t="s">
        <v>140</v>
      </c>
      <c r="E2698" s="2">
        <v>44272.56858796296</v>
      </c>
      <c r="F2698" s="2">
        <v>44272.584328703706</v>
      </c>
      <c r="G2698" s="3">
        <v>1.5740740745968651E-2</v>
      </c>
      <c r="H2698" s="3">
        <v>1368.2841399485962</v>
      </c>
      <c r="I2698" s="3">
        <v>22.804735665809936</v>
      </c>
      <c r="J2698" s="3">
        <v>0.38007892776349894</v>
      </c>
    </row>
    <row r="2699" spans="1:11" x14ac:dyDescent="0.35">
      <c r="A2699">
        <v>2698</v>
      </c>
      <c r="B2699" t="s">
        <v>2</v>
      </c>
      <c r="C2699" t="s">
        <v>136</v>
      </c>
      <c r="D2699" t="s">
        <v>140</v>
      </c>
      <c r="E2699" s="2">
        <v>44272.58457175926</v>
      </c>
      <c r="F2699" s="2">
        <v>44272.599247685182</v>
      </c>
      <c r="G2699" s="3">
        <v>1.4675925922347233E-2</v>
      </c>
      <c r="H2699" s="3">
        <v>1275.7237415114075</v>
      </c>
      <c r="I2699" s="3">
        <v>21.262062358523458</v>
      </c>
      <c r="J2699" s="3">
        <v>0.35436770597539097</v>
      </c>
      <c r="K2699" t="s">
        <v>90</v>
      </c>
    </row>
    <row r="2700" spans="1:11" x14ac:dyDescent="0.35">
      <c r="A2700">
        <v>2699</v>
      </c>
      <c r="B2700" t="s">
        <v>2</v>
      </c>
      <c r="C2700" t="s">
        <v>96</v>
      </c>
      <c r="D2700" t="s">
        <v>140</v>
      </c>
      <c r="E2700" s="2">
        <v>44272.599606481483</v>
      </c>
      <c r="F2700" s="2">
        <v>44272.606099537035</v>
      </c>
      <c r="G2700" s="3">
        <v>6.4930555527098477E-3</v>
      </c>
      <c r="H2700" s="3">
        <v>564.41720729397139</v>
      </c>
      <c r="I2700" s="3">
        <v>9.4069534548995239</v>
      </c>
      <c r="J2700" s="3">
        <v>0.15678255758165874</v>
      </c>
    </row>
    <row r="2701" spans="1:11" x14ac:dyDescent="0.35">
      <c r="A2701">
        <v>2700</v>
      </c>
      <c r="B2701" t="s">
        <v>2</v>
      </c>
      <c r="C2701" t="s">
        <v>136</v>
      </c>
      <c r="D2701" t="s">
        <v>140</v>
      </c>
      <c r="E2701" s="2">
        <v>44272.606203703705</v>
      </c>
      <c r="F2701" s="2">
        <v>44272.682199074072</v>
      </c>
      <c r="G2701" s="3">
        <v>7.5995370367309079E-2</v>
      </c>
      <c r="H2701" s="3">
        <v>6605.9953379093422</v>
      </c>
      <c r="I2701" s="3">
        <v>110.09992229848903</v>
      </c>
      <c r="J2701" s="3">
        <v>1.8349987049748173</v>
      </c>
      <c r="K2701" t="s">
        <v>90</v>
      </c>
    </row>
    <row r="2702" spans="1:11" x14ac:dyDescent="0.35">
      <c r="A2702">
        <v>2701</v>
      </c>
      <c r="B2702" t="s">
        <v>2</v>
      </c>
      <c r="C2702" t="s">
        <v>132</v>
      </c>
      <c r="D2702" t="s">
        <v>140</v>
      </c>
      <c r="E2702" s="2">
        <v>44272.682430555556</v>
      </c>
      <c r="F2702" s="2">
        <v>44272.685034722221</v>
      </c>
      <c r="G2702" s="3">
        <v>2.6041666642413475E-3</v>
      </c>
      <c r="H2702" s="3">
        <v>226.37053757313521</v>
      </c>
      <c r="I2702" s="3">
        <v>3.7728422928855867</v>
      </c>
      <c r="J2702" s="3">
        <v>6.2880704881426441E-2</v>
      </c>
      <c r="K2702" t="s">
        <v>93</v>
      </c>
    </row>
    <row r="2703" spans="1:11" x14ac:dyDescent="0.35">
      <c r="A2703">
        <v>2702</v>
      </c>
      <c r="B2703" t="s">
        <v>11</v>
      </c>
      <c r="C2703" t="s">
        <v>11</v>
      </c>
      <c r="D2703" t="s">
        <v>140</v>
      </c>
      <c r="E2703" s="2">
        <v>44272.68513888889</v>
      </c>
      <c r="F2703" s="2">
        <v>44272.686168981483</v>
      </c>
      <c r="G2703" s="3">
        <v>1.0300925932824612E-3</v>
      </c>
      <c r="H2703" s="3">
        <v>89.542123894511576</v>
      </c>
      <c r="I2703" s="3">
        <v>1.492368731575193</v>
      </c>
      <c r="J2703" s="3">
        <v>2.4872812192919883E-2</v>
      </c>
    </row>
    <row r="2704" spans="1:11" x14ac:dyDescent="0.35">
      <c r="A2704">
        <v>2703</v>
      </c>
      <c r="B2704" t="s">
        <v>2</v>
      </c>
      <c r="C2704" t="s">
        <v>132</v>
      </c>
      <c r="D2704" t="s">
        <v>140</v>
      </c>
      <c r="E2704" s="2">
        <v>44272.686388888891</v>
      </c>
      <c r="F2704" s="2">
        <v>44272.691886574074</v>
      </c>
      <c r="G2704" s="3">
        <v>5.4976851824903861E-3</v>
      </c>
      <c r="H2704" s="3">
        <v>477.89335730966496</v>
      </c>
      <c r="I2704" s="3">
        <v>7.9648892884944162</v>
      </c>
      <c r="J2704" s="3">
        <v>0.13274815480824026</v>
      </c>
      <c r="K2704" t="s">
        <v>93</v>
      </c>
    </row>
    <row r="2705" spans="1:11" x14ac:dyDescent="0.35">
      <c r="A2705">
        <v>2704</v>
      </c>
      <c r="B2705" t="s">
        <v>11</v>
      </c>
      <c r="C2705" t="s">
        <v>11</v>
      </c>
      <c r="D2705" t="s">
        <v>140</v>
      </c>
      <c r="E2705" s="2">
        <v>44272.692002314812</v>
      </c>
      <c r="F2705" s="2">
        <v>44272.693449074075</v>
      </c>
      <c r="G2705" s="3">
        <v>1.4467592627624981E-3</v>
      </c>
      <c r="H2705" s="3">
        <v>125.76141018450087</v>
      </c>
      <c r="I2705" s="3">
        <v>2.0960235030750147</v>
      </c>
      <c r="J2705" s="3">
        <v>3.4933725051250246E-2</v>
      </c>
    </row>
    <row r="2706" spans="1:11" x14ac:dyDescent="0.35">
      <c r="A2706">
        <v>2705</v>
      </c>
      <c r="B2706" t="s">
        <v>11</v>
      </c>
      <c r="C2706" t="s">
        <v>11</v>
      </c>
      <c r="D2706" t="s">
        <v>140</v>
      </c>
      <c r="E2706" s="2">
        <v>44273.325856481482</v>
      </c>
      <c r="F2706" s="2">
        <v>44273.333692129629</v>
      </c>
      <c r="G2706" s="3">
        <v>7.8356481462833472E-3</v>
      </c>
      <c r="H2706" s="3">
        <v>681.123795747857</v>
      </c>
      <c r="I2706" s="3">
        <v>11.352063262464283</v>
      </c>
      <c r="J2706" s="3">
        <v>0.18920105437440471</v>
      </c>
    </row>
    <row r="2707" spans="1:11" x14ac:dyDescent="0.35">
      <c r="A2707">
        <v>2706</v>
      </c>
      <c r="B2707" t="s">
        <v>2</v>
      </c>
      <c r="C2707" t="s">
        <v>72</v>
      </c>
      <c r="D2707" t="s">
        <v>140</v>
      </c>
      <c r="E2707" s="2">
        <v>44273.333865740744</v>
      </c>
      <c r="F2707" s="2">
        <v>44273.396435185183</v>
      </c>
      <c r="G2707" s="3">
        <v>6.2569444438850041E-2</v>
      </c>
      <c r="H2707" s="3">
        <v>5438.9294540029587</v>
      </c>
      <c r="I2707" s="3">
        <v>90.648824233382641</v>
      </c>
      <c r="J2707" s="3">
        <v>1.5108137372230439</v>
      </c>
      <c r="K2707" t="s">
        <v>73</v>
      </c>
    </row>
    <row r="2708" spans="1:11" x14ac:dyDescent="0.35">
      <c r="A2708">
        <v>2707</v>
      </c>
      <c r="B2708" t="s">
        <v>2</v>
      </c>
      <c r="C2708" t="s">
        <v>72</v>
      </c>
      <c r="D2708" t="s">
        <v>140</v>
      </c>
      <c r="E2708" s="2">
        <v>44273.396550925929</v>
      </c>
      <c r="F2708" s="2">
        <v>44273.423935185187</v>
      </c>
      <c r="G2708" s="3">
        <v>2.7384259257814847E-2</v>
      </c>
      <c r="H2708" s="3">
        <v>2380.4119660826536</v>
      </c>
      <c r="I2708" s="3">
        <v>39.673532768044225</v>
      </c>
      <c r="J2708" s="3">
        <v>0.66122554613407047</v>
      </c>
      <c r="K2708" t="s">
        <v>73</v>
      </c>
    </row>
    <row r="2709" spans="1:11" x14ac:dyDescent="0.35">
      <c r="A2709">
        <v>2708</v>
      </c>
      <c r="B2709" t="s">
        <v>16</v>
      </c>
      <c r="C2709" t="s">
        <v>16</v>
      </c>
      <c r="D2709" t="s">
        <v>140</v>
      </c>
      <c r="E2709" s="2">
        <v>44273.424016203702</v>
      </c>
      <c r="F2709" s="2">
        <v>44273.430208333331</v>
      </c>
      <c r="G2709" s="3">
        <v>6.1921296291984618E-3</v>
      </c>
      <c r="H2709" s="3">
        <v>538.25883424882318</v>
      </c>
      <c r="I2709" s="3">
        <v>8.9709805708137189</v>
      </c>
      <c r="J2709" s="3">
        <v>0.14951634284689533</v>
      </c>
    </row>
    <row r="2710" spans="1:11" x14ac:dyDescent="0.35">
      <c r="A2710">
        <v>2709</v>
      </c>
      <c r="B2710" t="s">
        <v>2</v>
      </c>
      <c r="C2710" t="s">
        <v>136</v>
      </c>
      <c r="D2710" t="s">
        <v>140</v>
      </c>
      <c r="E2710" s="2">
        <v>44273.430358796293</v>
      </c>
      <c r="F2710" s="2">
        <v>44273.450104166666</v>
      </c>
      <c r="G2710" s="3">
        <v>1.9745370373129845E-2</v>
      </c>
      <c r="H2710" s="3">
        <v>1716.3917222818013</v>
      </c>
      <c r="I2710" s="3">
        <v>28.606528704696689</v>
      </c>
      <c r="J2710" s="3">
        <v>0.4767754784116115</v>
      </c>
      <c r="K2710" t="s">
        <v>90</v>
      </c>
    </row>
    <row r="2711" spans="1:11" x14ac:dyDescent="0.35">
      <c r="A2711">
        <v>2710</v>
      </c>
      <c r="B2711" t="s">
        <v>2</v>
      </c>
      <c r="C2711" t="s">
        <v>96</v>
      </c>
      <c r="D2711" t="s">
        <v>140</v>
      </c>
      <c r="E2711" s="2">
        <v>44273.450266203705</v>
      </c>
      <c r="F2711" s="2">
        <v>44273.453888888886</v>
      </c>
      <c r="G2711" s="3">
        <v>3.6226851807441562E-3</v>
      </c>
      <c r="H2711" s="3">
        <v>314.90656995342107</v>
      </c>
      <c r="I2711" s="3">
        <v>5.2484428325570178</v>
      </c>
      <c r="J2711" s="3">
        <v>8.7474047209283631E-2</v>
      </c>
    </row>
    <row r="2712" spans="1:11" x14ac:dyDescent="0.35">
      <c r="A2712">
        <v>2711</v>
      </c>
      <c r="B2712" t="s">
        <v>2</v>
      </c>
      <c r="C2712" t="s">
        <v>96</v>
      </c>
      <c r="D2712" t="s">
        <v>140</v>
      </c>
      <c r="E2712" s="2">
        <v>44273.454062500001</v>
      </c>
      <c r="F2712" s="2">
        <v>44273.461122685185</v>
      </c>
      <c r="G2712" s="3">
        <v>7.0601851839455776E-3</v>
      </c>
      <c r="H2712" s="3">
        <v>613.71568010653482</v>
      </c>
      <c r="I2712" s="3">
        <v>10.228594668442247</v>
      </c>
      <c r="J2712" s="3">
        <v>0.17047657780737077</v>
      </c>
    </row>
    <row r="2713" spans="1:11" x14ac:dyDescent="0.35">
      <c r="A2713">
        <v>2712</v>
      </c>
      <c r="B2713" t="s">
        <v>2</v>
      </c>
      <c r="C2713" t="s">
        <v>96</v>
      </c>
      <c r="D2713" t="s">
        <v>140</v>
      </c>
      <c r="E2713" s="2">
        <v>44273.461331018516</v>
      </c>
      <c r="F2713" s="2">
        <v>44273.467141203706</v>
      </c>
      <c r="G2713" s="3">
        <v>5.810185190057382E-3</v>
      </c>
      <c r="H2713" s="3">
        <v>505.05782250151094</v>
      </c>
      <c r="I2713" s="3">
        <v>8.4176303750251815</v>
      </c>
      <c r="J2713" s="3">
        <v>0.14029383958375302</v>
      </c>
    </row>
    <row r="2714" spans="1:11" x14ac:dyDescent="0.35">
      <c r="A2714">
        <v>2713</v>
      </c>
      <c r="B2714" t="s">
        <v>2</v>
      </c>
      <c r="C2714" t="s">
        <v>132</v>
      </c>
      <c r="D2714" t="s">
        <v>140</v>
      </c>
      <c r="E2714" s="2">
        <v>44273.467372685183</v>
      </c>
      <c r="F2714" s="2">
        <v>44273.479675925926</v>
      </c>
      <c r="G2714" s="3">
        <v>1.230324074276723E-2</v>
      </c>
      <c r="H2714" s="3">
        <v>1069.4750297954824</v>
      </c>
      <c r="I2714" s="3">
        <v>17.824583829924709</v>
      </c>
      <c r="J2714" s="3">
        <v>0.29707639716541184</v>
      </c>
      <c r="K2714" t="s">
        <v>93</v>
      </c>
    </row>
    <row r="2715" spans="1:11" x14ac:dyDescent="0.35">
      <c r="A2715">
        <v>2714</v>
      </c>
      <c r="B2715" t="s">
        <v>2</v>
      </c>
      <c r="C2715" t="s">
        <v>96</v>
      </c>
      <c r="D2715" t="s">
        <v>140</v>
      </c>
      <c r="E2715" s="2">
        <v>44273.479849537034</v>
      </c>
      <c r="F2715" s="2">
        <v>44273.548576388886</v>
      </c>
      <c r="G2715" s="3">
        <v>6.8726851852261461E-2</v>
      </c>
      <c r="H2715" s="3">
        <v>5974.1700149740491</v>
      </c>
      <c r="I2715" s="3">
        <v>99.569500249567483</v>
      </c>
      <c r="J2715" s="3">
        <v>1.6594916708261247</v>
      </c>
    </row>
    <row r="2716" spans="1:11" x14ac:dyDescent="0.35">
      <c r="A2716">
        <v>2715</v>
      </c>
      <c r="B2716" t="s">
        <v>16</v>
      </c>
      <c r="C2716" t="s">
        <v>16</v>
      </c>
      <c r="D2716" t="s">
        <v>140</v>
      </c>
      <c r="E2716" s="2">
        <v>44273.548715277779</v>
      </c>
      <c r="F2716" s="2">
        <v>44273.582071759258</v>
      </c>
      <c r="G2716" s="3">
        <v>3.3356481479131617E-2</v>
      </c>
      <c r="H2716" s="3">
        <v>2899.5550659884921</v>
      </c>
      <c r="I2716" s="3">
        <v>48.325917766474866</v>
      </c>
      <c r="J2716" s="3">
        <v>0.80543196277458107</v>
      </c>
    </row>
    <row r="2717" spans="1:11" x14ac:dyDescent="0.35">
      <c r="A2717">
        <v>2716</v>
      </c>
      <c r="B2717" t="s">
        <v>2</v>
      </c>
      <c r="C2717" t="s">
        <v>132</v>
      </c>
      <c r="D2717" t="s">
        <v>140</v>
      </c>
      <c r="E2717" s="2">
        <v>44273.582245370373</v>
      </c>
      <c r="F2717" s="2">
        <v>44273.583599537036</v>
      </c>
      <c r="G2717" s="3">
        <v>1.3541666630771942E-3</v>
      </c>
      <c r="H2717" s="3">
        <v>117.71267933563927</v>
      </c>
      <c r="I2717" s="3">
        <v>1.961877988927321</v>
      </c>
      <c r="J2717" s="3">
        <v>3.2697966482122018E-2</v>
      </c>
      <c r="K2717" t="s">
        <v>93</v>
      </c>
    </row>
    <row r="2718" spans="1:11" x14ac:dyDescent="0.35">
      <c r="A2718">
        <v>2717</v>
      </c>
      <c r="B2718" t="s">
        <v>2</v>
      </c>
      <c r="C2718" t="s">
        <v>96</v>
      </c>
      <c r="D2718" t="s">
        <v>140</v>
      </c>
      <c r="E2718" s="2">
        <v>44273.583738425928</v>
      </c>
      <c r="F2718" s="2">
        <v>44273.716261574074</v>
      </c>
      <c r="G2718" s="3">
        <v>0.13252314814599231</v>
      </c>
      <c r="H2718" s="3">
        <v>11519.745144818524</v>
      </c>
      <c r="I2718" s="3">
        <v>191.99575241364207</v>
      </c>
      <c r="J2718" s="3">
        <v>3.1999292068940344</v>
      </c>
    </row>
    <row r="2719" spans="1:11" x14ac:dyDescent="0.35">
      <c r="A2719">
        <v>2718</v>
      </c>
      <c r="B2719" t="s">
        <v>11</v>
      </c>
      <c r="C2719" t="s">
        <v>11</v>
      </c>
      <c r="D2719" t="s">
        <v>140</v>
      </c>
      <c r="E2719" s="2">
        <v>44274.344155092593</v>
      </c>
      <c r="F2719" s="2">
        <v>44274.390115740738</v>
      </c>
      <c r="G2719" s="3">
        <v>4.5960648145410232E-2</v>
      </c>
      <c r="H2719" s="3">
        <v>3995.1884688291229</v>
      </c>
      <c r="I2719" s="3">
        <v>66.586474480485379</v>
      </c>
      <c r="J2719" s="3">
        <v>1.1097745746747563</v>
      </c>
    </row>
    <row r="2720" spans="1:11" x14ac:dyDescent="0.35">
      <c r="A2720">
        <v>2719</v>
      </c>
      <c r="B2720" t="s">
        <v>2</v>
      </c>
      <c r="C2720" t="s">
        <v>132</v>
      </c>
      <c r="D2720" t="s">
        <v>140</v>
      </c>
      <c r="E2720" s="2">
        <v>44274.390266203707</v>
      </c>
      <c r="F2720" s="2">
        <v>44274.399641203701</v>
      </c>
      <c r="G2720" s="3">
        <v>9.3749999941792339E-3</v>
      </c>
      <c r="H2720" s="3">
        <v>814.93393551627548</v>
      </c>
      <c r="I2720" s="3">
        <v>13.582232258604591</v>
      </c>
      <c r="J2720" s="3">
        <v>0.22637053764340986</v>
      </c>
      <c r="K2720" t="s">
        <v>93</v>
      </c>
    </row>
    <row r="2721" spans="1:11" x14ac:dyDescent="0.35">
      <c r="A2721">
        <v>2720</v>
      </c>
      <c r="B2721" t="s">
        <v>2</v>
      </c>
      <c r="C2721" t="s">
        <v>96</v>
      </c>
      <c r="D2721" t="s">
        <v>140</v>
      </c>
      <c r="E2721" s="2">
        <v>44274.399861111109</v>
      </c>
      <c r="F2721" s="2">
        <v>44274.46329861111</v>
      </c>
      <c r="G2721" s="3">
        <v>6.3437500000873115E-2</v>
      </c>
      <c r="H2721" s="3">
        <v>5514.3863004931427</v>
      </c>
      <c r="I2721" s="3">
        <v>91.906438341552374</v>
      </c>
      <c r="J2721" s="3">
        <v>1.5317739723592063</v>
      </c>
    </row>
    <row r="2722" spans="1:11" x14ac:dyDescent="0.35">
      <c r="A2722">
        <v>2721</v>
      </c>
      <c r="B2722" t="s">
        <v>2</v>
      </c>
      <c r="C2722" t="s">
        <v>96</v>
      </c>
      <c r="D2722" t="s">
        <v>140</v>
      </c>
      <c r="E2722" s="2">
        <v>44274.463437500002</v>
      </c>
      <c r="F2722" s="2">
        <v>44274.472187500003</v>
      </c>
      <c r="G2722" s="3">
        <v>8.7500000008731149E-3</v>
      </c>
      <c r="H2722" s="3">
        <v>760.60500702999957</v>
      </c>
      <c r="I2722" s="3">
        <v>12.676750117166659</v>
      </c>
      <c r="J2722" s="3">
        <v>0.21127916861944432</v>
      </c>
    </row>
    <row r="2723" spans="1:11" x14ac:dyDescent="0.35">
      <c r="A2723">
        <v>2722</v>
      </c>
      <c r="B2723" t="s">
        <v>2</v>
      </c>
      <c r="C2723" t="s">
        <v>96</v>
      </c>
      <c r="D2723" t="s">
        <v>140</v>
      </c>
      <c r="E2723" s="2">
        <v>44274.472291666665</v>
      </c>
      <c r="F2723" s="2">
        <v>44274.495752314811</v>
      </c>
      <c r="G2723" s="3">
        <v>2.3460648146283347E-2</v>
      </c>
      <c r="H2723" s="3">
        <v>2039.347022451612</v>
      </c>
      <c r="I2723" s="3">
        <v>33.989117040860201</v>
      </c>
      <c r="J2723" s="3">
        <v>0.56648528401433673</v>
      </c>
    </row>
    <row r="2724" spans="1:11" x14ac:dyDescent="0.35">
      <c r="A2724">
        <v>2723</v>
      </c>
      <c r="B2724" t="s">
        <v>2</v>
      </c>
      <c r="C2724" t="s">
        <v>96</v>
      </c>
      <c r="D2724" t="s">
        <v>140</v>
      </c>
      <c r="E2724" s="2">
        <v>44274.495949074073</v>
      </c>
      <c r="F2724" s="2">
        <v>44274.4999537037</v>
      </c>
      <c r="G2724" s="3">
        <v>4.0046296271611936E-3</v>
      </c>
      <c r="H2724" s="3">
        <v>348.10758233320524</v>
      </c>
      <c r="I2724" s="3">
        <v>5.8017930388867542</v>
      </c>
      <c r="J2724" s="3">
        <v>9.669655064811257E-2</v>
      </c>
    </row>
    <row r="2725" spans="1:11" x14ac:dyDescent="0.35">
      <c r="A2725">
        <v>2724</v>
      </c>
      <c r="B2725" t="s">
        <v>2</v>
      </c>
      <c r="C2725" t="s">
        <v>96</v>
      </c>
      <c r="D2725" t="s">
        <v>140</v>
      </c>
      <c r="E2725" s="2">
        <v>44274.500069444446</v>
      </c>
      <c r="F2725" s="2">
        <v>44274.522129629629</v>
      </c>
      <c r="G2725" s="3">
        <v>2.2060185183363501E-2</v>
      </c>
      <c r="H2725" s="3">
        <v>1917.6099776915421</v>
      </c>
      <c r="I2725" s="3">
        <v>31.960166294859036</v>
      </c>
      <c r="J2725" s="3">
        <v>0.53266943824765056</v>
      </c>
    </row>
    <row r="2726" spans="1:11" x14ac:dyDescent="0.35">
      <c r="A2726">
        <v>2725</v>
      </c>
      <c r="B2726" t="s">
        <v>2</v>
      </c>
      <c r="C2726" t="s">
        <v>96</v>
      </c>
      <c r="D2726" t="s">
        <v>140</v>
      </c>
      <c r="E2726" s="2">
        <v>44274.522256944445</v>
      </c>
      <c r="F2726" s="2">
        <v>44274.543206018519</v>
      </c>
      <c r="G2726" s="3">
        <v>2.0949074074451346E-2</v>
      </c>
      <c r="H2726" s="3">
        <v>1821.0252150948666</v>
      </c>
      <c r="I2726" s="3">
        <v>30.350420251581109</v>
      </c>
      <c r="J2726" s="3">
        <v>0.50584033752635182</v>
      </c>
    </row>
    <row r="2727" spans="1:11" x14ac:dyDescent="0.35">
      <c r="A2727">
        <v>2726</v>
      </c>
      <c r="B2727" t="s">
        <v>16</v>
      </c>
      <c r="C2727" t="s">
        <v>16</v>
      </c>
      <c r="D2727" t="s">
        <v>140</v>
      </c>
      <c r="E2727" s="2">
        <v>44274.543263888889</v>
      </c>
      <c r="F2727" s="2">
        <v>44274.562893518516</v>
      </c>
      <c r="G2727" s="3">
        <v>1.9629629627161194E-2</v>
      </c>
      <c r="H2727" s="3">
        <v>1706.3308090369603</v>
      </c>
      <c r="I2727" s="3">
        <v>28.438846817282673</v>
      </c>
      <c r="J2727" s="3">
        <v>0.47398078028804458</v>
      </c>
    </row>
    <row r="2728" spans="1:11" x14ac:dyDescent="0.35">
      <c r="A2728">
        <v>2727</v>
      </c>
      <c r="B2728" t="s">
        <v>2</v>
      </c>
      <c r="C2728" t="s">
        <v>96</v>
      </c>
      <c r="D2728" t="s">
        <v>140</v>
      </c>
      <c r="E2728" s="2">
        <v>44274.563032407408</v>
      </c>
      <c r="F2728" s="2">
        <v>44274.563784722224</v>
      </c>
      <c r="G2728" s="3">
        <v>7.5231481605442241E-4</v>
      </c>
      <c r="H2728" s="3">
        <v>65.39593324534269</v>
      </c>
      <c r="I2728" s="3">
        <v>1.0899322207557114</v>
      </c>
      <c r="J2728" s="3">
        <v>1.8165537012595191E-2</v>
      </c>
    </row>
    <row r="2729" spans="1:11" x14ac:dyDescent="0.35">
      <c r="A2729">
        <v>2728</v>
      </c>
      <c r="B2729" t="s">
        <v>2</v>
      </c>
      <c r="C2729" t="s">
        <v>136</v>
      </c>
      <c r="D2729" t="s">
        <v>140</v>
      </c>
      <c r="E2729" s="2">
        <v>44274.563877314817</v>
      </c>
      <c r="F2729" s="2">
        <v>44274.582777777781</v>
      </c>
      <c r="G2729" s="3">
        <v>1.8900462964666076E-2</v>
      </c>
      <c r="H2729" s="3">
        <v>1642.9470588200691</v>
      </c>
      <c r="I2729" s="3">
        <v>27.382450980334486</v>
      </c>
      <c r="J2729" s="3">
        <v>0.45637418300557475</v>
      </c>
      <c r="K2729" t="s">
        <v>90</v>
      </c>
    </row>
    <row r="2730" spans="1:11" x14ac:dyDescent="0.35">
      <c r="A2730">
        <v>2729</v>
      </c>
      <c r="B2730" t="s">
        <v>2</v>
      </c>
      <c r="C2730" t="s">
        <v>132</v>
      </c>
      <c r="D2730" t="s">
        <v>140</v>
      </c>
      <c r="E2730" s="2">
        <v>44274.582905092589</v>
      </c>
      <c r="F2730" s="2">
        <v>44274.597025462965</v>
      </c>
      <c r="G2730" s="3">
        <v>1.4120370375167113E-2</v>
      </c>
      <c r="H2730" s="3">
        <v>1227.4313608455418</v>
      </c>
      <c r="I2730" s="3">
        <v>20.457189347425697</v>
      </c>
      <c r="J2730" s="3">
        <v>0.34095315579042829</v>
      </c>
      <c r="K2730" t="s">
        <v>93</v>
      </c>
    </row>
    <row r="2731" spans="1:11" x14ac:dyDescent="0.35">
      <c r="A2731">
        <v>2730</v>
      </c>
      <c r="B2731" t="s">
        <v>2</v>
      </c>
      <c r="C2731" t="s">
        <v>132</v>
      </c>
      <c r="D2731" t="s">
        <v>140</v>
      </c>
      <c r="E2731" s="2">
        <v>44274.597430555557</v>
      </c>
      <c r="F2731" s="2">
        <v>44274.60733796296</v>
      </c>
      <c r="G2731" s="3">
        <v>9.9074074023519643E-3</v>
      </c>
      <c r="H2731" s="3">
        <v>861.21413441863388</v>
      </c>
      <c r="I2731" s="3">
        <v>14.353568906977232</v>
      </c>
      <c r="J2731" s="3">
        <v>0.23922614844962053</v>
      </c>
      <c r="K2731" t="s">
        <v>93</v>
      </c>
    </row>
    <row r="2732" spans="1:11" x14ac:dyDescent="0.35">
      <c r="A2732">
        <v>2731</v>
      </c>
      <c r="B2732" t="s">
        <v>2</v>
      </c>
      <c r="C2732" t="s">
        <v>96</v>
      </c>
      <c r="D2732" t="s">
        <v>140</v>
      </c>
      <c r="E2732" s="2">
        <v>44274.607604166667</v>
      </c>
      <c r="F2732" s="2">
        <v>44274.621539351851</v>
      </c>
      <c r="G2732" s="3">
        <v>1.3935185183072463E-2</v>
      </c>
      <c r="H2732" s="3">
        <v>1211.3338997802905</v>
      </c>
      <c r="I2732" s="3">
        <v>20.18889832967151</v>
      </c>
      <c r="J2732" s="3">
        <v>0.33648163882785848</v>
      </c>
    </row>
    <row r="2733" spans="1:11" x14ac:dyDescent="0.35">
      <c r="A2733">
        <v>2732</v>
      </c>
      <c r="B2733" t="s">
        <v>2</v>
      </c>
      <c r="C2733" t="s">
        <v>96</v>
      </c>
      <c r="D2733" t="s">
        <v>140</v>
      </c>
      <c r="E2733" s="2">
        <v>44274.621689814812</v>
      </c>
      <c r="F2733" s="2">
        <v>44274.634513888886</v>
      </c>
      <c r="G2733" s="3">
        <v>1.2824074074160308E-2</v>
      </c>
      <c r="H2733" s="3">
        <v>1114.7491371836149</v>
      </c>
      <c r="I2733" s="3">
        <v>18.579152286393583</v>
      </c>
      <c r="J2733" s="3">
        <v>0.30965253810655974</v>
      </c>
    </row>
    <row r="2734" spans="1:11" x14ac:dyDescent="0.35">
      <c r="A2734">
        <v>2733</v>
      </c>
      <c r="B2734" t="s">
        <v>2</v>
      </c>
      <c r="C2734" t="s">
        <v>132</v>
      </c>
      <c r="D2734" t="s">
        <v>140</v>
      </c>
      <c r="E2734" s="2">
        <v>44274.634710648148</v>
      </c>
      <c r="F2734" s="2">
        <v>44274.636828703704</v>
      </c>
      <c r="G2734" s="3">
        <v>2.118055555911269E-3</v>
      </c>
      <c r="H2734" s="3">
        <v>184.11470409520766</v>
      </c>
      <c r="I2734" s="3">
        <v>3.0685784015867941</v>
      </c>
      <c r="J2734" s="3">
        <v>5.1142973359779902E-2</v>
      </c>
      <c r="K2734" t="s">
        <v>93</v>
      </c>
    </row>
    <row r="2735" spans="1:11" x14ac:dyDescent="0.35">
      <c r="A2735">
        <v>2734</v>
      </c>
      <c r="B2735" t="s">
        <v>2</v>
      </c>
      <c r="C2735" t="s">
        <v>96</v>
      </c>
      <c r="D2735" t="s">
        <v>140</v>
      </c>
      <c r="E2735" s="2">
        <v>44274.637013888889</v>
      </c>
      <c r="F2735" s="2">
        <v>44274.670173611114</v>
      </c>
      <c r="G2735" s="3">
        <v>3.3159722224809229E-2</v>
      </c>
      <c r="H2735" s="3">
        <v>2882.4515146739591</v>
      </c>
      <c r="I2735" s="3">
        <v>48.040858577899321</v>
      </c>
      <c r="J2735" s="3">
        <v>0.80068097629832202</v>
      </c>
    </row>
    <row r="2736" spans="1:11" x14ac:dyDescent="0.35">
      <c r="A2736">
        <v>2735</v>
      </c>
      <c r="B2736" t="s">
        <v>16</v>
      </c>
      <c r="C2736" t="s">
        <v>16</v>
      </c>
      <c r="D2736" t="s">
        <v>140</v>
      </c>
      <c r="E2736" s="2">
        <v>44274.670277777775</v>
      </c>
      <c r="F2736" s="2">
        <v>44274.678055555552</v>
      </c>
      <c r="G2736" s="3">
        <v>7.7777777769370005E-3</v>
      </c>
      <c r="H2736" s="3">
        <v>676.09333944167247</v>
      </c>
      <c r="I2736" s="3">
        <v>11.268222324027874</v>
      </c>
      <c r="J2736" s="3">
        <v>0.18780370540046457</v>
      </c>
    </row>
    <row r="2737" spans="1:11" x14ac:dyDescent="0.35">
      <c r="A2737">
        <v>2736</v>
      </c>
      <c r="B2737" t="s">
        <v>2</v>
      </c>
      <c r="C2737" t="s">
        <v>96</v>
      </c>
      <c r="D2737" t="s">
        <v>140</v>
      </c>
      <c r="E2737" s="2">
        <v>44274.678194444445</v>
      </c>
      <c r="F2737" s="2">
        <v>44274.703877314816</v>
      </c>
      <c r="G2737" s="3">
        <v>2.5682870371383615E-2</v>
      </c>
      <c r="H2737" s="3">
        <v>2232.516548277435</v>
      </c>
      <c r="I2737" s="3">
        <v>37.208609137957254</v>
      </c>
      <c r="J2737" s="3">
        <v>0.62014348563262089</v>
      </c>
    </row>
    <row r="2738" spans="1:11" x14ac:dyDescent="0.35">
      <c r="A2738">
        <v>2737</v>
      </c>
      <c r="B2738" t="s">
        <v>11</v>
      </c>
      <c r="C2738" t="s">
        <v>11</v>
      </c>
      <c r="D2738" t="s">
        <v>140</v>
      </c>
      <c r="E2738" s="2">
        <v>44274.70412037037</v>
      </c>
      <c r="F2738" s="2">
        <v>44274.706250000003</v>
      </c>
      <c r="G2738" s="3">
        <v>2.1296296326909214E-3</v>
      </c>
      <c r="H2738" s="3">
        <v>185.12079560943334</v>
      </c>
      <c r="I2738" s="3">
        <v>3.0853465934905557</v>
      </c>
      <c r="J2738" s="3">
        <v>5.1422443224842594E-2</v>
      </c>
    </row>
    <row r="2739" spans="1:11" x14ac:dyDescent="0.35">
      <c r="A2739">
        <v>2738</v>
      </c>
      <c r="B2739" t="s">
        <v>11</v>
      </c>
      <c r="C2739" t="s">
        <v>11</v>
      </c>
      <c r="D2739" t="s">
        <v>140</v>
      </c>
      <c r="E2739" s="2">
        <v>44274.709085648145</v>
      </c>
      <c r="F2739" s="2">
        <v>44274.729525462964</v>
      </c>
      <c r="G2739" s="3">
        <v>2.043981481983792E-2</v>
      </c>
      <c r="H2739" s="3">
        <v>1776.7571992209596</v>
      </c>
      <c r="I2739" s="3">
        <v>29.612619987015993</v>
      </c>
      <c r="J2739" s="3">
        <v>0.49354366645026654</v>
      </c>
    </row>
    <row r="2740" spans="1:11" x14ac:dyDescent="0.35">
      <c r="A2740">
        <v>2739</v>
      </c>
      <c r="B2740" t="s">
        <v>11</v>
      </c>
      <c r="C2740" t="s">
        <v>11</v>
      </c>
      <c r="D2740" t="s">
        <v>140</v>
      </c>
      <c r="E2740" s="2">
        <v>44275.40960648148</v>
      </c>
      <c r="F2740" s="2">
        <v>44275.500127314815</v>
      </c>
      <c r="G2740" s="3">
        <v>9.0520833335176576E-2</v>
      </c>
      <c r="H2740" s="3">
        <v>7868.6398935306479</v>
      </c>
      <c r="I2740" s="3">
        <v>131.14399822551079</v>
      </c>
      <c r="J2740" s="3">
        <v>2.1857333037585129</v>
      </c>
    </row>
    <row r="2741" spans="1:11" x14ac:dyDescent="0.35">
      <c r="A2741">
        <v>2740</v>
      </c>
      <c r="B2741" t="s">
        <v>11</v>
      </c>
      <c r="C2741" t="s">
        <v>11</v>
      </c>
      <c r="D2741" t="s">
        <v>140</v>
      </c>
      <c r="E2741" s="2">
        <v>44276.350798611114</v>
      </c>
      <c r="F2741" s="2">
        <v>44276.583333333336</v>
      </c>
      <c r="G2741" s="3">
        <v>0.23253472222131677</v>
      </c>
      <c r="H2741" s="3">
        <v>20213.379887110288</v>
      </c>
      <c r="I2741" s="3">
        <v>336.88966478517148</v>
      </c>
      <c r="J2741" s="3">
        <v>5.6148277464195244</v>
      </c>
    </row>
    <row r="2742" spans="1:11" x14ac:dyDescent="0.35">
      <c r="A2742">
        <v>2741</v>
      </c>
      <c r="B2742" t="s">
        <v>11</v>
      </c>
      <c r="C2742" t="s">
        <v>11</v>
      </c>
      <c r="D2742" t="s">
        <v>140</v>
      </c>
      <c r="E2742" s="2">
        <v>44277.333483796298</v>
      </c>
      <c r="F2742" s="2">
        <v>44277.35423611111</v>
      </c>
      <c r="G2742" s="3">
        <v>2.0752314812853001E-2</v>
      </c>
      <c r="H2742" s="3">
        <v>1803.9216631478616</v>
      </c>
      <c r="I2742" s="3">
        <v>30.065361052464361</v>
      </c>
      <c r="J2742" s="3">
        <v>0.50108935087440598</v>
      </c>
    </row>
    <row r="2743" spans="1:11" x14ac:dyDescent="0.35">
      <c r="A2743">
        <v>2742</v>
      </c>
      <c r="B2743" t="s">
        <v>11</v>
      </c>
      <c r="C2743" t="s">
        <v>11</v>
      </c>
      <c r="D2743" t="s">
        <v>140</v>
      </c>
      <c r="E2743" s="2">
        <v>44277.354363425926</v>
      </c>
      <c r="F2743" s="2">
        <v>44277.369803240741</v>
      </c>
      <c r="G2743" s="3">
        <v>1.5439814815181307E-2</v>
      </c>
      <c r="H2743" s="3">
        <v>1342.1257662709759</v>
      </c>
      <c r="I2743" s="3">
        <v>22.368762771182933</v>
      </c>
      <c r="J2743" s="3">
        <v>0.3728127128530489</v>
      </c>
    </row>
    <row r="2744" spans="1:11" x14ac:dyDescent="0.35">
      <c r="A2744">
        <v>2743</v>
      </c>
      <c r="B2744" t="s">
        <v>11</v>
      </c>
      <c r="C2744" t="s">
        <v>11</v>
      </c>
      <c r="D2744" t="s">
        <v>140</v>
      </c>
      <c r="E2744" s="2">
        <v>44277.370011574072</v>
      </c>
      <c r="F2744" s="2">
        <v>44277.373749999999</v>
      </c>
      <c r="G2744" s="3">
        <v>3.7384259267128073E-3</v>
      </c>
      <c r="H2744" s="3">
        <v>324.96748319826207</v>
      </c>
      <c r="I2744" s="3">
        <v>5.4161247199710347</v>
      </c>
      <c r="J2744" s="3">
        <v>9.0268745332850578E-2</v>
      </c>
    </row>
    <row r="2745" spans="1:11" x14ac:dyDescent="0.35">
      <c r="A2745">
        <v>2744</v>
      </c>
      <c r="B2745" t="s">
        <v>2</v>
      </c>
      <c r="C2745" t="s">
        <v>132</v>
      </c>
      <c r="D2745" t="s">
        <v>140</v>
      </c>
      <c r="E2745" s="2">
        <v>44277.373865740738</v>
      </c>
      <c r="F2745" s="2">
        <v>44277.380393518521</v>
      </c>
      <c r="G2745" s="3">
        <v>6.5277777830488048E-3</v>
      </c>
      <c r="H2745" s="3">
        <v>567.43548183664848</v>
      </c>
      <c r="I2745" s="3">
        <v>9.4572580306108076</v>
      </c>
      <c r="J2745" s="3">
        <v>0.15762096717684679</v>
      </c>
      <c r="K2745" t="s">
        <v>93</v>
      </c>
    </row>
    <row r="2746" spans="1:11" x14ac:dyDescent="0.35">
      <c r="A2746">
        <v>2745</v>
      </c>
      <c r="B2746" t="s">
        <v>2</v>
      </c>
      <c r="C2746" t="s">
        <v>132</v>
      </c>
      <c r="D2746" t="s">
        <v>140</v>
      </c>
      <c r="E2746" s="2">
        <v>44277.380636574075</v>
      </c>
      <c r="F2746" s="2">
        <v>44277.398518518516</v>
      </c>
      <c r="G2746" s="3">
        <v>1.788194444088731E-2</v>
      </c>
      <c r="H2746" s="3">
        <v>1554.4110258073113</v>
      </c>
      <c r="I2746" s="3">
        <v>25.906850430121853</v>
      </c>
      <c r="J2746" s="3">
        <v>0.43178084050203086</v>
      </c>
      <c r="K2746" t="s">
        <v>93</v>
      </c>
    </row>
    <row r="2747" spans="1:11" x14ac:dyDescent="0.35">
      <c r="A2747">
        <v>2746</v>
      </c>
      <c r="B2747" t="s">
        <v>16</v>
      </c>
      <c r="C2747" t="s">
        <v>16</v>
      </c>
      <c r="D2747" t="s">
        <v>140</v>
      </c>
      <c r="E2747" s="2">
        <v>44277.398657407408</v>
      </c>
      <c r="F2747" s="2">
        <v>44277.404733796298</v>
      </c>
      <c r="G2747" s="3">
        <v>6.0763888905057684E-3</v>
      </c>
      <c r="H2747" s="3">
        <v>528.19792163645411</v>
      </c>
      <c r="I2747" s="3">
        <v>8.803298693940901</v>
      </c>
      <c r="J2747" s="3">
        <v>0.14672164489901501</v>
      </c>
    </row>
    <row r="2748" spans="1:11" x14ac:dyDescent="0.35">
      <c r="A2748">
        <v>2747</v>
      </c>
      <c r="B2748" t="s">
        <v>11</v>
      </c>
      <c r="C2748" t="s">
        <v>11</v>
      </c>
      <c r="D2748" t="s">
        <v>140</v>
      </c>
      <c r="E2748" s="2">
        <v>44277.404953703706</v>
      </c>
      <c r="F2748" s="2">
        <v>44277.426863425928</v>
      </c>
      <c r="G2748" s="3">
        <v>2.1909722221607808E-2</v>
      </c>
      <c r="H2748" s="3">
        <v>1904.5307911689679</v>
      </c>
      <c r="I2748" s="3">
        <v>31.742179852816133</v>
      </c>
      <c r="J2748" s="3">
        <v>0.52903633088026891</v>
      </c>
    </row>
    <row r="2749" spans="1:11" x14ac:dyDescent="0.35">
      <c r="A2749">
        <v>2748</v>
      </c>
      <c r="B2749" t="s">
        <v>2</v>
      </c>
      <c r="C2749" t="s">
        <v>132</v>
      </c>
      <c r="D2749" t="s">
        <v>140</v>
      </c>
      <c r="E2749" s="2">
        <v>44277.427060185182</v>
      </c>
      <c r="F2749" s="2">
        <v>44277.454768518517</v>
      </c>
      <c r="G2749" s="3">
        <v>2.7708333334885538E-2</v>
      </c>
      <c r="H2749" s="3">
        <v>2408.5825221562532</v>
      </c>
      <c r="I2749" s="3">
        <v>40.143042035937555</v>
      </c>
      <c r="J2749" s="3">
        <v>0.66905070059895921</v>
      </c>
      <c r="K2749" t="s">
        <v>93</v>
      </c>
    </row>
    <row r="2750" spans="1:11" x14ac:dyDescent="0.35">
      <c r="A2750">
        <v>2749</v>
      </c>
      <c r="B2750" t="s">
        <v>2</v>
      </c>
      <c r="C2750" t="s">
        <v>96</v>
      </c>
      <c r="D2750" t="s">
        <v>140</v>
      </c>
      <c r="E2750" s="2">
        <v>44277.455069444448</v>
      </c>
      <c r="F2750" s="2">
        <v>44277.463402777779</v>
      </c>
      <c r="G2750" s="3">
        <v>8.333333331393078E-3</v>
      </c>
      <c r="H2750" s="3">
        <v>724.38572074001024</v>
      </c>
      <c r="I2750" s="3">
        <v>12.073095345666838</v>
      </c>
      <c r="J2750" s="3">
        <v>0.20121825576111396</v>
      </c>
    </row>
    <row r="2751" spans="1:11" x14ac:dyDescent="0.35">
      <c r="A2751">
        <v>2750</v>
      </c>
      <c r="B2751" t="s">
        <v>2</v>
      </c>
      <c r="C2751" t="s">
        <v>136</v>
      </c>
      <c r="D2751" t="s">
        <v>140</v>
      </c>
      <c r="E2751" s="2">
        <v>44277.463703703703</v>
      </c>
      <c r="F2751" s="2">
        <v>44277.475138888891</v>
      </c>
      <c r="G2751" s="3">
        <v>1.1435185188020114E-2</v>
      </c>
      <c r="H2751" s="3">
        <v>994.01818393777057</v>
      </c>
      <c r="I2751" s="3">
        <v>16.566969732296176</v>
      </c>
      <c r="J2751" s="3">
        <v>0.27611616220493629</v>
      </c>
      <c r="K2751" t="s">
        <v>90</v>
      </c>
    </row>
    <row r="2752" spans="1:11" x14ac:dyDescent="0.35">
      <c r="A2752">
        <v>2751</v>
      </c>
      <c r="B2752" t="s">
        <v>16</v>
      </c>
      <c r="C2752" t="s">
        <v>16</v>
      </c>
      <c r="D2752" t="s">
        <v>140</v>
      </c>
      <c r="E2752" s="2">
        <v>44277.475358796299</v>
      </c>
      <c r="F2752" s="2">
        <v>44277.531064814815</v>
      </c>
      <c r="G2752" s="3">
        <v>5.5706018516502809E-2</v>
      </c>
      <c r="H2752" s="3">
        <v>4842.317325843429</v>
      </c>
      <c r="I2752" s="3">
        <v>80.705288764057144</v>
      </c>
      <c r="J2752" s="3">
        <v>1.3450881460676192</v>
      </c>
    </row>
    <row r="2753" spans="1:11" x14ac:dyDescent="0.35">
      <c r="A2753">
        <v>2752</v>
      </c>
      <c r="B2753" t="s">
        <v>11</v>
      </c>
      <c r="C2753" t="s">
        <v>11</v>
      </c>
      <c r="D2753" t="s">
        <v>140</v>
      </c>
      <c r="E2753" s="2">
        <v>44277.531226851854</v>
      </c>
      <c r="F2753" s="2">
        <v>44277.53329861111</v>
      </c>
      <c r="G2753" s="3">
        <v>2.0717592560686171E-3</v>
      </c>
      <c r="H2753" s="3">
        <v>180.09033867077687</v>
      </c>
      <c r="I2753" s="3">
        <v>3.0015056445129478</v>
      </c>
      <c r="J2753" s="3">
        <v>5.0025094075215798E-2</v>
      </c>
    </row>
    <row r="2754" spans="1:11" x14ac:dyDescent="0.35">
      <c r="A2754">
        <v>2753</v>
      </c>
      <c r="B2754" t="s">
        <v>2</v>
      </c>
      <c r="C2754" t="s">
        <v>132</v>
      </c>
      <c r="D2754" t="s">
        <v>140</v>
      </c>
      <c r="E2754" s="2">
        <v>44277.533668981479</v>
      </c>
      <c r="F2754" s="2">
        <v>44277.57440972222</v>
      </c>
      <c r="G2754" s="3">
        <v>4.0740740740147885E-2</v>
      </c>
      <c r="H2754" s="3">
        <v>3541.4413021686269</v>
      </c>
      <c r="I2754" s="3">
        <v>59.024021702810451</v>
      </c>
      <c r="J2754" s="3">
        <v>0.98373369504684083</v>
      </c>
      <c r="K2754" t="s">
        <v>42</v>
      </c>
    </row>
    <row r="2755" spans="1:11" x14ac:dyDescent="0.35">
      <c r="A2755">
        <v>2754</v>
      </c>
      <c r="B2755" t="s">
        <v>11</v>
      </c>
      <c r="C2755" t="s">
        <v>11</v>
      </c>
      <c r="D2755" t="s">
        <v>140</v>
      </c>
      <c r="E2755" s="2">
        <v>44277.574490740742</v>
      </c>
      <c r="F2755" s="2">
        <v>44277.582557870373</v>
      </c>
      <c r="G2755" s="3">
        <v>8.0671296309446916E-3</v>
      </c>
      <c r="H2755" s="3">
        <v>701.24562160506707</v>
      </c>
      <c r="I2755" s="3">
        <v>11.687427026751118</v>
      </c>
      <c r="J2755" s="3">
        <v>0.19479045044585197</v>
      </c>
    </row>
    <row r="2756" spans="1:11" x14ac:dyDescent="0.35">
      <c r="A2756">
        <v>2755</v>
      </c>
      <c r="B2756" t="s">
        <v>2</v>
      </c>
      <c r="C2756" t="s">
        <v>72</v>
      </c>
      <c r="D2756" t="s">
        <v>140</v>
      </c>
      <c r="E2756" s="2">
        <v>44277.582627314812</v>
      </c>
      <c r="F2756" s="2">
        <v>44277.627905092595</v>
      </c>
      <c r="G2756" s="3">
        <v>4.5277777782757767E-2</v>
      </c>
      <c r="H2756" s="3">
        <v>3935.8290840366626</v>
      </c>
      <c r="I2756" s="3">
        <v>65.59715140061104</v>
      </c>
      <c r="J2756" s="3">
        <v>1.0932858566768506</v>
      </c>
      <c r="K2756" t="s">
        <v>73</v>
      </c>
    </row>
    <row r="2757" spans="1:11" x14ac:dyDescent="0.35">
      <c r="A2757">
        <v>2756</v>
      </c>
      <c r="B2757" t="s">
        <v>11</v>
      </c>
      <c r="C2757" t="s">
        <v>11</v>
      </c>
      <c r="D2757" t="s">
        <v>140</v>
      </c>
      <c r="E2757" s="2">
        <v>44277.628425925926</v>
      </c>
      <c r="F2757" s="2">
        <v>44277.631168981483</v>
      </c>
      <c r="G2757" s="3">
        <v>2.7430555564933456E-3</v>
      </c>
      <c r="H2757" s="3">
        <v>238.44363321395562</v>
      </c>
      <c r="I2757" s="3">
        <v>3.974060553565927</v>
      </c>
      <c r="J2757" s="3">
        <v>6.6234342559432113E-2</v>
      </c>
    </row>
    <row r="2758" spans="1:11" x14ac:dyDescent="0.35">
      <c r="A2758">
        <v>2757</v>
      </c>
      <c r="B2758" t="s">
        <v>2</v>
      </c>
      <c r="C2758" t="s">
        <v>72</v>
      </c>
      <c r="D2758" t="s">
        <v>140</v>
      </c>
      <c r="E2758" s="2">
        <v>44277.631249999999</v>
      </c>
      <c r="F2758" s="2">
        <v>44277.649074074077</v>
      </c>
      <c r="G2758" s="3">
        <v>1.7824074078816921E-2</v>
      </c>
      <c r="H2758" s="3">
        <v>1549.3805701335987</v>
      </c>
      <c r="I2758" s="3">
        <v>25.823009502226643</v>
      </c>
      <c r="J2758" s="3">
        <v>0.43038349170377738</v>
      </c>
      <c r="K2758" t="s">
        <v>73</v>
      </c>
    </row>
    <row r="2759" spans="1:11" x14ac:dyDescent="0.35">
      <c r="A2759">
        <v>2758</v>
      </c>
      <c r="B2759" t="s">
        <v>2</v>
      </c>
      <c r="C2759" t="s">
        <v>133</v>
      </c>
      <c r="D2759" t="s">
        <v>140</v>
      </c>
      <c r="E2759" s="2">
        <v>44277.649282407408</v>
      </c>
      <c r="F2759" s="2">
        <v>44277.651354166665</v>
      </c>
      <c r="G2759" s="3">
        <v>2.0717592560686171E-3</v>
      </c>
      <c r="H2759" s="3">
        <v>180.09033867077687</v>
      </c>
      <c r="I2759" s="3">
        <v>3.0015056445129478</v>
      </c>
      <c r="J2759" s="3">
        <v>5.0025094075215798E-2</v>
      </c>
      <c r="K2759" t="s">
        <v>99</v>
      </c>
    </row>
    <row r="2760" spans="1:11" x14ac:dyDescent="0.35">
      <c r="A2760">
        <v>2759</v>
      </c>
      <c r="B2760" t="s">
        <v>2</v>
      </c>
      <c r="C2760" t="s">
        <v>132</v>
      </c>
      <c r="D2760" t="s">
        <v>140</v>
      </c>
      <c r="E2760" s="2">
        <v>44277.651631944442</v>
      </c>
      <c r="F2760" s="2">
        <v>44277.683749999997</v>
      </c>
      <c r="G2760" s="3">
        <v>3.2118055554747116E-2</v>
      </c>
      <c r="H2760" s="3">
        <v>2791.9032992652219</v>
      </c>
      <c r="I2760" s="3">
        <v>46.531721654420366</v>
      </c>
      <c r="J2760" s="3">
        <v>0.77552869424033943</v>
      </c>
      <c r="K2760" t="s">
        <v>93</v>
      </c>
    </row>
    <row r="2761" spans="1:11" x14ac:dyDescent="0.35">
      <c r="A2761">
        <v>2760</v>
      </c>
      <c r="B2761" t="s">
        <v>16</v>
      </c>
      <c r="C2761" t="s">
        <v>16</v>
      </c>
      <c r="D2761" t="s">
        <v>140</v>
      </c>
      <c r="E2761" s="2">
        <v>44277.684074074074</v>
      </c>
      <c r="F2761" s="2">
        <v>44277.707673611112</v>
      </c>
      <c r="G2761" s="3">
        <v>2.3599537038535345E-2</v>
      </c>
      <c r="H2761" s="3">
        <v>2051.4201180924324</v>
      </c>
      <c r="I2761" s="3">
        <v>34.190335301540543</v>
      </c>
      <c r="J2761" s="3">
        <v>0.5698389216923424</v>
      </c>
    </row>
    <row r="2762" spans="1:11" x14ac:dyDescent="0.35">
      <c r="A2762">
        <v>2761</v>
      </c>
      <c r="B2762" t="s">
        <v>11</v>
      </c>
      <c r="C2762" t="s">
        <v>11</v>
      </c>
      <c r="D2762" t="s">
        <v>140</v>
      </c>
      <c r="E2762" s="2">
        <v>44277.707777777781</v>
      </c>
      <c r="F2762" s="2">
        <v>44277.864675925928</v>
      </c>
      <c r="G2762" s="3">
        <v>0.15689814814686542</v>
      </c>
      <c r="H2762" s="3">
        <v>13638.573378552279</v>
      </c>
      <c r="I2762" s="3">
        <v>227.30955630920465</v>
      </c>
      <c r="J2762" s="3">
        <v>3.7884926051534107</v>
      </c>
    </row>
    <row r="2763" spans="1:11" x14ac:dyDescent="0.35">
      <c r="A2763">
        <v>2762</v>
      </c>
      <c r="B2763" t="s">
        <v>11</v>
      </c>
      <c r="C2763" t="s">
        <v>11</v>
      </c>
      <c r="D2763" t="s">
        <v>140</v>
      </c>
      <c r="E2763" s="2">
        <v>44278.334490740737</v>
      </c>
      <c r="F2763" s="2">
        <v>44278.34883101852</v>
      </c>
      <c r="G2763" s="3">
        <v>1.4340277783048805E-2</v>
      </c>
      <c r="H2763" s="3">
        <v>1246.5470951885261</v>
      </c>
      <c r="I2763" s="3">
        <v>20.775784919808768</v>
      </c>
      <c r="J2763" s="3">
        <v>0.34626308199681277</v>
      </c>
    </row>
    <row r="2764" spans="1:11" x14ac:dyDescent="0.35">
      <c r="A2764">
        <v>2763</v>
      </c>
      <c r="B2764" t="s">
        <v>2</v>
      </c>
      <c r="C2764" t="s">
        <v>132</v>
      </c>
      <c r="D2764" t="s">
        <v>140</v>
      </c>
      <c r="E2764" s="2">
        <v>44278.349062499998</v>
      </c>
      <c r="F2764" s="2">
        <v>44278.372361111113</v>
      </c>
      <c r="G2764" s="3">
        <v>2.3298611115023959E-2</v>
      </c>
      <c r="H2764" s="3">
        <v>2025.2617450472842</v>
      </c>
      <c r="I2764" s="3">
        <v>33.754362417454736</v>
      </c>
      <c r="J2764" s="3">
        <v>0.56257270695757888</v>
      </c>
      <c r="K2764" t="s">
        <v>42</v>
      </c>
    </row>
    <row r="2765" spans="1:11" x14ac:dyDescent="0.35">
      <c r="A2765">
        <v>2764</v>
      </c>
      <c r="B2765" t="s">
        <v>2</v>
      </c>
      <c r="C2765" t="s">
        <v>72</v>
      </c>
      <c r="D2765" t="s">
        <v>140</v>
      </c>
      <c r="E2765" s="2">
        <v>44278.372442129628</v>
      </c>
      <c r="F2765" s="2">
        <v>44278.409143518518</v>
      </c>
      <c r="G2765" s="3">
        <v>3.6701388889923692E-2</v>
      </c>
      <c r="H2765" s="3">
        <v>3190.3154459252164</v>
      </c>
      <c r="I2765" s="3">
        <v>53.171924098753607</v>
      </c>
      <c r="J2765" s="3">
        <v>0.88619873497922674</v>
      </c>
      <c r="K2765" t="s">
        <v>73</v>
      </c>
    </row>
    <row r="2766" spans="1:11" x14ac:dyDescent="0.35">
      <c r="A2766">
        <v>2765</v>
      </c>
      <c r="B2766" t="s">
        <v>2</v>
      </c>
      <c r="C2766" t="s">
        <v>132</v>
      </c>
      <c r="D2766" t="s">
        <v>140</v>
      </c>
      <c r="E2766" s="2">
        <v>44278.40934027778</v>
      </c>
      <c r="F2766" s="2">
        <v>44278.431585648148</v>
      </c>
      <c r="G2766" s="3">
        <v>2.2245370368182193E-2</v>
      </c>
      <c r="H2766" s="3">
        <v>1933.7074381243212</v>
      </c>
      <c r="I2766" s="3">
        <v>32.228457302072023</v>
      </c>
      <c r="J2766" s="3">
        <v>0.53714095503453374</v>
      </c>
      <c r="K2766" t="s">
        <v>42</v>
      </c>
    </row>
    <row r="2767" spans="1:11" x14ac:dyDescent="0.35">
      <c r="A2767">
        <v>2766</v>
      </c>
      <c r="B2767" t="s">
        <v>2</v>
      </c>
      <c r="C2767" t="s">
        <v>133</v>
      </c>
      <c r="D2767" t="s">
        <v>140</v>
      </c>
      <c r="E2767" s="2">
        <v>44278.431759259256</v>
      </c>
      <c r="F2767" s="2">
        <v>44278.434074074074</v>
      </c>
      <c r="G2767" s="3">
        <v>2.3148148175096139E-3</v>
      </c>
      <c r="H2767" s="3">
        <v>201.2182560422126</v>
      </c>
      <c r="I2767" s="3">
        <v>3.3536376007035433</v>
      </c>
      <c r="J2767" s="3">
        <v>5.5893960011725724E-2</v>
      </c>
      <c r="K2767" t="s">
        <v>99</v>
      </c>
    </row>
    <row r="2768" spans="1:11" x14ac:dyDescent="0.35">
      <c r="A2768">
        <v>2767</v>
      </c>
      <c r="B2768" t="s">
        <v>2</v>
      </c>
      <c r="C2768" t="s">
        <v>96</v>
      </c>
      <c r="D2768" t="s">
        <v>140</v>
      </c>
      <c r="E2768" s="2">
        <v>44278.434201388889</v>
      </c>
      <c r="F2768" s="2">
        <v>44278.440532407411</v>
      </c>
      <c r="G2768" s="3">
        <v>6.33101852145046E-3</v>
      </c>
      <c r="H2768" s="3">
        <v>550.33192988964356</v>
      </c>
      <c r="I2768" s="3">
        <v>9.1721988314940592</v>
      </c>
      <c r="J2768" s="3">
        <v>0.152869980524901</v>
      </c>
    </row>
    <row r="2769" spans="1:11" x14ac:dyDescent="0.35">
      <c r="A2769">
        <v>2768</v>
      </c>
      <c r="B2769" t="s">
        <v>2</v>
      </c>
      <c r="C2769" t="s">
        <v>132</v>
      </c>
      <c r="D2769" t="s">
        <v>140</v>
      </c>
      <c r="E2769" s="2">
        <v>44278.440937500003</v>
      </c>
      <c r="F2769" s="2">
        <v>44278.479803240742</v>
      </c>
      <c r="G2769" s="3">
        <v>3.8865740738401655E-2</v>
      </c>
      <c r="H2769" s="3">
        <v>3378.454514812383</v>
      </c>
      <c r="I2769" s="3">
        <v>56.30757524687305</v>
      </c>
      <c r="J2769" s="3">
        <v>0.93845958744788416</v>
      </c>
      <c r="K2769" t="s">
        <v>42</v>
      </c>
    </row>
    <row r="2770" spans="1:11" x14ac:dyDescent="0.35">
      <c r="A2770">
        <v>2769</v>
      </c>
      <c r="B2770" t="s">
        <v>16</v>
      </c>
      <c r="C2770" t="s">
        <v>16</v>
      </c>
      <c r="D2770" t="s">
        <v>140</v>
      </c>
      <c r="E2770" s="2">
        <v>44278.479884259257</v>
      </c>
      <c r="F2770" s="2">
        <v>44278.538564814815</v>
      </c>
      <c r="G2770" s="3">
        <v>5.8680555557657499E-2</v>
      </c>
      <c r="H2770" s="3">
        <v>5100.8827849145946</v>
      </c>
      <c r="I2770" s="3">
        <v>85.014713081909903</v>
      </c>
      <c r="J2770" s="3">
        <v>1.4169118846984985</v>
      </c>
    </row>
    <row r="2771" spans="1:11" x14ac:dyDescent="0.35">
      <c r="A2771">
        <v>2770</v>
      </c>
      <c r="B2771" t="s">
        <v>2</v>
      </c>
      <c r="C2771" t="s">
        <v>133</v>
      </c>
      <c r="D2771" t="s">
        <v>140</v>
      </c>
      <c r="E2771" s="2">
        <v>44278.538680555554</v>
      </c>
      <c r="F2771" s="2">
        <v>44278.567893518521</v>
      </c>
      <c r="G2771" s="3">
        <v>2.9212962966994382E-2</v>
      </c>
      <c r="H2771" s="3">
        <v>2539.3743886469383</v>
      </c>
      <c r="I2771" s="3">
        <v>42.322906477448974</v>
      </c>
      <c r="J2771" s="3">
        <v>0.70538177462414953</v>
      </c>
      <c r="K2771" t="s">
        <v>99</v>
      </c>
    </row>
    <row r="2772" spans="1:11" x14ac:dyDescent="0.35">
      <c r="A2772">
        <v>2771</v>
      </c>
      <c r="B2772" t="s">
        <v>2</v>
      </c>
      <c r="C2772" t="s">
        <v>132</v>
      </c>
      <c r="D2772" t="s">
        <v>140</v>
      </c>
      <c r="E2772" s="2">
        <v>44278.568194444444</v>
      </c>
      <c r="F2772" s="2">
        <v>44278.613206018519</v>
      </c>
      <c r="G2772" s="3">
        <v>4.5011574075033423E-2</v>
      </c>
      <c r="H2772" s="3">
        <v>3912.6889842692472</v>
      </c>
      <c r="I2772" s="3">
        <v>65.21148307115412</v>
      </c>
      <c r="J2772" s="3">
        <v>1.0868580511859021</v>
      </c>
      <c r="K2772" t="s">
        <v>42</v>
      </c>
    </row>
    <row r="2773" spans="1:11" x14ac:dyDescent="0.35">
      <c r="A2773">
        <v>2772</v>
      </c>
      <c r="B2773" t="s">
        <v>2</v>
      </c>
      <c r="C2773" t="s">
        <v>132</v>
      </c>
      <c r="D2773" t="s">
        <v>140</v>
      </c>
      <c r="E2773" s="2">
        <v>44278.613425925927</v>
      </c>
      <c r="F2773" s="2">
        <v>44278.624745370369</v>
      </c>
      <c r="G2773" s="3">
        <v>1.1319444442051463E-2</v>
      </c>
      <c r="H2773" s="3">
        <v>983.95727069292957</v>
      </c>
      <c r="I2773" s="3">
        <v>16.39928784488216</v>
      </c>
      <c r="J2773" s="3">
        <v>0.27332146408136931</v>
      </c>
      <c r="K2773" t="s">
        <v>93</v>
      </c>
    </row>
    <row r="2774" spans="1:11" x14ac:dyDescent="0.35">
      <c r="A2774">
        <v>2773</v>
      </c>
      <c r="B2774" t="s">
        <v>2</v>
      </c>
      <c r="C2774" t="s">
        <v>133</v>
      </c>
      <c r="D2774" t="s">
        <v>140</v>
      </c>
      <c r="E2774" s="2">
        <v>44278.624849537038</v>
      </c>
      <c r="F2774" s="2">
        <v>44278.66883101852</v>
      </c>
      <c r="G2774" s="3">
        <v>4.3981481481750961E-2</v>
      </c>
      <c r="H2774" s="3">
        <v>3823.1468603747358</v>
      </c>
      <c r="I2774" s="3">
        <v>63.71911433957893</v>
      </c>
      <c r="J2774" s="3">
        <v>1.0619852389929823</v>
      </c>
      <c r="K2774" t="s">
        <v>99</v>
      </c>
    </row>
    <row r="2775" spans="1:11" x14ac:dyDescent="0.35">
      <c r="A2775">
        <v>2774</v>
      </c>
      <c r="B2775" t="s">
        <v>16</v>
      </c>
      <c r="C2775" t="s">
        <v>16</v>
      </c>
      <c r="D2775" t="s">
        <v>140</v>
      </c>
      <c r="E2775" s="2">
        <v>44278.668912037036</v>
      </c>
      <c r="F2775" s="2">
        <v>44278.678310185183</v>
      </c>
      <c r="G2775" s="3">
        <v>9.3981481477385387E-3</v>
      </c>
      <c r="H2775" s="3">
        <v>816.94611854472691</v>
      </c>
      <c r="I2775" s="3">
        <v>13.615768642412116</v>
      </c>
      <c r="J2775" s="3">
        <v>0.22692947737353525</v>
      </c>
    </row>
    <row r="2776" spans="1:11" x14ac:dyDescent="0.35">
      <c r="A2776">
        <v>2775</v>
      </c>
      <c r="B2776" t="s">
        <v>2</v>
      </c>
      <c r="C2776" t="s">
        <v>96</v>
      </c>
      <c r="D2776" t="s">
        <v>140</v>
      </c>
      <c r="E2776" s="2">
        <v>44278.678553240738</v>
      </c>
      <c r="F2776" s="2">
        <v>44278.681539351855</v>
      </c>
      <c r="G2776" s="3">
        <v>2.9861111179343425E-3</v>
      </c>
      <c r="H2776" s="3">
        <v>259.57155058539138</v>
      </c>
      <c r="I2776" s="3">
        <v>4.326192509756523</v>
      </c>
      <c r="J2776" s="3">
        <v>7.2103208495942053E-2</v>
      </c>
    </row>
    <row r="2777" spans="1:11" x14ac:dyDescent="0.35">
      <c r="A2777">
        <v>2776</v>
      </c>
      <c r="B2777" t="s">
        <v>2</v>
      </c>
      <c r="C2777" t="s">
        <v>132</v>
      </c>
      <c r="D2777" t="s">
        <v>140</v>
      </c>
      <c r="E2777" s="2">
        <v>44278.68173611111</v>
      </c>
      <c r="F2777" s="2">
        <v>44278.69971064815</v>
      </c>
      <c r="G2777" s="3">
        <v>1.7974537040572613E-2</v>
      </c>
      <c r="H2777" s="3">
        <v>1562.4597566561729</v>
      </c>
      <c r="I2777" s="3">
        <v>26.040995944269547</v>
      </c>
      <c r="J2777" s="3">
        <v>0.43401659907115914</v>
      </c>
      <c r="K2777" t="s">
        <v>42</v>
      </c>
    </row>
    <row r="2778" spans="1:11" x14ac:dyDescent="0.35">
      <c r="A2778">
        <v>2777</v>
      </c>
      <c r="B2778" t="s">
        <v>11</v>
      </c>
      <c r="C2778" t="s">
        <v>11</v>
      </c>
      <c r="D2778" t="s">
        <v>140</v>
      </c>
      <c r="E2778" s="2">
        <v>44278.70003472222</v>
      </c>
      <c r="F2778" s="2">
        <v>44278.705381944441</v>
      </c>
      <c r="G2778" s="3">
        <v>5.3472222207346931E-3</v>
      </c>
      <c r="H2778" s="3">
        <v>464.8141707870908</v>
      </c>
      <c r="I2778" s="3">
        <v>7.7469028464515137</v>
      </c>
      <c r="J2778" s="3">
        <v>0.12911504744085855</v>
      </c>
    </row>
    <row r="2779" spans="1:11" x14ac:dyDescent="0.35">
      <c r="A2779">
        <v>2778</v>
      </c>
      <c r="B2779" t="s">
        <v>33</v>
      </c>
      <c r="C2779" t="s">
        <v>33</v>
      </c>
      <c r="D2779" t="s">
        <v>140</v>
      </c>
      <c r="E2779" s="2">
        <v>44280.375</v>
      </c>
      <c r="F2779" s="2">
        <v>44280.708333333336</v>
      </c>
      <c r="G2779" s="3">
        <v>0.33333333333575865</v>
      </c>
      <c r="H2779" s="3">
        <v>28975.428836557599</v>
      </c>
      <c r="I2779" s="3">
        <v>482.92381394262668</v>
      </c>
      <c r="J2779" s="3">
        <v>8.0487302323771122</v>
      </c>
    </row>
    <row r="2780" spans="1:11" x14ac:dyDescent="0.35">
      <c r="A2780">
        <v>2779</v>
      </c>
      <c r="B2780" t="s">
        <v>33</v>
      </c>
      <c r="C2780" t="s">
        <v>33</v>
      </c>
      <c r="D2780" t="s">
        <v>140</v>
      </c>
      <c r="E2780" s="2">
        <v>44281.375</v>
      </c>
      <c r="F2780" s="2">
        <v>44281.708333333336</v>
      </c>
      <c r="G2780" s="3">
        <v>0.33333333333575865</v>
      </c>
      <c r="H2780" s="3">
        <v>28975.428836557599</v>
      </c>
      <c r="I2780" s="3">
        <v>482.92381394262668</v>
      </c>
      <c r="J2780" s="3">
        <v>8.0487302323771122</v>
      </c>
    </row>
    <row r="2781" spans="1:11" x14ac:dyDescent="0.35">
      <c r="A2781">
        <v>2780</v>
      </c>
      <c r="B2781" t="s">
        <v>11</v>
      </c>
      <c r="C2781" t="s">
        <v>11</v>
      </c>
      <c r="D2781" t="s">
        <v>140</v>
      </c>
      <c r="E2781" s="2">
        <v>44278.706041666665</v>
      </c>
      <c r="F2781" s="2">
        <v>44278.71234953704</v>
      </c>
      <c r="G2781" s="3">
        <v>6.3078703751671128E-3</v>
      </c>
      <c r="H2781" s="3">
        <v>548.31974749366418</v>
      </c>
      <c r="I2781" s="3">
        <v>9.1386624582277367</v>
      </c>
      <c r="J2781" s="3">
        <v>0.15231104097046227</v>
      </c>
    </row>
    <row r="2782" spans="1:11" x14ac:dyDescent="0.35">
      <c r="A2782">
        <v>2781</v>
      </c>
      <c r="B2782" t="s">
        <v>11</v>
      </c>
      <c r="C2782" t="s">
        <v>11</v>
      </c>
      <c r="D2782" t="s">
        <v>140</v>
      </c>
      <c r="E2782" s="2">
        <v>44278.712465277778</v>
      </c>
      <c r="F2782" s="2">
        <v>44278.747881944444</v>
      </c>
      <c r="G2782" s="3">
        <v>3.5416666665696539E-2</v>
      </c>
      <c r="H2782" s="3">
        <v>3078.6393137775153</v>
      </c>
      <c r="I2782" s="3">
        <v>51.310655229625254</v>
      </c>
      <c r="J2782" s="3">
        <v>0.85517758716042092</v>
      </c>
    </row>
    <row r="2783" spans="1:11" x14ac:dyDescent="0.35">
      <c r="A2783">
        <v>2782</v>
      </c>
      <c r="B2783" t="s">
        <v>11</v>
      </c>
      <c r="C2783" t="s">
        <v>11</v>
      </c>
      <c r="D2783" t="s">
        <v>140</v>
      </c>
      <c r="E2783" s="2">
        <v>44278.748263888891</v>
      </c>
      <c r="F2783" s="2">
        <v>44278.755567129629</v>
      </c>
      <c r="G2783" s="3">
        <v>7.3032407381106168E-3</v>
      </c>
      <c r="H2783" s="3">
        <v>634.84359684549861</v>
      </c>
      <c r="I2783" s="3">
        <v>10.580726614091644</v>
      </c>
      <c r="J2783" s="3">
        <v>0.17634544356819407</v>
      </c>
    </row>
    <row r="2784" spans="1:11" x14ac:dyDescent="0.35">
      <c r="A2784">
        <v>2783</v>
      </c>
      <c r="B2784" t="s">
        <v>11</v>
      </c>
      <c r="C2784" t="s">
        <v>11</v>
      </c>
      <c r="D2784" t="s">
        <v>140</v>
      </c>
      <c r="E2784" s="2">
        <v>44279.336157407408</v>
      </c>
      <c r="F2784" s="2">
        <v>44279.351400462961</v>
      </c>
      <c r="G2784" s="3">
        <v>1.5243055553582963E-2</v>
      </c>
      <c r="H2784" s="3">
        <v>1325.022214323971</v>
      </c>
      <c r="I2784" s="3">
        <v>22.083703572066181</v>
      </c>
      <c r="J2784" s="3">
        <v>0.368061726201103</v>
      </c>
    </row>
    <row r="2785" spans="1:11" x14ac:dyDescent="0.35">
      <c r="A2785">
        <v>2784</v>
      </c>
      <c r="B2785" t="s">
        <v>11</v>
      </c>
      <c r="C2785" t="s">
        <v>11</v>
      </c>
      <c r="D2785" t="s">
        <v>140</v>
      </c>
      <c r="E2785" s="2">
        <v>44279.351469907408</v>
      </c>
      <c r="F2785" s="2">
        <v>44279.353946759256</v>
      </c>
      <c r="G2785" s="3">
        <v>2.4768518487690017E-3</v>
      </c>
      <c r="H2785" s="3">
        <v>215.30353344654046</v>
      </c>
      <c r="I2785" s="3">
        <v>3.5883922241090076</v>
      </c>
      <c r="J2785" s="3">
        <v>5.9806537068483462E-2</v>
      </c>
    </row>
    <row r="2786" spans="1:11" x14ac:dyDescent="0.35">
      <c r="A2786">
        <v>2785</v>
      </c>
      <c r="B2786" t="s">
        <v>11</v>
      </c>
      <c r="C2786" t="s">
        <v>11</v>
      </c>
      <c r="D2786" t="s">
        <v>140</v>
      </c>
      <c r="E2786" s="2">
        <v>44279.354074074072</v>
      </c>
      <c r="F2786" s="2">
        <v>44279.361458333333</v>
      </c>
      <c r="G2786" s="3">
        <v>7.3842592610162683E-3</v>
      </c>
      <c r="H2786" s="3">
        <v>641.88623618013457</v>
      </c>
      <c r="I2786" s="3">
        <v>10.698103936335576</v>
      </c>
      <c r="J2786" s="3">
        <v>0.17830173227225959</v>
      </c>
    </row>
    <row r="2787" spans="1:11" x14ac:dyDescent="0.35">
      <c r="A2787">
        <v>2786</v>
      </c>
      <c r="B2787" t="s">
        <v>2</v>
      </c>
      <c r="C2787" t="s">
        <v>132</v>
      </c>
      <c r="D2787" t="s">
        <v>140</v>
      </c>
      <c r="E2787" s="2">
        <v>44279.361875000002</v>
      </c>
      <c r="F2787" s="2">
        <v>44279.366041666668</v>
      </c>
      <c r="G2787" s="3">
        <v>4.166666665696539E-3</v>
      </c>
      <c r="H2787" s="3">
        <v>362.19286037000512</v>
      </c>
      <c r="I2787" s="3">
        <v>6.0365476728334189</v>
      </c>
      <c r="J2787" s="3">
        <v>0.10060912788055698</v>
      </c>
      <c r="K2787" t="s">
        <v>42</v>
      </c>
    </row>
    <row r="2788" spans="1:11" x14ac:dyDescent="0.35">
      <c r="A2788">
        <v>2787</v>
      </c>
      <c r="B2788" t="s">
        <v>11</v>
      </c>
      <c r="C2788" t="s">
        <v>11</v>
      </c>
      <c r="D2788" t="s">
        <v>140</v>
      </c>
      <c r="E2788" s="2">
        <v>44279.366238425922</v>
      </c>
      <c r="F2788" s="2">
        <v>44279.375613425924</v>
      </c>
      <c r="G2788" s="3">
        <v>9.3750000014551915E-3</v>
      </c>
      <c r="H2788" s="3">
        <v>814.93393614874753</v>
      </c>
      <c r="I2788" s="3">
        <v>13.582232269145793</v>
      </c>
      <c r="J2788" s="3">
        <v>0.22637053781909655</v>
      </c>
    </row>
    <row r="2789" spans="1:11" x14ac:dyDescent="0.35">
      <c r="A2789">
        <v>2788</v>
      </c>
      <c r="B2789" t="s">
        <v>11</v>
      </c>
      <c r="C2789" t="s">
        <v>11</v>
      </c>
      <c r="D2789" t="s">
        <v>140</v>
      </c>
      <c r="E2789" s="2">
        <v>44279.375821759262</v>
      </c>
      <c r="F2789" s="2">
        <v>44279.38244212963</v>
      </c>
      <c r="G2789" s="3">
        <v>6.6203703681821935E-3</v>
      </c>
      <c r="H2789" s="3">
        <v>575.48421142056611</v>
      </c>
      <c r="I2789" s="3">
        <v>9.5914035236761013</v>
      </c>
      <c r="J2789" s="3">
        <v>0.15985672539460169</v>
      </c>
    </row>
    <row r="2790" spans="1:11" x14ac:dyDescent="0.35">
      <c r="A2790">
        <v>2789</v>
      </c>
      <c r="B2790" t="s">
        <v>2</v>
      </c>
      <c r="C2790" t="s">
        <v>132</v>
      </c>
      <c r="D2790" t="s">
        <v>140</v>
      </c>
      <c r="E2790" s="2">
        <v>44279.382604166669</v>
      </c>
      <c r="F2790" s="2">
        <v>44279.418171296296</v>
      </c>
      <c r="G2790" s="3">
        <v>3.5567129627452232E-2</v>
      </c>
      <c r="H2790" s="3">
        <v>3091.7185003000895</v>
      </c>
      <c r="I2790" s="3">
        <v>51.528641671668161</v>
      </c>
      <c r="J2790" s="3">
        <v>0.85881069452780268</v>
      </c>
      <c r="K2790" t="s">
        <v>41</v>
      </c>
    </row>
    <row r="2791" spans="1:11" x14ac:dyDescent="0.35">
      <c r="A2791">
        <v>2790</v>
      </c>
      <c r="B2791" t="s">
        <v>16</v>
      </c>
      <c r="C2791" t="s">
        <v>16</v>
      </c>
      <c r="D2791" t="s">
        <v>140</v>
      </c>
      <c r="E2791" s="2">
        <v>44279.418252314812</v>
      </c>
      <c r="F2791" s="2">
        <v>44279.427951388891</v>
      </c>
      <c r="G2791" s="3">
        <v>9.6990740785258822E-3</v>
      </c>
      <c r="H2791" s="3">
        <v>843.10449222234718</v>
      </c>
      <c r="I2791" s="3">
        <v>14.051741537039119</v>
      </c>
      <c r="J2791" s="3">
        <v>0.23419569228398532</v>
      </c>
    </row>
    <row r="2792" spans="1:11" x14ac:dyDescent="0.35">
      <c r="A2792">
        <v>2791</v>
      </c>
      <c r="B2792" t="s">
        <v>2</v>
      </c>
      <c r="C2792" t="s">
        <v>132</v>
      </c>
      <c r="D2792" t="s">
        <v>140</v>
      </c>
      <c r="E2792" s="2">
        <v>44279.428310185183</v>
      </c>
      <c r="F2792" s="2">
        <v>44279.430138888885</v>
      </c>
      <c r="G2792" s="3">
        <v>1.8287037019035779E-3</v>
      </c>
      <c r="H2792" s="3">
        <v>158.96242193181308</v>
      </c>
      <c r="I2792" s="3">
        <v>2.6493736988635512</v>
      </c>
      <c r="J2792" s="3">
        <v>4.4156228314392518E-2</v>
      </c>
      <c r="K2792" t="s">
        <v>41</v>
      </c>
    </row>
    <row r="2793" spans="1:11" x14ac:dyDescent="0.35">
      <c r="A2793">
        <v>2792</v>
      </c>
      <c r="B2793" t="s">
        <v>2</v>
      </c>
      <c r="C2793" t="s">
        <v>132</v>
      </c>
      <c r="D2793" t="s">
        <v>140</v>
      </c>
      <c r="E2793" s="2">
        <v>44279.430347222224</v>
      </c>
      <c r="F2793" s="2">
        <v>44279.431620370371</v>
      </c>
      <c r="G2793" s="3">
        <v>1.2731481474475004E-3</v>
      </c>
      <c r="H2793" s="3">
        <v>110.67004063347534</v>
      </c>
      <c r="I2793" s="3">
        <v>1.8445006772245889</v>
      </c>
      <c r="J2793" s="3">
        <v>3.0741677953743149E-2</v>
      </c>
      <c r="K2793" t="s">
        <v>42</v>
      </c>
    </row>
    <row r="2794" spans="1:11" x14ac:dyDescent="0.35">
      <c r="A2794">
        <v>2793</v>
      </c>
      <c r="B2794" t="s">
        <v>2</v>
      </c>
      <c r="C2794" t="s">
        <v>132</v>
      </c>
      <c r="D2794" t="s">
        <v>140</v>
      </c>
      <c r="E2794" s="2">
        <v>44279.43178240741</v>
      </c>
      <c r="F2794" s="2">
        <v>44279.443993055553</v>
      </c>
      <c r="G2794" s="3">
        <v>1.2210648143081926E-2</v>
      </c>
      <c r="H2794" s="3">
        <v>1061.4262989466208</v>
      </c>
      <c r="I2794" s="3">
        <v>17.690438315777012</v>
      </c>
      <c r="J2794" s="3">
        <v>0.29484063859628351</v>
      </c>
      <c r="K2794" t="s">
        <v>41</v>
      </c>
    </row>
    <row r="2795" spans="1:11" x14ac:dyDescent="0.35">
      <c r="A2795">
        <v>2794</v>
      </c>
      <c r="B2795" t="s">
        <v>11</v>
      </c>
      <c r="C2795" t="s">
        <v>11</v>
      </c>
      <c r="D2795" t="s">
        <v>140</v>
      </c>
      <c r="E2795" s="2">
        <v>44279.444247685184</v>
      </c>
      <c r="F2795" s="2">
        <v>44279.450486111113</v>
      </c>
      <c r="G2795" s="3">
        <v>6.2384259290411137E-3</v>
      </c>
      <c r="H2795" s="3">
        <v>542.28319967325399</v>
      </c>
      <c r="I2795" s="3">
        <v>9.0380533278875657</v>
      </c>
      <c r="J2795" s="3">
        <v>0.15063422213145944</v>
      </c>
    </row>
    <row r="2796" spans="1:11" x14ac:dyDescent="0.35">
      <c r="A2796">
        <v>2795</v>
      </c>
      <c r="B2796" t="s">
        <v>2</v>
      </c>
      <c r="C2796" t="s">
        <v>132</v>
      </c>
      <c r="D2796" t="s">
        <v>140</v>
      </c>
      <c r="E2796" s="2">
        <v>44279.450775462959</v>
      </c>
      <c r="F2796" s="2">
        <v>44279.45584490741</v>
      </c>
      <c r="G2796" s="3">
        <v>5.069444450782612E-3</v>
      </c>
      <c r="H2796" s="3">
        <v>440.66798077039391</v>
      </c>
      <c r="I2796" s="3">
        <v>7.344466346173232</v>
      </c>
      <c r="J2796" s="3">
        <v>0.12240777243622053</v>
      </c>
      <c r="K2796" t="s">
        <v>41</v>
      </c>
    </row>
    <row r="2797" spans="1:11" x14ac:dyDescent="0.35">
      <c r="A2797">
        <v>2796</v>
      </c>
      <c r="B2797" t="s">
        <v>2</v>
      </c>
      <c r="C2797" t="s">
        <v>132</v>
      </c>
      <c r="D2797" t="s">
        <v>140</v>
      </c>
      <c r="E2797" s="2">
        <v>44279.456122685187</v>
      </c>
      <c r="F2797" s="2">
        <v>44279.458749999998</v>
      </c>
      <c r="G2797" s="3">
        <v>2.6273148105246946E-3</v>
      </c>
      <c r="H2797" s="3">
        <v>228.38271996911462</v>
      </c>
      <c r="I2797" s="3">
        <v>3.8063786661519101</v>
      </c>
      <c r="J2797" s="3">
        <v>6.3439644435865167E-2</v>
      </c>
      <c r="K2797" t="s">
        <v>42</v>
      </c>
    </row>
    <row r="2798" spans="1:11" x14ac:dyDescent="0.35">
      <c r="A2798">
        <v>2797</v>
      </c>
      <c r="B2798" t="s">
        <v>2</v>
      </c>
      <c r="C2798" t="s">
        <v>132</v>
      </c>
      <c r="D2798" t="s">
        <v>140</v>
      </c>
      <c r="E2798" s="2">
        <v>44279.458969907406</v>
      </c>
      <c r="F2798" s="2">
        <v>44279.465358796297</v>
      </c>
      <c r="G2798" s="3">
        <v>6.3888888907968067E-3</v>
      </c>
      <c r="H2798" s="3">
        <v>555.36238619582809</v>
      </c>
      <c r="I2798" s="3">
        <v>9.2560397699304691</v>
      </c>
      <c r="J2798" s="3">
        <v>0.15426732949884114</v>
      </c>
      <c r="K2798" t="s">
        <v>42</v>
      </c>
    </row>
    <row r="2799" spans="1:11" x14ac:dyDescent="0.35">
      <c r="A2799">
        <v>2798</v>
      </c>
      <c r="B2799" t="s">
        <v>2</v>
      </c>
      <c r="C2799" t="s">
        <v>132</v>
      </c>
      <c r="D2799" t="s">
        <v>140</v>
      </c>
      <c r="E2799" s="2">
        <v>44279.465682870374</v>
      </c>
      <c r="F2799" s="2">
        <v>44279.471678240741</v>
      </c>
      <c r="G2799" s="3">
        <v>5.9953703676001169E-3</v>
      </c>
      <c r="H2799" s="3">
        <v>521.15528230181815</v>
      </c>
      <c r="I2799" s="3">
        <v>8.6859213716969688</v>
      </c>
      <c r="J2799" s="3">
        <v>0.14476535619494948</v>
      </c>
      <c r="K2799" t="s">
        <v>42</v>
      </c>
    </row>
    <row r="2800" spans="1:11" x14ac:dyDescent="0.35">
      <c r="A2800">
        <v>2799</v>
      </c>
      <c r="B2800" t="s">
        <v>2</v>
      </c>
      <c r="C2800" t="s">
        <v>136</v>
      </c>
      <c r="D2800" t="s">
        <v>140</v>
      </c>
      <c r="E2800" s="2">
        <v>44279.471921296295</v>
      </c>
      <c r="F2800" s="2">
        <v>44279.479189814818</v>
      </c>
      <c r="G2800" s="3">
        <v>7.2685185223235749E-3</v>
      </c>
      <c r="H2800" s="3">
        <v>631.82532356776551</v>
      </c>
      <c r="I2800" s="3">
        <v>10.530422059462758</v>
      </c>
      <c r="J2800" s="3">
        <v>0.17550703432437931</v>
      </c>
      <c r="K2800" t="s">
        <v>90</v>
      </c>
    </row>
    <row r="2801" spans="1:11" x14ac:dyDescent="0.35">
      <c r="A2801">
        <v>2800</v>
      </c>
      <c r="B2801" t="s">
        <v>16</v>
      </c>
      <c r="C2801" t="s">
        <v>16</v>
      </c>
      <c r="D2801" t="s">
        <v>140</v>
      </c>
      <c r="E2801" s="2">
        <v>44279.479409722226</v>
      </c>
      <c r="F2801" s="2">
        <v>44279.506215277775</v>
      </c>
      <c r="G2801" s="3">
        <v>2.6805555549799465E-2</v>
      </c>
      <c r="H2801" s="3">
        <v>2330.1074017558644</v>
      </c>
      <c r="I2801" s="3">
        <v>38.835123362597741</v>
      </c>
      <c r="J2801" s="3">
        <v>0.64725205604329572</v>
      </c>
    </row>
    <row r="2802" spans="1:11" x14ac:dyDescent="0.35">
      <c r="A2802">
        <v>2801</v>
      </c>
      <c r="B2802" t="s">
        <v>11</v>
      </c>
      <c r="C2802" t="s">
        <v>11</v>
      </c>
      <c r="D2802" t="s">
        <v>140</v>
      </c>
      <c r="E2802" s="2">
        <v>44279.505810185183</v>
      </c>
      <c r="F2802" s="2">
        <v>44279.510243055556</v>
      </c>
      <c r="G2802" s="3">
        <v>4.432870373420883E-3</v>
      </c>
      <c r="H2802" s="3">
        <v>385.33296013742029</v>
      </c>
      <c r="I2802" s="3">
        <v>6.4222160022903383</v>
      </c>
      <c r="J2802" s="3">
        <v>0.10703693337150563</v>
      </c>
    </row>
    <row r="2803" spans="1:11" x14ac:dyDescent="0.35">
      <c r="A2803">
        <v>2802</v>
      </c>
      <c r="B2803" t="s">
        <v>11</v>
      </c>
      <c r="C2803" t="s">
        <v>11</v>
      </c>
      <c r="D2803" t="s">
        <v>140</v>
      </c>
      <c r="E2803" s="2">
        <v>44279.510428240741</v>
      </c>
      <c r="F2803" s="2">
        <v>44279.512291666666</v>
      </c>
      <c r="G2803" s="3">
        <v>1.8634259249665774E-3</v>
      </c>
      <c r="H2803" s="3">
        <v>161.98069584201821</v>
      </c>
      <c r="I2803" s="3">
        <v>2.6996782640336368</v>
      </c>
      <c r="J2803" s="3">
        <v>4.4994637733893943E-2</v>
      </c>
    </row>
    <row r="2804" spans="1:11" x14ac:dyDescent="0.35">
      <c r="A2804">
        <v>2803</v>
      </c>
      <c r="B2804" t="s">
        <v>2</v>
      </c>
      <c r="C2804" t="s">
        <v>132</v>
      </c>
      <c r="D2804" t="s">
        <v>140</v>
      </c>
      <c r="E2804" s="2">
        <v>44279.512499999997</v>
      </c>
      <c r="F2804" s="2">
        <v>44279.514421296299</v>
      </c>
      <c r="G2804" s="3">
        <v>1.9212963015888818E-3</v>
      </c>
      <c r="H2804" s="3">
        <v>167.01115278067468</v>
      </c>
      <c r="I2804" s="3">
        <v>2.7835192130112447</v>
      </c>
      <c r="J2804" s="3">
        <v>4.6391986883520746E-2</v>
      </c>
      <c r="K2804" t="s">
        <v>41</v>
      </c>
    </row>
    <row r="2805" spans="1:11" x14ac:dyDescent="0.35">
      <c r="A2805">
        <v>2804</v>
      </c>
      <c r="B2805" t="s">
        <v>2</v>
      </c>
      <c r="C2805" t="s">
        <v>136</v>
      </c>
      <c r="D2805" t="s">
        <v>140</v>
      </c>
      <c r="E2805" s="2">
        <v>44279.514652777776</v>
      </c>
      <c r="F2805" s="2">
        <v>44279.527337962965</v>
      </c>
      <c r="G2805" s="3">
        <v>1.2685185189184267E-2</v>
      </c>
      <c r="H2805" s="3">
        <v>1102.6760421752665</v>
      </c>
      <c r="I2805" s="3">
        <v>18.377934036254441</v>
      </c>
      <c r="J2805" s="3">
        <v>0.3062989006042407</v>
      </c>
      <c r="K2805" t="s">
        <v>90</v>
      </c>
    </row>
    <row r="2806" spans="1:11" x14ac:dyDescent="0.35">
      <c r="A2806">
        <v>2805</v>
      </c>
      <c r="B2806" t="s">
        <v>11</v>
      </c>
      <c r="C2806" t="s">
        <v>11</v>
      </c>
      <c r="D2806" t="s">
        <v>140</v>
      </c>
      <c r="E2806" s="2">
        <v>44279.527627314812</v>
      </c>
      <c r="F2806" s="2">
        <v>44279.532962962963</v>
      </c>
      <c r="G2806" s="3">
        <v>5.3356481512309983E-3</v>
      </c>
      <c r="H2806" s="3">
        <v>463.80807990533708</v>
      </c>
      <c r="I2806" s="3">
        <v>7.7301346650889515</v>
      </c>
      <c r="J2806" s="3">
        <v>0.12883557775148252</v>
      </c>
    </row>
    <row r="2807" spans="1:11" x14ac:dyDescent="0.35">
      <c r="A2807">
        <v>2806</v>
      </c>
      <c r="B2807" t="s">
        <v>11</v>
      </c>
      <c r="C2807" t="s">
        <v>11</v>
      </c>
      <c r="D2807" t="s">
        <v>140</v>
      </c>
      <c r="E2807" s="2">
        <v>44279.533101851855</v>
      </c>
      <c r="F2807" s="2">
        <v>44279.547060185185</v>
      </c>
      <c r="G2807" s="3">
        <v>1.395833332935581E-2</v>
      </c>
      <c r="H2807" s="3">
        <v>1213.3460821762699</v>
      </c>
      <c r="I2807" s="3">
        <v>20.222434702937832</v>
      </c>
      <c r="J2807" s="3">
        <v>0.33704057838229723</v>
      </c>
    </row>
    <row r="2808" spans="1:11" x14ac:dyDescent="0.35">
      <c r="A2808">
        <v>2807</v>
      </c>
      <c r="B2808" t="s">
        <v>2</v>
      </c>
      <c r="C2808" t="s">
        <v>96</v>
      </c>
      <c r="D2808" t="s">
        <v>140</v>
      </c>
      <c r="E2808" s="2">
        <v>44279.547627314816</v>
      </c>
      <c r="F2808" s="2">
        <v>44279.552615740744</v>
      </c>
      <c r="G2808" s="3">
        <v>4.9884259278769605E-3</v>
      </c>
      <c r="H2808" s="3">
        <v>433.625341435758</v>
      </c>
      <c r="I2808" s="3">
        <v>7.2270890239292997</v>
      </c>
      <c r="J2808" s="3">
        <v>0.120451483732155</v>
      </c>
    </row>
    <row r="2809" spans="1:11" x14ac:dyDescent="0.35">
      <c r="A2809">
        <v>2808</v>
      </c>
      <c r="B2809" t="s">
        <v>11</v>
      </c>
      <c r="C2809" t="s">
        <v>11</v>
      </c>
      <c r="D2809" t="s">
        <v>140</v>
      </c>
      <c r="E2809" s="2">
        <v>44279.552766203706</v>
      </c>
      <c r="F2809" s="2">
        <v>44279.554907407408</v>
      </c>
      <c r="G2809" s="3">
        <v>2.1412037021946162E-3</v>
      </c>
      <c r="H2809" s="3">
        <v>186.12688649118707</v>
      </c>
      <c r="I2809" s="3">
        <v>3.1021147748531179</v>
      </c>
      <c r="J2809" s="3">
        <v>5.1701912914218634E-2</v>
      </c>
    </row>
    <row r="2810" spans="1:11" x14ac:dyDescent="0.35">
      <c r="A2810">
        <v>2809</v>
      </c>
      <c r="B2810" t="s">
        <v>2</v>
      </c>
      <c r="C2810" t="s">
        <v>96</v>
      </c>
      <c r="D2810" t="s">
        <v>140</v>
      </c>
      <c r="E2810" s="2">
        <v>44279.555127314816</v>
      </c>
      <c r="F2810" s="2">
        <v>44279.71875</v>
      </c>
      <c r="G2810" s="3">
        <v>0.16362268518423662</v>
      </c>
      <c r="H2810" s="3">
        <v>14223.112411703461</v>
      </c>
      <c r="I2810" s="3">
        <v>237.05187352839101</v>
      </c>
      <c r="J2810" s="3">
        <v>3.9508645588065168</v>
      </c>
    </row>
    <row r="2811" spans="1:11" x14ac:dyDescent="0.35">
      <c r="A2811">
        <v>2810</v>
      </c>
      <c r="B2811" t="s">
        <v>11</v>
      </c>
      <c r="C2811" t="s">
        <v>11</v>
      </c>
      <c r="D2811" t="s">
        <v>140</v>
      </c>
      <c r="E2811" s="2">
        <v>44284.334756944445</v>
      </c>
      <c r="F2811" s="2">
        <v>44284.355416666665</v>
      </c>
      <c r="G2811" s="3">
        <v>2.0659722220443655E-2</v>
      </c>
      <c r="H2811" s="3">
        <v>1795.872932931472</v>
      </c>
      <c r="I2811" s="3">
        <v>29.931215548857868</v>
      </c>
      <c r="J2811" s="3">
        <v>0.49885359248096445</v>
      </c>
    </row>
    <row r="2812" spans="1:11" x14ac:dyDescent="0.35">
      <c r="A2812">
        <v>2811</v>
      </c>
      <c r="B2812" t="s">
        <v>2</v>
      </c>
      <c r="C2812" t="s">
        <v>132</v>
      </c>
      <c r="D2812" t="s">
        <v>140</v>
      </c>
      <c r="E2812" s="2">
        <v>44284.35560185185</v>
      </c>
      <c r="F2812" s="2">
        <v>44284.358032407406</v>
      </c>
      <c r="G2812" s="3">
        <v>2.4305555562023073E-3</v>
      </c>
      <c r="H2812" s="3">
        <v>211.27916865458164</v>
      </c>
      <c r="I2812" s="3">
        <v>3.5213194775763608</v>
      </c>
      <c r="J2812" s="3">
        <v>5.8688657959606011E-2</v>
      </c>
      <c r="K2812" t="s">
        <v>93</v>
      </c>
    </row>
    <row r="2813" spans="1:11" x14ac:dyDescent="0.35">
      <c r="A2813">
        <v>2812</v>
      </c>
      <c r="B2813" t="s">
        <v>11</v>
      </c>
      <c r="C2813" t="s">
        <v>11</v>
      </c>
      <c r="D2813" t="s">
        <v>140</v>
      </c>
      <c r="E2813" s="2">
        <v>44284.358124999999</v>
      </c>
      <c r="F2813" s="2">
        <v>44284.378101851849</v>
      </c>
      <c r="G2813" s="3">
        <v>1.9976851850515231E-2</v>
      </c>
      <c r="H2813" s="3">
        <v>1736.5135475065395</v>
      </c>
      <c r="I2813" s="3">
        <v>28.941892458442325</v>
      </c>
      <c r="J2813" s="3">
        <v>0.48236487430737207</v>
      </c>
    </row>
    <row r="2814" spans="1:11" x14ac:dyDescent="0.35">
      <c r="A2814">
        <v>2813</v>
      </c>
      <c r="B2814" t="s">
        <v>2</v>
      </c>
      <c r="C2814" t="s">
        <v>133</v>
      </c>
      <c r="D2814" t="s">
        <v>140</v>
      </c>
      <c r="E2814" s="2">
        <v>44284.37841435185</v>
      </c>
      <c r="F2814" s="2">
        <v>44284.379259259258</v>
      </c>
      <c r="G2814" s="3">
        <v>8.4490740846376866E-4</v>
      </c>
      <c r="H2814" s="3">
        <v>73.444663461732318</v>
      </c>
      <c r="I2814" s="3">
        <v>1.2240777243622054</v>
      </c>
      <c r="J2814" s="3">
        <v>2.0401295406036756E-2</v>
      </c>
      <c r="K2814" t="s">
        <v>99</v>
      </c>
    </row>
    <row r="2815" spans="1:11" x14ac:dyDescent="0.35">
      <c r="A2815">
        <v>2814</v>
      </c>
      <c r="B2815" t="s">
        <v>2</v>
      </c>
      <c r="C2815" t="s">
        <v>132</v>
      </c>
      <c r="D2815" t="s">
        <v>140</v>
      </c>
      <c r="E2815" s="2">
        <v>44284.37945601852</v>
      </c>
      <c r="F2815" s="2">
        <v>44284.387523148151</v>
      </c>
      <c r="G2815" s="3">
        <v>8.0671296309446916E-3</v>
      </c>
      <c r="H2815" s="3">
        <v>701.24562160506707</v>
      </c>
      <c r="I2815" s="3">
        <v>11.687427026751118</v>
      </c>
      <c r="J2815" s="3">
        <v>0.19479045044585197</v>
      </c>
      <c r="K2815" t="s">
        <v>41</v>
      </c>
    </row>
    <row r="2816" spans="1:11" x14ac:dyDescent="0.35">
      <c r="A2816">
        <v>2815</v>
      </c>
      <c r="B2816" t="s">
        <v>2</v>
      </c>
      <c r="C2816" t="s">
        <v>133</v>
      </c>
      <c r="D2816" t="s">
        <v>140</v>
      </c>
      <c r="E2816" s="2">
        <v>44284.387673611112</v>
      </c>
      <c r="F2816" s="2">
        <v>44284.420451388891</v>
      </c>
      <c r="G2816" s="3">
        <v>3.2777777778392192E-2</v>
      </c>
      <c r="H2816" s="3">
        <v>2849.250502294175</v>
      </c>
      <c r="I2816" s="3">
        <v>47.487508371569582</v>
      </c>
      <c r="J2816" s="3">
        <v>0.791458472859493</v>
      </c>
      <c r="K2816" t="s">
        <v>99</v>
      </c>
    </row>
    <row r="2817" spans="1:11" x14ac:dyDescent="0.35">
      <c r="A2817">
        <v>2816</v>
      </c>
      <c r="B2817" t="s">
        <v>2</v>
      </c>
      <c r="C2817" t="s">
        <v>132</v>
      </c>
      <c r="D2817" t="s">
        <v>140</v>
      </c>
      <c r="E2817" s="2">
        <v>44284.420717592591</v>
      </c>
      <c r="F2817" s="2">
        <v>44284.432569444441</v>
      </c>
      <c r="G2817" s="3">
        <v>1.1851851850224193E-2</v>
      </c>
      <c r="H2817" s="3">
        <v>1030.2374695952878</v>
      </c>
      <c r="I2817" s="3">
        <v>17.170624493254799</v>
      </c>
      <c r="J2817" s="3">
        <v>0.28617707488757999</v>
      </c>
      <c r="K2817" t="s">
        <v>42</v>
      </c>
    </row>
    <row r="2818" spans="1:11" x14ac:dyDescent="0.35">
      <c r="A2818">
        <v>2817</v>
      </c>
      <c r="B2818" t="s">
        <v>2</v>
      </c>
      <c r="C2818" t="s">
        <v>133</v>
      </c>
      <c r="D2818" t="s">
        <v>140</v>
      </c>
      <c r="E2818" s="2">
        <v>44284.432719907411</v>
      </c>
      <c r="F2818" s="2">
        <v>44284.437245370369</v>
      </c>
      <c r="G2818" s="3">
        <v>4.5254629585542716E-3</v>
      </c>
      <c r="H2818" s="3">
        <v>393.38168972133792</v>
      </c>
      <c r="I2818" s="3">
        <v>6.556361495355632</v>
      </c>
      <c r="J2818" s="3">
        <v>0.10927269158926053</v>
      </c>
      <c r="K2818" t="s">
        <v>99</v>
      </c>
    </row>
    <row r="2819" spans="1:11" x14ac:dyDescent="0.35">
      <c r="A2819">
        <v>2818</v>
      </c>
      <c r="B2819" t="s">
        <v>2</v>
      </c>
      <c r="C2819" t="s">
        <v>132</v>
      </c>
      <c r="D2819" t="s">
        <v>140</v>
      </c>
      <c r="E2819" s="2">
        <v>44284.437418981484</v>
      </c>
      <c r="F2819" s="2">
        <v>44284.460104166668</v>
      </c>
      <c r="G2819" s="3">
        <v>2.2685185183945578E-2</v>
      </c>
      <c r="H2819" s="3">
        <v>1971.9389068102901</v>
      </c>
      <c r="I2819" s="3">
        <v>32.865648446838165</v>
      </c>
      <c r="J2819" s="3">
        <v>0.54776080744730271</v>
      </c>
      <c r="K2819" t="s">
        <v>93</v>
      </c>
    </row>
    <row r="2820" spans="1:11" x14ac:dyDescent="0.35">
      <c r="A2820">
        <v>2819</v>
      </c>
      <c r="B2820" t="s">
        <v>2</v>
      </c>
      <c r="C2820" t="s">
        <v>132</v>
      </c>
      <c r="D2820" t="s">
        <v>140</v>
      </c>
      <c r="E2820" s="2">
        <v>44284.460358796299</v>
      </c>
      <c r="F2820" s="2">
        <v>44284.466736111113</v>
      </c>
      <c r="G2820" s="3">
        <v>6.3773148140171543E-3</v>
      </c>
      <c r="H2820" s="3">
        <v>554.35629468160244</v>
      </c>
      <c r="I2820" s="3">
        <v>9.2392715780267078</v>
      </c>
      <c r="J2820" s="3">
        <v>0.15398785963377845</v>
      </c>
      <c r="K2820" t="s">
        <v>93</v>
      </c>
    </row>
    <row r="2821" spans="1:11" x14ac:dyDescent="0.35">
      <c r="A2821">
        <v>2820</v>
      </c>
      <c r="B2821" t="s">
        <v>2</v>
      </c>
      <c r="C2821" t="s">
        <v>133</v>
      </c>
      <c r="D2821" t="s">
        <v>140</v>
      </c>
      <c r="E2821" s="2">
        <v>44284.466932870368</v>
      </c>
      <c r="F2821" s="2">
        <v>44284.486863425926</v>
      </c>
      <c r="G2821" s="3">
        <v>1.9930555557948537E-2</v>
      </c>
      <c r="H2821" s="3">
        <v>1732.4891827145807</v>
      </c>
      <c r="I2821" s="3">
        <v>28.874819711909677</v>
      </c>
      <c r="J2821" s="3">
        <v>0.48124699519849462</v>
      </c>
      <c r="K2821" t="s">
        <v>99</v>
      </c>
    </row>
    <row r="2822" spans="1:11" x14ac:dyDescent="0.35">
      <c r="A2822">
        <v>2821</v>
      </c>
      <c r="B2822" t="s">
        <v>16</v>
      </c>
      <c r="C2822" t="s">
        <v>16</v>
      </c>
      <c r="D2822" t="s">
        <v>140</v>
      </c>
      <c r="E2822" s="2">
        <v>44284.486990740741</v>
      </c>
      <c r="F2822" s="2">
        <v>44284.503032407411</v>
      </c>
      <c r="G2822" s="3">
        <v>1.6041666669480037E-2</v>
      </c>
      <c r="H2822" s="3">
        <v>1394.4425129937445</v>
      </c>
      <c r="I2822" s="3">
        <v>23.240708549895739</v>
      </c>
      <c r="J2822" s="3">
        <v>0.3873451424982623</v>
      </c>
    </row>
    <row r="2823" spans="1:11" x14ac:dyDescent="0.35">
      <c r="A2823">
        <v>2822</v>
      </c>
      <c r="B2823" t="s">
        <v>11</v>
      </c>
      <c r="C2823" t="s">
        <v>11</v>
      </c>
      <c r="D2823" t="s">
        <v>140</v>
      </c>
      <c r="E2823" s="2">
        <v>44284.503159722219</v>
      </c>
      <c r="F2823" s="2">
        <v>44284.610567129632</v>
      </c>
      <c r="G2823" s="3">
        <v>0.10740740741312038</v>
      </c>
      <c r="H2823" s="3">
        <v>9336.5270699861248</v>
      </c>
      <c r="I2823" s="3">
        <v>155.60878449976875</v>
      </c>
      <c r="J2823" s="3">
        <v>2.5934797416628124</v>
      </c>
    </row>
    <row r="2824" spans="1:11" x14ac:dyDescent="0.35">
      <c r="A2824">
        <v>2823</v>
      </c>
      <c r="B2824" t="s">
        <v>16</v>
      </c>
      <c r="C2824" t="s">
        <v>16</v>
      </c>
      <c r="D2824" t="s">
        <v>140</v>
      </c>
      <c r="E2824" s="2">
        <v>44284.610659722224</v>
      </c>
      <c r="F2824" s="2">
        <v>44284.643807870372</v>
      </c>
      <c r="G2824" s="3">
        <v>3.3148148148029577E-2</v>
      </c>
      <c r="H2824" s="3">
        <v>2881.4454231597338</v>
      </c>
      <c r="I2824" s="3">
        <v>48.024090385995564</v>
      </c>
      <c r="J2824" s="3">
        <v>0.80040150643325936</v>
      </c>
    </row>
    <row r="2825" spans="1:11" x14ac:dyDescent="0.35">
      <c r="A2825">
        <v>2824</v>
      </c>
      <c r="B2825" t="s">
        <v>2</v>
      </c>
      <c r="C2825" t="s">
        <v>132</v>
      </c>
      <c r="D2825" t="s">
        <v>140</v>
      </c>
      <c r="E2825" s="2">
        <v>44284.644224537034</v>
      </c>
      <c r="F2825" s="2">
        <v>44284.65384259259</v>
      </c>
      <c r="G2825" s="3">
        <v>9.6180555556202307E-3</v>
      </c>
      <c r="H2825" s="3">
        <v>836.06185288771121</v>
      </c>
      <c r="I2825" s="3">
        <v>13.934364214795186</v>
      </c>
      <c r="J2825" s="3">
        <v>0.23223940357991976</v>
      </c>
      <c r="K2825" t="s">
        <v>93</v>
      </c>
    </row>
    <row r="2826" spans="1:11" x14ac:dyDescent="0.35">
      <c r="A2826">
        <v>2825</v>
      </c>
      <c r="B2826" t="s">
        <v>2</v>
      </c>
      <c r="C2826" t="s">
        <v>132</v>
      </c>
      <c r="D2826" t="s">
        <v>140</v>
      </c>
      <c r="E2826" s="2">
        <v>44284.654097222221</v>
      </c>
      <c r="F2826" s="2">
        <v>44284.673668981479</v>
      </c>
      <c r="G2826" s="3">
        <v>1.9571759257814847E-2</v>
      </c>
      <c r="H2826" s="3">
        <v>1701.3003527307758</v>
      </c>
      <c r="I2826" s="3">
        <v>28.355005878846264</v>
      </c>
      <c r="J2826" s="3">
        <v>0.47258343131410441</v>
      </c>
      <c r="K2826" t="s">
        <v>41</v>
      </c>
    </row>
    <row r="2827" spans="1:11" x14ac:dyDescent="0.35">
      <c r="A2827">
        <v>2826</v>
      </c>
      <c r="B2827" t="s">
        <v>2</v>
      </c>
      <c r="C2827" t="s">
        <v>96</v>
      </c>
      <c r="D2827" t="s">
        <v>140</v>
      </c>
      <c r="E2827" s="2">
        <v>44284.673877314817</v>
      </c>
      <c r="F2827" s="2">
        <v>44284.741261574076</v>
      </c>
      <c r="G2827" s="3">
        <v>6.7384259258687962E-2</v>
      </c>
      <c r="H2827" s="3">
        <v>5857.463426520163</v>
      </c>
      <c r="I2827" s="3">
        <v>97.624390442002721</v>
      </c>
      <c r="J2827" s="3">
        <v>1.6270731740333786</v>
      </c>
    </row>
    <row r="2828" spans="1:11" x14ac:dyDescent="0.35">
      <c r="A2828">
        <v>2827</v>
      </c>
      <c r="B2828" t="s">
        <v>11</v>
      </c>
      <c r="C2828" t="s">
        <v>11</v>
      </c>
      <c r="D2828" t="s">
        <v>140</v>
      </c>
      <c r="E2828" s="2">
        <v>44284.741377314815</v>
      </c>
      <c r="F2828" s="2">
        <v>44284.786840277775</v>
      </c>
      <c r="G2828" s="3">
        <v>4.5462962960300501E-2</v>
      </c>
      <c r="H2828" s="3">
        <v>3951.9265438369698</v>
      </c>
      <c r="I2828" s="3">
        <v>65.865442397282834</v>
      </c>
      <c r="J2828" s="3">
        <v>1.0977573732880472</v>
      </c>
    </row>
    <row r="2829" spans="1:11" x14ac:dyDescent="0.35">
      <c r="A2829">
        <v>2828</v>
      </c>
      <c r="B2829" t="s">
        <v>11</v>
      </c>
      <c r="C2829" t="s">
        <v>11</v>
      </c>
      <c r="D2829" t="s">
        <v>140</v>
      </c>
      <c r="E2829" s="2">
        <v>44285.331689814811</v>
      </c>
      <c r="F2829" s="2">
        <v>44285.354201388887</v>
      </c>
      <c r="G2829" s="3">
        <v>2.2511574075906537E-2</v>
      </c>
      <c r="H2829" s="3">
        <v>1956.8475378917365</v>
      </c>
      <c r="I2829" s="3">
        <v>32.614125631528943</v>
      </c>
      <c r="J2829" s="3">
        <v>0.54356876052548242</v>
      </c>
    </row>
    <row r="2830" spans="1:11" x14ac:dyDescent="0.35">
      <c r="A2830">
        <v>2829</v>
      </c>
      <c r="B2830" t="s">
        <v>2</v>
      </c>
      <c r="C2830" t="s">
        <v>132</v>
      </c>
      <c r="D2830" t="s">
        <v>140</v>
      </c>
      <c r="E2830" s="2">
        <v>44285.354675925926</v>
      </c>
      <c r="F2830" s="2">
        <v>44285.372696759259</v>
      </c>
      <c r="G2830" s="3">
        <v>1.8020833333139308E-2</v>
      </c>
      <c r="H2830" s="3">
        <v>1566.4841214481316</v>
      </c>
      <c r="I2830" s="3">
        <v>26.108068690802195</v>
      </c>
      <c r="J2830" s="3">
        <v>0.43513447818003659</v>
      </c>
      <c r="K2830" t="s">
        <v>93</v>
      </c>
    </row>
    <row r="2831" spans="1:11" x14ac:dyDescent="0.35">
      <c r="A2831">
        <v>2830</v>
      </c>
      <c r="B2831" t="s">
        <v>2</v>
      </c>
      <c r="C2831" t="s">
        <v>72</v>
      </c>
      <c r="D2831" t="s">
        <v>140</v>
      </c>
      <c r="E2831" s="2">
        <v>44285.372858796298</v>
      </c>
      <c r="F2831" s="2">
        <v>44285.40111111111</v>
      </c>
      <c r="G2831" s="3">
        <v>2.8252314812561963E-2</v>
      </c>
      <c r="H2831" s="3">
        <v>2455.868811940365</v>
      </c>
      <c r="I2831" s="3">
        <v>40.931146865672751</v>
      </c>
      <c r="J2831" s="3">
        <v>0.68218578109454586</v>
      </c>
      <c r="K2831" t="s">
        <v>73</v>
      </c>
    </row>
    <row r="2832" spans="1:11" x14ac:dyDescent="0.35">
      <c r="A2832">
        <v>2831</v>
      </c>
      <c r="B2832" t="s">
        <v>2</v>
      </c>
      <c r="C2832" t="s">
        <v>96</v>
      </c>
      <c r="D2832" t="s">
        <v>140</v>
      </c>
      <c r="E2832" s="2">
        <v>44285.401377314818</v>
      </c>
      <c r="F2832" s="2">
        <v>44285.408495370371</v>
      </c>
      <c r="G2832" s="3">
        <v>7.1180555532919243E-3</v>
      </c>
      <c r="H2832" s="3">
        <v>618.74613641271935</v>
      </c>
      <c r="I2832" s="3">
        <v>10.312435606878656</v>
      </c>
      <c r="J2832" s="3">
        <v>0.17187392678131094</v>
      </c>
    </row>
    <row r="2833" spans="1:11" x14ac:dyDescent="0.35">
      <c r="A2833">
        <v>2832</v>
      </c>
      <c r="B2833" t="s">
        <v>2</v>
      </c>
      <c r="C2833" t="s">
        <v>132</v>
      </c>
      <c r="D2833" t="s">
        <v>140</v>
      </c>
      <c r="E2833" s="2">
        <v>44285.408761574072</v>
      </c>
      <c r="F2833" s="2">
        <v>44285.414768518516</v>
      </c>
      <c r="G2833" s="3">
        <v>6.0069444443797693E-3</v>
      </c>
      <c r="H2833" s="3">
        <v>522.16137381604392</v>
      </c>
      <c r="I2833" s="3">
        <v>8.7026895636007318</v>
      </c>
      <c r="J2833" s="3">
        <v>0.14504482606001221</v>
      </c>
      <c r="K2833" t="s">
        <v>93</v>
      </c>
    </row>
    <row r="2834" spans="1:11" x14ac:dyDescent="0.35">
      <c r="A2834">
        <v>2833</v>
      </c>
      <c r="B2834" t="s">
        <v>2</v>
      </c>
      <c r="C2834" t="s">
        <v>132</v>
      </c>
      <c r="D2834" t="s">
        <v>140</v>
      </c>
      <c r="E2834" s="2">
        <v>44285.415046296293</v>
      </c>
      <c r="F2834" s="2">
        <v>44285.418541666666</v>
      </c>
      <c r="G2834" s="3">
        <v>3.4953703725477681E-3</v>
      </c>
      <c r="H2834" s="3">
        <v>303.83956645929834</v>
      </c>
      <c r="I2834" s="3">
        <v>5.0639927743216386</v>
      </c>
      <c r="J2834" s="3">
        <v>8.4399879572027312E-2</v>
      </c>
      <c r="K2834" t="s">
        <v>42</v>
      </c>
    </row>
    <row r="2835" spans="1:11" x14ac:dyDescent="0.35">
      <c r="A2835">
        <v>2834</v>
      </c>
      <c r="B2835" t="s">
        <v>2</v>
      </c>
      <c r="C2835" t="s">
        <v>133</v>
      </c>
      <c r="D2835" t="s">
        <v>140</v>
      </c>
      <c r="E2835" s="2">
        <v>44285.418958333335</v>
      </c>
      <c r="F2835" s="2">
        <v>44285.453958333332</v>
      </c>
      <c r="G2835" s="3">
        <v>3.4999999996216502E-2</v>
      </c>
      <c r="H2835" s="3">
        <v>3042.4200274875261</v>
      </c>
      <c r="I2835" s="3">
        <v>50.707000458125435</v>
      </c>
      <c r="J2835" s="3">
        <v>0.84511667430209059</v>
      </c>
      <c r="K2835" t="s">
        <v>99</v>
      </c>
    </row>
    <row r="2836" spans="1:11" x14ac:dyDescent="0.35">
      <c r="A2836">
        <v>2835</v>
      </c>
      <c r="B2836" t="s">
        <v>2</v>
      </c>
      <c r="C2836" t="s">
        <v>96</v>
      </c>
      <c r="D2836" t="s">
        <v>140</v>
      </c>
      <c r="E2836" s="2">
        <v>44285.454340277778</v>
      </c>
      <c r="F2836" s="2">
        <v>44285.467048611114</v>
      </c>
      <c r="G2836" s="3">
        <v>1.2708333335467614E-2</v>
      </c>
      <c r="H2836" s="3">
        <v>1104.6882245712459</v>
      </c>
      <c r="I2836" s="3">
        <v>18.411470409520764</v>
      </c>
      <c r="J2836" s="3">
        <v>0.3068578401586794</v>
      </c>
    </row>
    <row r="2837" spans="1:11" x14ac:dyDescent="0.35">
      <c r="A2837">
        <v>2836</v>
      </c>
      <c r="B2837" t="s">
        <v>2</v>
      </c>
      <c r="C2837" t="s">
        <v>96</v>
      </c>
      <c r="D2837" t="s">
        <v>140</v>
      </c>
      <c r="E2837" s="2">
        <v>44285.467164351852</v>
      </c>
      <c r="F2837" s="2">
        <v>44285.471979166665</v>
      </c>
      <c r="G2837" s="3">
        <v>4.8148148125619628E-3</v>
      </c>
      <c r="H2837" s="3">
        <v>418.53397188473247</v>
      </c>
      <c r="I2837" s="3">
        <v>6.9755661980788748</v>
      </c>
      <c r="J2837" s="3">
        <v>0.11625943663464791</v>
      </c>
    </row>
    <row r="2838" spans="1:11" x14ac:dyDescent="0.35">
      <c r="A2838">
        <v>2837</v>
      </c>
      <c r="B2838" t="s">
        <v>2</v>
      </c>
      <c r="C2838" t="s">
        <v>96</v>
      </c>
      <c r="D2838" t="s">
        <v>140</v>
      </c>
      <c r="E2838" s="2">
        <v>44285.472187500003</v>
      </c>
      <c r="F2838" s="2">
        <v>44285.487708333334</v>
      </c>
      <c r="G2838" s="3">
        <v>1.5520833330811001E-2</v>
      </c>
      <c r="H2838" s="3">
        <v>1349.1684049731398</v>
      </c>
      <c r="I2838" s="3">
        <v>22.486140082885662</v>
      </c>
      <c r="J2838" s="3">
        <v>0.37476900138142771</v>
      </c>
    </row>
    <row r="2839" spans="1:11" x14ac:dyDescent="0.35">
      <c r="A2839">
        <v>2838</v>
      </c>
      <c r="B2839" t="s">
        <v>16</v>
      </c>
      <c r="C2839" t="s">
        <v>16</v>
      </c>
      <c r="D2839" t="s">
        <v>140</v>
      </c>
      <c r="E2839" s="2">
        <v>44285.488020833334</v>
      </c>
      <c r="F2839" s="2">
        <v>44285.534189814818</v>
      </c>
      <c r="G2839" s="3">
        <v>4.616898148378823E-2</v>
      </c>
      <c r="H2839" s="3">
        <v>4013.2981122903534</v>
      </c>
      <c r="I2839" s="3">
        <v>66.888301871505888</v>
      </c>
      <c r="J2839" s="3">
        <v>1.1148050311917648</v>
      </c>
    </row>
    <row r="2840" spans="1:11" x14ac:dyDescent="0.35">
      <c r="A2840">
        <v>2839</v>
      </c>
      <c r="B2840" t="s">
        <v>11</v>
      </c>
      <c r="C2840" t="s">
        <v>11</v>
      </c>
      <c r="D2840" t="s">
        <v>140</v>
      </c>
      <c r="E2840" s="2">
        <v>44285.534398148149</v>
      </c>
      <c r="F2840" s="2">
        <v>44285.547013888892</v>
      </c>
      <c r="G2840" s="3">
        <v>1.2615740743058268E-2</v>
      </c>
      <c r="H2840" s="3">
        <v>1096.6394943548564</v>
      </c>
      <c r="I2840" s="3">
        <v>18.277324905914274</v>
      </c>
      <c r="J2840" s="3">
        <v>0.30462208176523792</v>
      </c>
    </row>
    <row r="2841" spans="1:11" x14ac:dyDescent="0.35">
      <c r="A2841">
        <v>2840</v>
      </c>
      <c r="B2841" t="s">
        <v>2</v>
      </c>
      <c r="C2841" t="s">
        <v>136</v>
      </c>
      <c r="D2841" t="s">
        <v>140</v>
      </c>
      <c r="E2841" s="2">
        <v>44285.547210648147</v>
      </c>
      <c r="F2841" s="2">
        <v>44285.62599537037</v>
      </c>
      <c r="G2841" s="3">
        <v>7.8784722223645076E-2</v>
      </c>
      <c r="H2841" s="3">
        <v>6848.4633365477284</v>
      </c>
      <c r="I2841" s="3">
        <v>114.14105560912881</v>
      </c>
      <c r="J2841" s="3">
        <v>1.9023509268188135</v>
      </c>
      <c r="K2841" t="s">
        <v>90</v>
      </c>
    </row>
    <row r="2842" spans="1:11" x14ac:dyDescent="0.35">
      <c r="A2842">
        <v>2841</v>
      </c>
      <c r="B2842" t="s">
        <v>2</v>
      </c>
      <c r="C2842" t="s">
        <v>132</v>
      </c>
      <c r="D2842" t="s">
        <v>140</v>
      </c>
      <c r="E2842" s="2">
        <v>44285.626168981478</v>
      </c>
      <c r="F2842" s="2">
        <v>44285.637187499997</v>
      </c>
      <c r="G2842" s="3">
        <v>1.1018518518540077E-2</v>
      </c>
      <c r="H2842" s="3">
        <v>957.79889764778136</v>
      </c>
      <c r="I2842" s="3">
        <v>15.963314960796357</v>
      </c>
      <c r="J2842" s="3">
        <v>0.26605524934660596</v>
      </c>
      <c r="K2842" t="s">
        <v>42</v>
      </c>
    </row>
    <row r="2843" spans="1:11" x14ac:dyDescent="0.35">
      <c r="A2843">
        <v>2842</v>
      </c>
      <c r="B2843" t="s">
        <v>2</v>
      </c>
      <c r="C2843" t="s">
        <v>132</v>
      </c>
      <c r="D2843" t="s">
        <v>140</v>
      </c>
      <c r="E2843" s="2">
        <v>44285.637384259258</v>
      </c>
      <c r="F2843" s="2">
        <v>44285.662754629629</v>
      </c>
      <c r="G2843" s="3">
        <v>2.5370370371092577E-2</v>
      </c>
      <c r="H2843" s="3">
        <v>2205.3520837180613</v>
      </c>
      <c r="I2843" s="3">
        <v>36.755868061967689</v>
      </c>
      <c r="J2843" s="3">
        <v>0.61259780103279482</v>
      </c>
      <c r="K2843" t="s">
        <v>93</v>
      </c>
    </row>
    <row r="2844" spans="1:11" x14ac:dyDescent="0.35">
      <c r="A2844">
        <v>2843</v>
      </c>
      <c r="B2844" t="s">
        <v>11</v>
      </c>
      <c r="C2844" t="s">
        <v>11</v>
      </c>
      <c r="D2844" t="s">
        <v>140</v>
      </c>
      <c r="E2844" s="2">
        <v>44285.662881944445</v>
      </c>
      <c r="F2844" s="2">
        <v>44285.674537037034</v>
      </c>
      <c r="G2844" s="3">
        <v>1.1655092588625848E-2</v>
      </c>
      <c r="H2844" s="3">
        <v>1013.133917648283</v>
      </c>
      <c r="I2844" s="3">
        <v>16.885565294138051</v>
      </c>
      <c r="J2844" s="3">
        <v>0.2814260882356342</v>
      </c>
    </row>
    <row r="2845" spans="1:11" x14ac:dyDescent="0.35">
      <c r="A2845">
        <v>2844</v>
      </c>
      <c r="B2845" t="s">
        <v>2</v>
      </c>
      <c r="C2845" t="s">
        <v>133</v>
      </c>
      <c r="D2845" t="s">
        <v>140</v>
      </c>
      <c r="E2845" s="2">
        <v>44285.674768518518</v>
      </c>
      <c r="F2845" s="2">
        <v>44285.693981481483</v>
      </c>
      <c r="G2845" s="3">
        <v>1.9212962964957114E-2</v>
      </c>
      <c r="H2845" s="3">
        <v>1670.111523379443</v>
      </c>
      <c r="I2845" s="3">
        <v>27.83519205632405</v>
      </c>
      <c r="J2845" s="3">
        <v>0.46391986760540083</v>
      </c>
      <c r="K2845" t="s">
        <v>99</v>
      </c>
    </row>
    <row r="2846" spans="1:11" x14ac:dyDescent="0.35">
      <c r="A2846">
        <v>2845</v>
      </c>
      <c r="B2846" t="s">
        <v>2</v>
      </c>
      <c r="C2846" t="s">
        <v>132</v>
      </c>
      <c r="D2846" t="s">
        <v>140</v>
      </c>
      <c r="E2846" s="2">
        <v>44285.69427083333</v>
      </c>
      <c r="F2846" s="2">
        <v>44285.70144675926</v>
      </c>
      <c r="G2846" s="3">
        <v>7.1759259299142286E-3</v>
      </c>
      <c r="H2846" s="3">
        <v>623.77659335137594</v>
      </c>
      <c r="I2846" s="3">
        <v>10.396276555856266</v>
      </c>
      <c r="J2846" s="3">
        <v>0.17327127593093777</v>
      </c>
      <c r="K2846" t="s">
        <v>42</v>
      </c>
    </row>
    <row r="2847" spans="1:11" x14ac:dyDescent="0.35">
      <c r="A2847">
        <v>2846</v>
      </c>
      <c r="B2847" t="s">
        <v>2</v>
      </c>
      <c r="C2847" t="s">
        <v>133</v>
      </c>
      <c r="D2847" t="s">
        <v>140</v>
      </c>
      <c r="E2847" s="2">
        <v>44285.701597222222</v>
      </c>
      <c r="F2847" s="2">
        <v>44285.724594907406</v>
      </c>
      <c r="G2847" s="3">
        <v>2.2997685184236616E-2</v>
      </c>
      <c r="H2847" s="3">
        <v>1999.103371369664</v>
      </c>
      <c r="I2847" s="3">
        <v>33.318389522827736</v>
      </c>
      <c r="J2847" s="3">
        <v>0.5553064920471289</v>
      </c>
      <c r="K2847" t="s">
        <v>99</v>
      </c>
    </row>
    <row r="2848" spans="1:11" x14ac:dyDescent="0.35">
      <c r="A2848">
        <v>2847</v>
      </c>
      <c r="B2848" t="s">
        <v>11</v>
      </c>
      <c r="C2848" t="s">
        <v>11</v>
      </c>
      <c r="D2848" t="s">
        <v>140</v>
      </c>
      <c r="E2848" s="2">
        <v>44285.724699074075</v>
      </c>
      <c r="F2848" s="2">
        <v>44285.788564814815</v>
      </c>
      <c r="G2848" s="3">
        <v>6.3865740739856847E-2</v>
      </c>
      <c r="H2848" s="3">
        <v>5551.611677664886</v>
      </c>
      <c r="I2848" s="3">
        <v>92.526861294414772</v>
      </c>
      <c r="J2848" s="3">
        <v>1.542114354906913</v>
      </c>
    </row>
    <row r="2849" spans="1:11" x14ac:dyDescent="0.35">
      <c r="A2849">
        <v>2848</v>
      </c>
      <c r="B2849" t="s">
        <v>2</v>
      </c>
      <c r="C2849" t="s">
        <v>72</v>
      </c>
      <c r="D2849" t="s">
        <v>140</v>
      </c>
      <c r="E2849" s="2">
        <v>44286.33253472222</v>
      </c>
      <c r="F2849" s="2">
        <v>44286.350636574076</v>
      </c>
      <c r="G2849" s="3">
        <v>1.8101851856044959E-2</v>
      </c>
      <c r="H2849" s="3">
        <v>1573.5267607827675</v>
      </c>
      <c r="I2849" s="3">
        <v>26.225446013046124</v>
      </c>
      <c r="J2849" s="3">
        <v>0.43709076688410209</v>
      </c>
      <c r="K2849" t="s">
        <v>73</v>
      </c>
    </row>
    <row r="2850" spans="1:11" x14ac:dyDescent="0.35">
      <c r="A2850">
        <v>2849</v>
      </c>
      <c r="B2850" t="s">
        <v>2</v>
      </c>
      <c r="C2850" t="s">
        <v>132</v>
      </c>
      <c r="D2850" t="s">
        <v>140</v>
      </c>
      <c r="E2850" s="2">
        <v>44286.350949074076</v>
      </c>
      <c r="F2850" s="2">
        <v>44286.372291666667</v>
      </c>
      <c r="G2850" s="3">
        <v>2.1342592590372078E-2</v>
      </c>
      <c r="H2850" s="3">
        <v>1855.2323183564044</v>
      </c>
      <c r="I2850" s="3">
        <v>30.920538639273406</v>
      </c>
      <c r="J2850" s="3">
        <v>0.51534231065455682</v>
      </c>
      <c r="K2850" t="s">
        <v>93</v>
      </c>
    </row>
    <row r="2851" spans="1:11" x14ac:dyDescent="0.35">
      <c r="A2851">
        <v>2850</v>
      </c>
      <c r="B2851" t="s">
        <v>2</v>
      </c>
      <c r="C2851" t="s">
        <v>132</v>
      </c>
      <c r="D2851" t="s">
        <v>140</v>
      </c>
      <c r="E2851" s="2">
        <v>44286.372453703705</v>
      </c>
      <c r="F2851" s="2">
        <v>44286.375</v>
      </c>
      <c r="G2851" s="3">
        <v>2.5462962948950008E-3</v>
      </c>
      <c r="H2851" s="3">
        <v>221.34008126695068</v>
      </c>
      <c r="I2851" s="3">
        <v>3.6890013544491778</v>
      </c>
      <c r="J2851" s="3">
        <v>6.1483355907486298E-2</v>
      </c>
      <c r="K2851" t="s">
        <v>93</v>
      </c>
    </row>
    <row r="2852" spans="1:11" x14ac:dyDescent="0.35">
      <c r="A2852">
        <v>2851</v>
      </c>
      <c r="B2852" t="s">
        <v>2</v>
      </c>
      <c r="C2852" t="s">
        <v>132</v>
      </c>
      <c r="D2852" t="s">
        <v>140</v>
      </c>
      <c r="E2852" s="2">
        <v>44286.375428240739</v>
      </c>
      <c r="F2852" s="2">
        <v>44286.47861111111</v>
      </c>
      <c r="G2852" s="3">
        <v>0.10318287037080154</v>
      </c>
      <c r="H2852" s="3">
        <v>8969.3037526774624</v>
      </c>
      <c r="I2852" s="3">
        <v>149.48839587795771</v>
      </c>
      <c r="J2852" s="3">
        <v>2.4914732646326287</v>
      </c>
      <c r="K2852" t="s">
        <v>42</v>
      </c>
    </row>
    <row r="2853" spans="1:11" x14ac:dyDescent="0.35">
      <c r="A2853">
        <v>2852</v>
      </c>
      <c r="B2853" t="s">
        <v>2</v>
      </c>
      <c r="C2853" t="s">
        <v>132</v>
      </c>
      <c r="D2853" t="s">
        <v>140</v>
      </c>
      <c r="E2853" s="2">
        <v>44286.478796296295</v>
      </c>
      <c r="F2853" s="2">
        <v>44286.508831018517</v>
      </c>
      <c r="G2853" s="3">
        <v>3.0034722221898846E-2</v>
      </c>
      <c r="H2853" s="3">
        <v>2610.8068690802193</v>
      </c>
      <c r="I2853" s="3">
        <v>43.513447818003655</v>
      </c>
      <c r="J2853" s="3">
        <v>0.72522413030006094</v>
      </c>
      <c r="K2853" t="s">
        <v>93</v>
      </c>
    </row>
    <row r="2854" spans="1:11" x14ac:dyDescent="0.35">
      <c r="A2854">
        <v>2853</v>
      </c>
      <c r="B2854" t="s">
        <v>2</v>
      </c>
      <c r="C2854" t="s">
        <v>132</v>
      </c>
      <c r="D2854" t="s">
        <v>140</v>
      </c>
      <c r="E2854" s="2">
        <v>44286.509120370371</v>
      </c>
      <c r="F2854" s="2">
        <v>44286.521354166667</v>
      </c>
      <c r="G2854" s="3">
        <v>1.2233796296641231E-2</v>
      </c>
      <c r="H2854" s="3">
        <v>1063.4384819750721</v>
      </c>
      <c r="I2854" s="3">
        <v>17.723974699584534</v>
      </c>
      <c r="J2854" s="3">
        <v>0.2953995783264089</v>
      </c>
      <c r="K2854" t="s">
        <v>93</v>
      </c>
    </row>
    <row r="2855" spans="1:11" x14ac:dyDescent="0.35">
      <c r="A2855">
        <v>2854</v>
      </c>
      <c r="B2855" t="s">
        <v>16</v>
      </c>
      <c r="C2855" t="s">
        <v>16</v>
      </c>
      <c r="D2855" t="s">
        <v>140</v>
      </c>
      <c r="E2855" s="2">
        <v>44286.521458333336</v>
      </c>
      <c r="F2855" s="2">
        <v>44286.559490740743</v>
      </c>
      <c r="G2855" s="3">
        <v>3.8032407406717539E-2</v>
      </c>
      <c r="H2855" s="3">
        <v>3306.0159428648763</v>
      </c>
      <c r="I2855" s="3">
        <v>55.100265714414604</v>
      </c>
      <c r="J2855" s="3">
        <v>0.91833776190691008</v>
      </c>
    </row>
    <row r="2856" spans="1:11" x14ac:dyDescent="0.35">
      <c r="A2856">
        <v>2855</v>
      </c>
      <c r="B2856" t="s">
        <v>2</v>
      </c>
      <c r="C2856" t="s">
        <v>132</v>
      </c>
      <c r="D2856" t="s">
        <v>140</v>
      </c>
      <c r="E2856" s="2">
        <v>44286.559988425928</v>
      </c>
      <c r="F2856" s="2">
        <v>44286.562789351854</v>
      </c>
      <c r="G2856" s="3">
        <v>2.8009259258396924E-3</v>
      </c>
      <c r="H2856" s="3">
        <v>243.47408952014015</v>
      </c>
      <c r="I2856" s="3">
        <v>4.057901492002336</v>
      </c>
      <c r="J2856" s="3">
        <v>6.7631691533372271E-2</v>
      </c>
      <c r="K2856" t="s">
        <v>93</v>
      </c>
    </row>
    <row r="2857" spans="1:11" x14ac:dyDescent="0.35">
      <c r="A2857">
        <v>2856</v>
      </c>
      <c r="B2857" t="s">
        <v>2</v>
      </c>
      <c r="C2857" t="s">
        <v>132</v>
      </c>
      <c r="D2857" t="s">
        <v>140</v>
      </c>
      <c r="E2857" s="2">
        <v>44286.562962962962</v>
      </c>
      <c r="F2857" s="2">
        <v>44286.582291666666</v>
      </c>
      <c r="G2857" s="3">
        <v>1.9328703703649808E-2</v>
      </c>
      <c r="H2857" s="3">
        <v>1680.1724359918121</v>
      </c>
      <c r="I2857" s="3">
        <v>28.00287393319687</v>
      </c>
      <c r="J2857" s="3">
        <v>0.46671456555328117</v>
      </c>
      <c r="K2857" t="s">
        <v>42</v>
      </c>
    </row>
    <row r="2858" spans="1:11" x14ac:dyDescent="0.35">
      <c r="A2858">
        <v>2857</v>
      </c>
      <c r="B2858" t="s">
        <v>2</v>
      </c>
      <c r="C2858" t="s">
        <v>133</v>
      </c>
      <c r="D2858" t="s">
        <v>140</v>
      </c>
      <c r="E2858" s="2">
        <v>44286.58252314815</v>
      </c>
      <c r="F2858" s="2">
        <v>44286.587523148148</v>
      </c>
      <c r="G2858" s="3">
        <v>4.9999999973806553E-3</v>
      </c>
      <c r="H2858" s="3">
        <v>434.63143231751172</v>
      </c>
      <c r="I2858" s="3">
        <v>7.2438572052918619</v>
      </c>
      <c r="J2858" s="3">
        <v>0.12073095342153103</v>
      </c>
      <c r="K2858" t="s">
        <v>99</v>
      </c>
    </row>
    <row r="2859" spans="1:11" x14ac:dyDescent="0.35">
      <c r="A2859">
        <v>2858</v>
      </c>
      <c r="B2859" t="s">
        <v>11</v>
      </c>
      <c r="C2859" t="s">
        <v>11</v>
      </c>
      <c r="D2859" t="s">
        <v>140</v>
      </c>
      <c r="E2859" s="2">
        <v>44286.587650462963</v>
      </c>
      <c r="F2859" s="2">
        <v>44286.603587962964</v>
      </c>
      <c r="G2859" s="3">
        <v>1.5937500000291038E-2</v>
      </c>
      <c r="H2859" s="3">
        <v>1385.3876912631292</v>
      </c>
      <c r="I2859" s="3">
        <v>23.089794854385488</v>
      </c>
      <c r="J2859" s="3">
        <v>0.38482991423975815</v>
      </c>
    </row>
    <row r="2860" spans="1:11" x14ac:dyDescent="0.35">
      <c r="A2860">
        <v>2859</v>
      </c>
      <c r="B2860" t="s">
        <v>2</v>
      </c>
      <c r="C2860" t="s">
        <v>133</v>
      </c>
      <c r="D2860" t="s">
        <v>140</v>
      </c>
      <c r="E2860" s="2">
        <v>44286.604074074072</v>
      </c>
      <c r="F2860" s="2">
        <v>44286.661863425928</v>
      </c>
      <c r="G2860" s="3">
        <v>5.7789351856627036E-2</v>
      </c>
      <c r="H2860" s="3">
        <v>5023.4137566609033</v>
      </c>
      <c r="I2860" s="3">
        <v>83.723562611015055</v>
      </c>
      <c r="J2860" s="3">
        <v>1.3953927101835844</v>
      </c>
      <c r="K2860" t="s">
        <v>99</v>
      </c>
    </row>
    <row r="2861" spans="1:11" x14ac:dyDescent="0.35">
      <c r="A2861">
        <v>2860</v>
      </c>
      <c r="B2861" t="s">
        <v>2</v>
      </c>
      <c r="C2861" t="s">
        <v>96</v>
      </c>
      <c r="D2861" t="s">
        <v>140</v>
      </c>
      <c r="E2861" s="2">
        <v>44286.662164351852</v>
      </c>
      <c r="F2861" s="2">
        <v>44286.665451388886</v>
      </c>
      <c r="G2861" s="3">
        <v>3.2870370341697708E-3</v>
      </c>
      <c r="H2861" s="3">
        <v>285.72992299806771</v>
      </c>
      <c r="I2861" s="3">
        <v>4.7621653833011282</v>
      </c>
      <c r="J2861" s="3">
        <v>7.9369423055018803E-2</v>
      </c>
    </row>
    <row r="2862" spans="1:11" x14ac:dyDescent="0.35">
      <c r="A2862">
        <v>2861</v>
      </c>
      <c r="B2862" t="s">
        <v>2</v>
      </c>
      <c r="C2862" t="s">
        <v>133</v>
      </c>
      <c r="D2862" t="s">
        <v>140</v>
      </c>
      <c r="E2862" s="2">
        <v>44286.665625000001</v>
      </c>
      <c r="F2862" s="2">
        <v>44286.672199074077</v>
      </c>
      <c r="G2862" s="3">
        <v>6.5740740756154992E-3</v>
      </c>
      <c r="H2862" s="3">
        <v>571.45984662860735</v>
      </c>
      <c r="I2862" s="3">
        <v>9.5243307771434562</v>
      </c>
      <c r="J2862" s="3">
        <v>0.15873884628572427</v>
      </c>
      <c r="K2862" t="s">
        <v>99</v>
      </c>
    </row>
    <row r="2863" spans="1:11" x14ac:dyDescent="0.35">
      <c r="A2863">
        <v>2862</v>
      </c>
      <c r="B2863" t="s">
        <v>2</v>
      </c>
      <c r="C2863" t="s">
        <v>96</v>
      </c>
      <c r="D2863" t="s">
        <v>140</v>
      </c>
      <c r="E2863" s="2">
        <v>44286.672384259262</v>
      </c>
      <c r="F2863" s="2">
        <v>44286.678900462961</v>
      </c>
      <c r="G2863" s="3">
        <v>6.5162036989931948E-3</v>
      </c>
      <c r="H2863" s="3">
        <v>566.42938968995088</v>
      </c>
      <c r="I2863" s="3">
        <v>9.4404898281658483</v>
      </c>
      <c r="J2863" s="3">
        <v>0.15734149713609746</v>
      </c>
    </row>
    <row r="2864" spans="1:11" x14ac:dyDescent="0.35">
      <c r="A2864">
        <v>2863</v>
      </c>
      <c r="B2864" t="s">
        <v>2</v>
      </c>
      <c r="C2864" t="s">
        <v>133</v>
      </c>
      <c r="D2864" t="s">
        <v>140</v>
      </c>
      <c r="E2864" s="2">
        <v>44286.679282407407</v>
      </c>
      <c r="F2864" s="2">
        <v>44286.685162037036</v>
      </c>
      <c r="G2864" s="3">
        <v>5.8796296289074235E-3</v>
      </c>
      <c r="H2864" s="3">
        <v>511.09436968944914</v>
      </c>
      <c r="I2864" s="3">
        <v>8.5182394948241527</v>
      </c>
      <c r="J2864" s="3">
        <v>0.1419706582470692</v>
      </c>
      <c r="K2864" t="s">
        <v>99</v>
      </c>
    </row>
    <row r="2865" spans="1:11" x14ac:dyDescent="0.35">
      <c r="A2865">
        <v>2864</v>
      </c>
      <c r="B2865" t="s">
        <v>11</v>
      </c>
      <c r="C2865" t="s">
        <v>11</v>
      </c>
      <c r="D2865" t="s">
        <v>140</v>
      </c>
      <c r="E2865" s="2">
        <v>44286.685439814813</v>
      </c>
      <c r="F2865" s="2">
        <v>44286.751712962963</v>
      </c>
      <c r="G2865" s="3">
        <v>6.6273148149775807E-2</v>
      </c>
      <c r="H2865" s="3">
        <v>5760.8786639234877</v>
      </c>
      <c r="I2865" s="3">
        <v>96.014644398724798</v>
      </c>
      <c r="J2865" s="3">
        <v>1.60024407331208</v>
      </c>
    </row>
    <row r="2866" spans="1:11" x14ac:dyDescent="0.35">
      <c r="A2866">
        <v>2865</v>
      </c>
      <c r="B2866" t="s">
        <v>2</v>
      </c>
      <c r="C2866" t="s">
        <v>132</v>
      </c>
      <c r="D2866" t="s">
        <v>140</v>
      </c>
      <c r="E2866" s="2">
        <v>44286.751886574071</v>
      </c>
      <c r="F2866" s="2">
        <v>44286.76222222222</v>
      </c>
      <c r="G2866" s="3">
        <v>1.0335648148611654E-2</v>
      </c>
      <c r="H2866" s="3">
        <v>898.43951222284886</v>
      </c>
      <c r="I2866" s="3">
        <v>14.973991870380814</v>
      </c>
      <c r="J2866" s="3">
        <v>0.24956653117301358</v>
      </c>
      <c r="K2866" t="s">
        <v>42</v>
      </c>
    </row>
    <row r="2867" spans="1:11" x14ac:dyDescent="0.35">
      <c r="A2867">
        <v>2866</v>
      </c>
      <c r="B2867" t="s">
        <v>11</v>
      </c>
      <c r="C2867" t="s">
        <v>11</v>
      </c>
      <c r="D2867" t="s">
        <v>140</v>
      </c>
      <c r="E2867" s="2">
        <v>44286.762326388889</v>
      </c>
      <c r="F2867" s="2">
        <v>44286.802384259259</v>
      </c>
      <c r="G2867" s="3">
        <v>4.0057870370219462E-2</v>
      </c>
      <c r="H2867" s="3">
        <v>3482.0819167436944</v>
      </c>
      <c r="I2867" s="3">
        <v>58.034698612394905</v>
      </c>
      <c r="J2867" s="3">
        <v>0.9672449768732484</v>
      </c>
    </row>
    <row r="2868" spans="1:11" x14ac:dyDescent="0.35">
      <c r="A2868">
        <v>2867</v>
      </c>
      <c r="B2868" t="s">
        <v>2</v>
      </c>
      <c r="C2868" t="s">
        <v>72</v>
      </c>
      <c r="D2868" t="s">
        <v>140</v>
      </c>
      <c r="E2868" s="2">
        <v>44287.333275462966</v>
      </c>
      <c r="F2868" s="2">
        <v>44287.394803240742</v>
      </c>
      <c r="G2868" s="3">
        <v>6.1527777776063886E-2</v>
      </c>
      <c r="H2868" s="3">
        <v>5348.3812392266937</v>
      </c>
      <c r="I2868" s="3">
        <v>89.139687320444892</v>
      </c>
      <c r="J2868" s="3">
        <v>1.4856614553407481</v>
      </c>
      <c r="K2868" t="s">
        <v>73</v>
      </c>
    </row>
    <row r="2869" spans="1:11" x14ac:dyDescent="0.35">
      <c r="A2869">
        <v>2868</v>
      </c>
      <c r="B2869" t="s">
        <v>2</v>
      </c>
      <c r="C2869" t="s">
        <v>132</v>
      </c>
      <c r="D2869" t="s">
        <v>140</v>
      </c>
      <c r="E2869" s="2">
        <v>44287.394965277781</v>
      </c>
      <c r="F2869" s="2">
        <v>44287.397557870368</v>
      </c>
      <c r="G2869" s="3">
        <v>2.5925925874616951E-3</v>
      </c>
      <c r="H2869" s="3">
        <v>225.36444605890949</v>
      </c>
      <c r="I2869" s="3">
        <v>3.756074100981825</v>
      </c>
      <c r="J2869" s="3">
        <v>6.2601235016363749E-2</v>
      </c>
      <c r="K2869" t="s">
        <v>93</v>
      </c>
    </row>
    <row r="2870" spans="1:11" x14ac:dyDescent="0.35">
      <c r="A2870">
        <v>2869</v>
      </c>
      <c r="B2870" t="s">
        <v>11</v>
      </c>
      <c r="C2870" t="s">
        <v>11</v>
      </c>
      <c r="D2870" t="s">
        <v>140</v>
      </c>
      <c r="E2870" s="2">
        <v>44287.397719907407</v>
      </c>
      <c r="F2870" s="2">
        <v>44287.407025462962</v>
      </c>
      <c r="G2870" s="3">
        <v>9.3055555553291924E-3</v>
      </c>
      <c r="H2870" s="3">
        <v>808.89738832833723</v>
      </c>
      <c r="I2870" s="3">
        <v>13.48162313880562</v>
      </c>
      <c r="J2870" s="3">
        <v>0.22469371898009366</v>
      </c>
    </row>
    <row r="2871" spans="1:11" x14ac:dyDescent="0.35">
      <c r="A2871">
        <v>2870</v>
      </c>
      <c r="B2871" t="s">
        <v>2</v>
      </c>
      <c r="C2871" t="s">
        <v>96</v>
      </c>
      <c r="D2871" t="s">
        <v>140</v>
      </c>
      <c r="E2871" s="2">
        <v>44287.407256944447</v>
      </c>
      <c r="F2871" s="2">
        <v>44287.437152777777</v>
      </c>
      <c r="G2871" s="3">
        <v>2.9895833329646848E-2</v>
      </c>
      <c r="H2871" s="3">
        <v>2598.7337734393991</v>
      </c>
      <c r="I2871" s="3">
        <v>43.31222955732332</v>
      </c>
      <c r="J2871" s="3">
        <v>0.72187049262205538</v>
      </c>
    </row>
    <row r="2872" spans="1:11" x14ac:dyDescent="0.35">
      <c r="A2872">
        <v>2871</v>
      </c>
      <c r="B2872" t="s">
        <v>2</v>
      </c>
      <c r="C2872" t="s">
        <v>133</v>
      </c>
      <c r="D2872" t="s">
        <v>140</v>
      </c>
      <c r="E2872" s="2">
        <v>44287.437303240738</v>
      </c>
      <c r="F2872" s="2">
        <v>44287.502106481479</v>
      </c>
      <c r="G2872" s="3">
        <v>6.4803240740729962E-2</v>
      </c>
      <c r="H2872" s="3">
        <v>5633.1050713430077</v>
      </c>
      <c r="I2872" s="3">
        <v>93.885084522383465</v>
      </c>
      <c r="J2872" s="3">
        <v>1.5647514087063912</v>
      </c>
      <c r="K2872" t="s">
        <v>99</v>
      </c>
    </row>
    <row r="2873" spans="1:11" x14ac:dyDescent="0.35">
      <c r="A2873">
        <v>2872</v>
      </c>
      <c r="B2873" t="s">
        <v>11</v>
      </c>
      <c r="C2873" t="s">
        <v>11</v>
      </c>
      <c r="D2873" t="s">
        <v>140</v>
      </c>
      <c r="E2873" s="2">
        <v>44287.502245370371</v>
      </c>
      <c r="F2873" s="2">
        <v>44287.517361111109</v>
      </c>
      <c r="G2873" s="3">
        <v>1.5115740738110617E-2</v>
      </c>
      <c r="H2873" s="3">
        <v>1313.9552101973761</v>
      </c>
      <c r="I2873" s="3">
        <v>21.899253503289604</v>
      </c>
      <c r="J2873" s="3">
        <v>0.36498755838816005</v>
      </c>
    </row>
    <row r="2874" spans="1:11" x14ac:dyDescent="0.35">
      <c r="A2874">
        <v>2873</v>
      </c>
      <c r="B2874" t="s">
        <v>16</v>
      </c>
      <c r="C2874" t="s">
        <v>16</v>
      </c>
      <c r="D2874" t="s">
        <v>140</v>
      </c>
      <c r="E2874" s="2">
        <v>44287.517476851855</v>
      </c>
      <c r="F2874" s="2">
        <v>44287.559837962966</v>
      </c>
      <c r="G2874" s="3">
        <v>4.2361111110949423E-2</v>
      </c>
      <c r="H2874" s="3">
        <v>3682.2940812716811</v>
      </c>
      <c r="I2874" s="3">
        <v>61.371568021194683</v>
      </c>
      <c r="J2874" s="3">
        <v>1.0228594670199114</v>
      </c>
    </row>
    <row r="2875" spans="1:11" x14ac:dyDescent="0.35">
      <c r="A2875">
        <v>2874</v>
      </c>
      <c r="B2875" t="s">
        <v>2</v>
      </c>
      <c r="C2875" t="s">
        <v>96</v>
      </c>
      <c r="D2875" t="s">
        <v>140</v>
      </c>
      <c r="E2875" s="2">
        <v>44287.56</v>
      </c>
      <c r="F2875" s="2">
        <v>44287.562928240739</v>
      </c>
      <c r="G2875" s="3">
        <v>2.9282407413120382E-3</v>
      </c>
      <c r="H2875" s="3">
        <v>254.54109364673488</v>
      </c>
      <c r="I2875" s="3">
        <v>4.2423515607789151</v>
      </c>
      <c r="J2875" s="3">
        <v>7.070585934631525E-2</v>
      </c>
    </row>
    <row r="2876" spans="1:11" x14ac:dyDescent="0.35">
      <c r="A2876">
        <v>2875</v>
      </c>
      <c r="B2876" t="s">
        <v>2</v>
      </c>
      <c r="C2876" t="s">
        <v>96</v>
      </c>
      <c r="D2876" t="s">
        <v>140</v>
      </c>
      <c r="E2876" s="2">
        <v>44287.563136574077</v>
      </c>
      <c r="F2876" s="2">
        <v>44287.567604166667</v>
      </c>
      <c r="G2876" s="3">
        <v>4.4675925892079249E-3</v>
      </c>
      <c r="H2876" s="3">
        <v>388.35123341515339</v>
      </c>
      <c r="I2876" s="3">
        <v>6.472520556919223</v>
      </c>
      <c r="J2876" s="3">
        <v>0.10787534261532038</v>
      </c>
    </row>
    <row r="2877" spans="1:11" x14ac:dyDescent="0.35">
      <c r="A2877">
        <v>2876</v>
      </c>
      <c r="B2877" t="s">
        <v>2</v>
      </c>
      <c r="C2877" t="s">
        <v>96</v>
      </c>
      <c r="D2877" t="s">
        <v>140</v>
      </c>
      <c r="E2877" s="2">
        <v>44287.567916666667</v>
      </c>
      <c r="F2877" s="2">
        <v>44287.569849537038</v>
      </c>
      <c r="G2877" s="3">
        <v>1.9328703710925765E-3</v>
      </c>
      <c r="H2877" s="3">
        <v>168.0172436624284</v>
      </c>
      <c r="I2877" s="3">
        <v>2.8002873943738065</v>
      </c>
      <c r="J2877" s="3">
        <v>4.6671456572896772E-2</v>
      </c>
    </row>
    <row r="2878" spans="1:11" x14ac:dyDescent="0.35">
      <c r="A2878">
        <v>2877</v>
      </c>
      <c r="B2878" t="s">
        <v>2</v>
      </c>
      <c r="C2878" t="s">
        <v>133</v>
      </c>
      <c r="D2878" t="s">
        <v>140</v>
      </c>
      <c r="E2878" s="2">
        <v>44287.570543981485</v>
      </c>
      <c r="F2878" s="2">
        <v>44287.641284722224</v>
      </c>
      <c r="G2878" s="3">
        <v>7.0740740738983732E-2</v>
      </c>
      <c r="H2878" s="3">
        <v>6149.2298973386414</v>
      </c>
      <c r="I2878" s="3">
        <v>102.48716495564402</v>
      </c>
      <c r="J2878" s="3">
        <v>1.7081194159274002</v>
      </c>
      <c r="K2878" t="s">
        <v>99</v>
      </c>
    </row>
    <row r="2879" spans="1:11" x14ac:dyDescent="0.35">
      <c r="A2879">
        <v>2878</v>
      </c>
      <c r="B2879" t="s">
        <v>2</v>
      </c>
      <c r="C2879" t="s">
        <v>132</v>
      </c>
      <c r="D2879" t="s">
        <v>140</v>
      </c>
      <c r="E2879" s="2">
        <v>44287.641504629632</v>
      </c>
      <c r="F2879" s="2">
        <v>44287.644155092596</v>
      </c>
      <c r="G2879" s="3">
        <v>2.6504629640839994E-3</v>
      </c>
      <c r="H2879" s="3">
        <v>230.39490299756599</v>
      </c>
      <c r="I2879" s="3">
        <v>3.839915049959433</v>
      </c>
      <c r="J2879" s="3">
        <v>6.3998584165990552E-2</v>
      </c>
      <c r="K2879" t="s">
        <v>93</v>
      </c>
    </row>
    <row r="2880" spans="1:11" x14ac:dyDescent="0.35">
      <c r="A2880">
        <v>2879</v>
      </c>
      <c r="B2880" t="s">
        <v>2</v>
      </c>
      <c r="C2880" t="s">
        <v>132</v>
      </c>
      <c r="D2880" t="s">
        <v>140</v>
      </c>
      <c r="E2880" s="2">
        <v>44287.644270833334</v>
      </c>
      <c r="F2880" s="2">
        <v>44287.660358796296</v>
      </c>
      <c r="G2880" s="3">
        <v>1.6087962962046731E-2</v>
      </c>
      <c r="H2880" s="3">
        <v>1398.4668777857032</v>
      </c>
      <c r="I2880" s="3">
        <v>23.307781296428388</v>
      </c>
      <c r="J2880" s="3">
        <v>0.3884630216071398</v>
      </c>
      <c r="K2880" t="s">
        <v>42</v>
      </c>
    </row>
    <row r="2881" spans="1:11" x14ac:dyDescent="0.35">
      <c r="A2881">
        <v>2880</v>
      </c>
      <c r="B2881" t="s">
        <v>2</v>
      </c>
      <c r="C2881" t="s">
        <v>132</v>
      </c>
      <c r="D2881" t="s">
        <v>140</v>
      </c>
      <c r="E2881" s="2">
        <v>44287.660543981481</v>
      </c>
      <c r="F2881" s="2">
        <v>44287.665231481478</v>
      </c>
      <c r="G2881" s="3">
        <v>4.687499997089617E-3</v>
      </c>
      <c r="H2881" s="3">
        <v>407.46696775813774</v>
      </c>
      <c r="I2881" s="3">
        <v>6.7911161293022957</v>
      </c>
      <c r="J2881" s="3">
        <v>0.11318526882170493</v>
      </c>
      <c r="K2881" t="s">
        <v>93</v>
      </c>
    </row>
    <row r="2882" spans="1:11" x14ac:dyDescent="0.35">
      <c r="A2882">
        <v>2881</v>
      </c>
      <c r="B2882" t="s">
        <v>2</v>
      </c>
      <c r="C2882" t="s">
        <v>136</v>
      </c>
      <c r="D2882" t="s">
        <v>140</v>
      </c>
      <c r="E2882" s="2">
        <v>44287.66574074074</v>
      </c>
      <c r="F2882" s="2">
        <v>44287.688715277778</v>
      </c>
      <c r="G2882" s="3">
        <v>2.2974537037953269E-2</v>
      </c>
      <c r="H2882" s="3">
        <v>1997.0911889736847</v>
      </c>
      <c r="I2882" s="3">
        <v>33.284853149561414</v>
      </c>
      <c r="J2882" s="3">
        <v>0.55474755249269025</v>
      </c>
      <c r="K2882" t="s">
        <v>90</v>
      </c>
    </row>
    <row r="2883" spans="1:11" x14ac:dyDescent="0.35">
      <c r="A2883">
        <v>2882</v>
      </c>
      <c r="B2883" t="s">
        <v>2</v>
      </c>
      <c r="C2883" t="s">
        <v>132</v>
      </c>
      <c r="D2883" t="s">
        <v>140</v>
      </c>
      <c r="E2883" s="2">
        <v>44287.688993055555</v>
      </c>
      <c r="F2883" s="2">
        <v>44287.692118055558</v>
      </c>
      <c r="G2883" s="3">
        <v>3.125000002910383E-3</v>
      </c>
      <c r="H2883" s="3">
        <v>271.64464559373982</v>
      </c>
      <c r="I2883" s="3">
        <v>4.5274107598956634</v>
      </c>
      <c r="J2883" s="3">
        <v>7.5456845998261052E-2</v>
      </c>
      <c r="K2883" t="s">
        <v>42</v>
      </c>
    </row>
    <row r="2884" spans="1:11" x14ac:dyDescent="0.35">
      <c r="A2884">
        <v>2883</v>
      </c>
      <c r="B2884" t="s">
        <v>2</v>
      </c>
      <c r="C2884" t="s">
        <v>136</v>
      </c>
      <c r="D2884" t="s">
        <v>140</v>
      </c>
      <c r="E2884" s="2">
        <v>44287.692349537036</v>
      </c>
      <c r="F2884" s="2">
        <v>44287.709930555553</v>
      </c>
      <c r="G2884" s="3">
        <v>1.7581018517375924E-2</v>
      </c>
      <c r="H2884" s="3">
        <v>1528.2526527621631</v>
      </c>
      <c r="I2884" s="3">
        <v>25.47087754603605</v>
      </c>
      <c r="J2884" s="3">
        <v>0.42451462576726751</v>
      </c>
      <c r="K2884" t="s">
        <v>90</v>
      </c>
    </row>
    <row r="2885" spans="1:11" x14ac:dyDescent="0.35">
      <c r="A2885">
        <v>2884</v>
      </c>
      <c r="B2885" t="s">
        <v>11</v>
      </c>
      <c r="C2885" t="s">
        <v>11</v>
      </c>
      <c r="D2885" t="s">
        <v>140</v>
      </c>
      <c r="E2885" s="2">
        <v>44287.710023148145</v>
      </c>
      <c r="F2885" s="2">
        <v>44287.804745370369</v>
      </c>
      <c r="G2885" s="3">
        <v>9.4722222223936114E-2</v>
      </c>
      <c r="H2885" s="3">
        <v>8233.8510278108588</v>
      </c>
      <c r="I2885" s="3">
        <v>137.23085046351432</v>
      </c>
      <c r="J2885" s="3">
        <v>2.2871808410585719</v>
      </c>
    </row>
    <row r="2886" spans="1:11" x14ac:dyDescent="0.35">
      <c r="A2886">
        <v>2885</v>
      </c>
      <c r="B2886" t="s">
        <v>11</v>
      </c>
      <c r="C2886" t="s">
        <v>11</v>
      </c>
      <c r="D2886" t="s">
        <v>140</v>
      </c>
      <c r="E2886" s="2">
        <v>44288.333877314813</v>
      </c>
      <c r="F2886" s="2">
        <v>44288.349259259259</v>
      </c>
      <c r="G2886" s="3">
        <v>1.5381944445834961E-2</v>
      </c>
      <c r="H2886" s="3">
        <v>1337.0953099647913</v>
      </c>
      <c r="I2886" s="3">
        <v>22.284921832746523</v>
      </c>
      <c r="J2886" s="3">
        <v>0.37141536387910873</v>
      </c>
    </row>
    <row r="2887" spans="1:11" x14ac:dyDescent="0.35">
      <c r="A2887">
        <v>2886</v>
      </c>
      <c r="B2887" t="s">
        <v>2</v>
      </c>
      <c r="C2887" t="s">
        <v>96</v>
      </c>
      <c r="D2887" t="s">
        <v>140</v>
      </c>
      <c r="E2887" s="2">
        <v>44288.349490740744</v>
      </c>
      <c r="F2887" s="2">
        <v>44288.374803240738</v>
      </c>
      <c r="G2887" s="3">
        <v>2.5312499994470272E-2</v>
      </c>
      <c r="H2887" s="3">
        <v>2200.3216267794046</v>
      </c>
      <c r="I2887" s="3">
        <v>36.672027112990079</v>
      </c>
      <c r="J2887" s="3">
        <v>0.61120045188316796</v>
      </c>
    </row>
    <row r="2888" spans="1:11" x14ac:dyDescent="0.35">
      <c r="A2888">
        <v>2887</v>
      </c>
      <c r="B2888" t="s">
        <v>2</v>
      </c>
      <c r="C2888" t="s">
        <v>72</v>
      </c>
      <c r="D2888" t="s">
        <v>140</v>
      </c>
      <c r="E2888" s="2">
        <v>44288.374907407408</v>
      </c>
      <c r="F2888" s="2">
        <v>44288.425682870373</v>
      </c>
      <c r="G2888" s="3">
        <v>5.0775462965248153E-2</v>
      </c>
      <c r="H2888" s="3">
        <v>4413.7224413463273</v>
      </c>
      <c r="I2888" s="3">
        <v>73.562040689105459</v>
      </c>
      <c r="J2888" s="3">
        <v>1.2260340114850909</v>
      </c>
      <c r="K2888" t="s">
        <v>73</v>
      </c>
    </row>
    <row r="2889" spans="1:11" x14ac:dyDescent="0.35">
      <c r="A2889">
        <v>2888</v>
      </c>
      <c r="B2889" t="s">
        <v>2</v>
      </c>
      <c r="C2889" t="s">
        <v>132</v>
      </c>
      <c r="D2889" t="s">
        <v>140</v>
      </c>
      <c r="E2889" s="2">
        <v>44288.426122685189</v>
      </c>
      <c r="F2889" s="2">
        <v>44288.460335648146</v>
      </c>
      <c r="G2889" s="3">
        <v>3.421296295709908E-2</v>
      </c>
      <c r="H2889" s="3">
        <v>2974.0058203319782</v>
      </c>
      <c r="I2889" s="3">
        <v>49.566763672199635</v>
      </c>
      <c r="J2889" s="3">
        <v>0.8261127278699939</v>
      </c>
      <c r="K2889" t="s">
        <v>42</v>
      </c>
    </row>
    <row r="2890" spans="1:11" x14ac:dyDescent="0.35">
      <c r="A2890">
        <v>2889</v>
      </c>
      <c r="B2890" t="s">
        <v>16</v>
      </c>
      <c r="C2890" t="s">
        <v>16</v>
      </c>
      <c r="D2890" t="s">
        <v>140</v>
      </c>
      <c r="E2890" s="2">
        <v>44288.460451388892</v>
      </c>
      <c r="F2890" s="2">
        <v>44288.472986111112</v>
      </c>
      <c r="G2890" s="3">
        <v>1.2534722220152617E-2</v>
      </c>
      <c r="H2890" s="3">
        <v>1089.5968550202203</v>
      </c>
      <c r="I2890" s="3">
        <v>18.159947583670338</v>
      </c>
      <c r="J2890" s="3">
        <v>0.30266579306117231</v>
      </c>
    </row>
    <row r="2891" spans="1:11" x14ac:dyDescent="0.35">
      <c r="A2891">
        <v>2890</v>
      </c>
      <c r="B2891" t="s">
        <v>16</v>
      </c>
      <c r="C2891" t="s">
        <v>16</v>
      </c>
      <c r="D2891" t="s">
        <v>140</v>
      </c>
      <c r="E2891" s="2">
        <v>44288.473240740743</v>
      </c>
      <c r="F2891" s="2">
        <v>44288.509328703702</v>
      </c>
      <c r="G2891" s="3">
        <v>3.608796295884531E-2</v>
      </c>
      <c r="H2891" s="3">
        <v>3136.9926076882221</v>
      </c>
      <c r="I2891" s="3">
        <v>52.283210128137036</v>
      </c>
      <c r="J2891" s="3">
        <v>0.87138683546895057</v>
      </c>
    </row>
    <row r="2892" spans="1:11" x14ac:dyDescent="0.35">
      <c r="A2892">
        <v>2891</v>
      </c>
      <c r="B2892" t="s">
        <v>16</v>
      </c>
      <c r="C2892" t="s">
        <v>16</v>
      </c>
      <c r="D2892" t="s">
        <v>140</v>
      </c>
      <c r="E2892" s="2">
        <v>44288.509421296294</v>
      </c>
      <c r="F2892" s="2">
        <v>44288.529537037037</v>
      </c>
      <c r="G2892" s="3">
        <v>2.011574074276723E-2</v>
      </c>
      <c r="H2892" s="3">
        <v>1748.5866431473598</v>
      </c>
      <c r="I2892" s="3">
        <v>29.143110719122664</v>
      </c>
      <c r="J2892" s="3">
        <v>0.48571851198537774</v>
      </c>
    </row>
    <row r="2893" spans="1:11" x14ac:dyDescent="0.35">
      <c r="A2893">
        <v>2892</v>
      </c>
      <c r="B2893" t="s">
        <v>2</v>
      </c>
      <c r="C2893" t="s">
        <v>136</v>
      </c>
      <c r="D2893" t="s">
        <v>140</v>
      </c>
      <c r="E2893" s="2">
        <v>44288.529745370368</v>
      </c>
      <c r="F2893" s="2">
        <v>44288.568159722221</v>
      </c>
      <c r="G2893" s="3">
        <v>3.8414351853134576E-2</v>
      </c>
      <c r="H2893" s="3">
        <v>3339.2169552446603</v>
      </c>
      <c r="I2893" s="3">
        <v>55.653615920744336</v>
      </c>
      <c r="J2893" s="3">
        <v>0.92756026534573899</v>
      </c>
      <c r="K2893" t="s">
        <v>90</v>
      </c>
    </row>
    <row r="2894" spans="1:11" x14ac:dyDescent="0.35">
      <c r="A2894">
        <v>2893</v>
      </c>
      <c r="B2894" t="s">
        <v>2</v>
      </c>
      <c r="C2894" t="s">
        <v>132</v>
      </c>
      <c r="D2894" t="s">
        <v>140</v>
      </c>
      <c r="E2894" s="2">
        <v>44288.568414351852</v>
      </c>
      <c r="F2894" s="2">
        <v>44288.573564814818</v>
      </c>
      <c r="G2894" s="3">
        <v>5.1504629664123058E-3</v>
      </c>
      <c r="H2894" s="3">
        <v>447.71061947255788</v>
      </c>
      <c r="I2894" s="3">
        <v>7.4618436578759644</v>
      </c>
      <c r="J2894" s="3">
        <v>0.12436406096459941</v>
      </c>
      <c r="K2894" t="s">
        <v>42</v>
      </c>
    </row>
    <row r="2895" spans="1:11" x14ac:dyDescent="0.35">
      <c r="A2895">
        <v>2894</v>
      </c>
      <c r="B2895" t="s">
        <v>2</v>
      </c>
      <c r="C2895" t="s">
        <v>136</v>
      </c>
      <c r="D2895" t="s">
        <v>140</v>
      </c>
      <c r="E2895" s="2">
        <v>44288.573761574073</v>
      </c>
      <c r="F2895" s="2">
        <v>44288.645810185182</v>
      </c>
      <c r="G2895" s="3">
        <v>7.2048611109494232E-2</v>
      </c>
      <c r="H2895" s="3">
        <v>6262.9182118823219</v>
      </c>
      <c r="I2895" s="3">
        <v>104.3819701980387</v>
      </c>
      <c r="J2895" s="3">
        <v>1.739699503300645</v>
      </c>
      <c r="K2895" t="s">
        <v>90</v>
      </c>
    </row>
    <row r="2896" spans="1:11" x14ac:dyDescent="0.35">
      <c r="A2896">
        <v>2895</v>
      </c>
      <c r="B2896" t="s">
        <v>2</v>
      </c>
      <c r="C2896" t="s">
        <v>96</v>
      </c>
      <c r="D2896" t="s">
        <v>140</v>
      </c>
      <c r="E2896" s="2">
        <v>44288.646041666667</v>
      </c>
      <c r="F2896" s="2">
        <v>44288.709722222222</v>
      </c>
      <c r="G2896" s="3">
        <v>6.3680555555038154E-2</v>
      </c>
      <c r="H2896" s="3">
        <v>5535.5142172321066</v>
      </c>
      <c r="I2896" s="3">
        <v>92.258570287201778</v>
      </c>
      <c r="J2896" s="3">
        <v>1.5376428381200296</v>
      </c>
    </row>
    <row r="2897" spans="1:11" x14ac:dyDescent="0.35">
      <c r="A2897">
        <v>2896</v>
      </c>
      <c r="B2897" t="s">
        <v>11</v>
      </c>
      <c r="C2897" t="s">
        <v>11</v>
      </c>
      <c r="D2897" t="s">
        <v>140</v>
      </c>
      <c r="E2897" s="2">
        <v>44290.679409722223</v>
      </c>
      <c r="F2897" s="2">
        <v>44290.710636574076</v>
      </c>
      <c r="G2897" s="3">
        <v>3.1226851853716653E-2</v>
      </c>
      <c r="H2897" s="3">
        <v>2714.4342710115307</v>
      </c>
      <c r="I2897" s="3">
        <v>45.24057118352551</v>
      </c>
      <c r="J2897" s="3">
        <v>0.75400951972542518</v>
      </c>
    </row>
    <row r="2898" spans="1:11" x14ac:dyDescent="0.35">
      <c r="A2898">
        <v>2897</v>
      </c>
      <c r="B2898" t="s">
        <v>11</v>
      </c>
      <c r="C2898" t="s">
        <v>11</v>
      </c>
      <c r="D2898" t="s">
        <v>140</v>
      </c>
      <c r="E2898" s="2">
        <v>44290.710729166669</v>
      </c>
      <c r="F2898" s="2">
        <v>44290.75</v>
      </c>
      <c r="G2898" s="3">
        <v>3.927083333110204E-2</v>
      </c>
      <c r="H2898" s="3">
        <v>3413.6677095881469</v>
      </c>
      <c r="I2898" s="3">
        <v>56.894461826469112</v>
      </c>
      <c r="J2898" s="3">
        <v>0.94824103044115182</v>
      </c>
    </row>
    <row r="2899" spans="1:11" x14ac:dyDescent="0.35">
      <c r="A2899">
        <v>2898</v>
      </c>
      <c r="B2899" t="s">
        <v>11</v>
      </c>
      <c r="C2899" t="s">
        <v>11</v>
      </c>
      <c r="D2899" t="s">
        <v>140</v>
      </c>
      <c r="E2899" s="2">
        <v>44291.32408564815</v>
      </c>
      <c r="F2899" s="2">
        <v>44291.357395833336</v>
      </c>
      <c r="G2899" s="3">
        <v>3.3310185186564922E-2</v>
      </c>
      <c r="H2899" s="3">
        <v>2895.5307011965333</v>
      </c>
      <c r="I2899" s="3">
        <v>48.258845019942221</v>
      </c>
      <c r="J2899" s="3">
        <v>0.80431408366570367</v>
      </c>
    </row>
    <row r="2900" spans="1:11" x14ac:dyDescent="0.35">
      <c r="A2900">
        <v>2899</v>
      </c>
      <c r="B2900" t="s">
        <v>2</v>
      </c>
      <c r="C2900" t="s">
        <v>132</v>
      </c>
      <c r="D2900" t="s">
        <v>140</v>
      </c>
      <c r="E2900" s="2">
        <v>44291.357604166667</v>
      </c>
      <c r="F2900" s="2">
        <v>44291.373865740738</v>
      </c>
      <c r="G2900" s="3">
        <v>1.6261574070085771E-2</v>
      </c>
      <c r="H2900" s="3">
        <v>1413.5582467042568</v>
      </c>
      <c r="I2900" s="3">
        <v>23.559304111737614</v>
      </c>
      <c r="J2900" s="3">
        <v>0.3926550685289602</v>
      </c>
      <c r="K2900" t="s">
        <v>42</v>
      </c>
    </row>
    <row r="2901" spans="1:11" x14ac:dyDescent="0.35">
      <c r="A2901">
        <v>2900</v>
      </c>
      <c r="B2901" t="s">
        <v>2</v>
      </c>
      <c r="C2901" t="s">
        <v>132</v>
      </c>
      <c r="D2901" t="s">
        <v>140</v>
      </c>
      <c r="E2901" s="2">
        <v>44291.374039351853</v>
      </c>
      <c r="F2901" s="2">
        <v>44291.392407407409</v>
      </c>
      <c r="G2901" s="3">
        <v>1.8368055556493346E-2</v>
      </c>
      <c r="H2901" s="3">
        <v>1596.6668599177108</v>
      </c>
      <c r="I2901" s="3">
        <v>26.611114331961847</v>
      </c>
      <c r="J2901" s="3">
        <v>0.44351857219936414</v>
      </c>
      <c r="K2901" t="s">
        <v>93</v>
      </c>
    </row>
    <row r="2902" spans="1:11" x14ac:dyDescent="0.35">
      <c r="A2902">
        <v>2901</v>
      </c>
      <c r="B2902" t="s">
        <v>2</v>
      </c>
      <c r="C2902" t="s">
        <v>132</v>
      </c>
      <c r="D2902" t="s">
        <v>140</v>
      </c>
      <c r="E2902" s="2">
        <v>44291.392581018517</v>
      </c>
      <c r="F2902" s="2">
        <v>44291.40121527778</v>
      </c>
      <c r="G2902" s="3">
        <v>8.6342592621804215E-3</v>
      </c>
      <c r="H2902" s="3">
        <v>750.5440944176305</v>
      </c>
      <c r="I2902" s="3">
        <v>12.509068240293841</v>
      </c>
      <c r="J2902" s="3">
        <v>0.208484470671564</v>
      </c>
      <c r="K2902" t="s">
        <v>93</v>
      </c>
    </row>
    <row r="2903" spans="1:11" x14ac:dyDescent="0.35">
      <c r="A2903">
        <v>2902</v>
      </c>
      <c r="B2903" t="s">
        <v>2</v>
      </c>
      <c r="C2903" t="s">
        <v>132</v>
      </c>
      <c r="D2903" t="s">
        <v>140</v>
      </c>
      <c r="E2903" s="2">
        <v>44291.40152777778</v>
      </c>
      <c r="F2903" s="2">
        <v>44291.415972222225</v>
      </c>
      <c r="G2903" s="3">
        <v>1.4444444444961846E-2</v>
      </c>
      <c r="H2903" s="3">
        <v>1255.6019162866694</v>
      </c>
      <c r="I2903" s="3">
        <v>20.926698604777823</v>
      </c>
      <c r="J2903" s="3">
        <v>0.34877831007963039</v>
      </c>
      <c r="K2903" t="s">
        <v>93</v>
      </c>
    </row>
    <row r="2904" spans="1:11" x14ac:dyDescent="0.35">
      <c r="A2904">
        <v>2903</v>
      </c>
      <c r="B2904" t="s">
        <v>2</v>
      </c>
      <c r="C2904" t="s">
        <v>132</v>
      </c>
      <c r="D2904" t="s">
        <v>140</v>
      </c>
      <c r="E2904" s="2">
        <v>44291.416250000002</v>
      </c>
      <c r="F2904" s="2">
        <v>44291.417523148149</v>
      </c>
      <c r="G2904" s="3">
        <v>1.2731481474475004E-3</v>
      </c>
      <c r="H2904" s="3">
        <v>110.67004063347534</v>
      </c>
      <c r="I2904" s="3">
        <v>1.8445006772245889</v>
      </c>
      <c r="J2904" s="3">
        <v>3.0741677953743149E-2</v>
      </c>
      <c r="K2904" t="s">
        <v>93</v>
      </c>
    </row>
    <row r="2905" spans="1:11" x14ac:dyDescent="0.35">
      <c r="A2905">
        <v>2904</v>
      </c>
      <c r="B2905" t="s">
        <v>16</v>
      </c>
      <c r="C2905" t="s">
        <v>16</v>
      </c>
      <c r="D2905" t="s">
        <v>140</v>
      </c>
      <c r="E2905" s="2">
        <v>44291.417627314811</v>
      </c>
      <c r="F2905" s="2">
        <v>44291.429108796299</v>
      </c>
      <c r="G2905" s="3">
        <v>1.1481481487862766E-2</v>
      </c>
      <c r="H2905" s="3">
        <v>998.04254936220138</v>
      </c>
      <c r="I2905" s="3">
        <v>16.634042489370024</v>
      </c>
      <c r="J2905" s="3">
        <v>0.27723404148950043</v>
      </c>
    </row>
    <row r="2906" spans="1:11" x14ac:dyDescent="0.35">
      <c r="A2906">
        <v>2905</v>
      </c>
      <c r="B2906" t="s">
        <v>2</v>
      </c>
      <c r="C2906" t="s">
        <v>96</v>
      </c>
      <c r="D2906" t="s">
        <v>140</v>
      </c>
      <c r="E2906" s="2">
        <v>44291.429606481484</v>
      </c>
      <c r="F2906" s="2">
        <v>44291.442129629628</v>
      </c>
      <c r="G2906" s="3">
        <v>1.2523148143372964E-2</v>
      </c>
      <c r="H2906" s="3">
        <v>1088.5907635059948</v>
      </c>
      <c r="I2906" s="3">
        <v>18.14317939176658</v>
      </c>
      <c r="J2906" s="3">
        <v>0.30238632319610964</v>
      </c>
    </row>
    <row r="2907" spans="1:11" x14ac:dyDescent="0.35">
      <c r="A2907">
        <v>2906</v>
      </c>
      <c r="B2907" t="s">
        <v>2</v>
      </c>
      <c r="C2907" t="s">
        <v>133</v>
      </c>
      <c r="D2907" t="s">
        <v>140</v>
      </c>
      <c r="E2907" s="2">
        <v>44291.442372685182</v>
      </c>
      <c r="F2907" s="2">
        <v>44291.450833333336</v>
      </c>
      <c r="G2907" s="3">
        <v>8.4606481541413814E-3</v>
      </c>
      <c r="H2907" s="3">
        <v>735.45272549907691</v>
      </c>
      <c r="I2907" s="3">
        <v>12.257545424984615</v>
      </c>
      <c r="J2907" s="3">
        <v>0.20429242374974357</v>
      </c>
      <c r="K2907" t="s">
        <v>99</v>
      </c>
    </row>
    <row r="2908" spans="1:11" x14ac:dyDescent="0.35">
      <c r="A2908">
        <v>2907</v>
      </c>
      <c r="B2908" t="s">
        <v>2</v>
      </c>
      <c r="C2908" t="s">
        <v>96</v>
      </c>
      <c r="D2908" t="s">
        <v>140</v>
      </c>
      <c r="E2908" s="2">
        <v>44291.451041666667</v>
      </c>
      <c r="F2908" s="2">
        <v>44291.457511574074</v>
      </c>
      <c r="G2908" s="3">
        <v>6.4699074064265005E-3</v>
      </c>
      <c r="H2908" s="3">
        <v>562.40502489799201</v>
      </c>
      <c r="I2908" s="3">
        <v>9.3734170816331996</v>
      </c>
      <c r="J2908" s="3">
        <v>0.15622361802721998</v>
      </c>
    </row>
    <row r="2909" spans="1:11" x14ac:dyDescent="0.35">
      <c r="A2909">
        <v>2908</v>
      </c>
      <c r="B2909" t="s">
        <v>2</v>
      </c>
      <c r="C2909" t="s">
        <v>132</v>
      </c>
      <c r="D2909" t="s">
        <v>140</v>
      </c>
      <c r="E2909" s="2">
        <v>44291.457789351851</v>
      </c>
      <c r="F2909" s="2">
        <v>44291.499062499999</v>
      </c>
      <c r="G2909" s="3">
        <v>4.1273148148320615E-2</v>
      </c>
      <c r="H2909" s="3">
        <v>3587.7215010709851</v>
      </c>
      <c r="I2909" s="3">
        <v>59.795358351183083</v>
      </c>
      <c r="J2909" s="3">
        <v>0.99658930585305139</v>
      </c>
      <c r="K2909" t="s">
        <v>93</v>
      </c>
    </row>
    <row r="2910" spans="1:11" x14ac:dyDescent="0.35">
      <c r="A2910">
        <v>2909</v>
      </c>
      <c r="B2910" t="s">
        <v>16</v>
      </c>
      <c r="C2910" t="s">
        <v>16</v>
      </c>
      <c r="D2910" t="s">
        <v>140</v>
      </c>
      <c r="E2910" s="2">
        <v>44291.499444444446</v>
      </c>
      <c r="F2910" s="2">
        <v>44291.54755787037</v>
      </c>
      <c r="G2910" s="3">
        <v>4.8113425924384501E-2</v>
      </c>
      <c r="H2910" s="3">
        <v>4182.3214468345359</v>
      </c>
      <c r="I2910" s="3">
        <v>69.705357447242264</v>
      </c>
      <c r="J2910" s="3">
        <v>1.1617559574540377</v>
      </c>
    </row>
    <row r="2911" spans="1:11" x14ac:dyDescent="0.35">
      <c r="A2911">
        <v>2910</v>
      </c>
      <c r="B2911" t="s">
        <v>2</v>
      </c>
      <c r="C2911" t="s">
        <v>133</v>
      </c>
      <c r="D2911" t="s">
        <v>140</v>
      </c>
      <c r="E2911" s="2">
        <v>44291.547962962963</v>
      </c>
      <c r="F2911" s="2">
        <v>44291.565347222226</v>
      </c>
      <c r="G2911" s="3">
        <v>1.7384259263053536E-2</v>
      </c>
      <c r="H2911" s="3">
        <v>1511.1491014476301</v>
      </c>
      <c r="I2911" s="3">
        <v>25.185818357460501</v>
      </c>
      <c r="J2911" s="3">
        <v>0.41976363929100835</v>
      </c>
      <c r="K2911" t="s">
        <v>99</v>
      </c>
    </row>
    <row r="2912" spans="1:11" x14ac:dyDescent="0.35">
      <c r="A2912">
        <v>2911</v>
      </c>
      <c r="B2912" t="s">
        <v>2</v>
      </c>
      <c r="C2912" t="s">
        <v>132</v>
      </c>
      <c r="D2912" t="s">
        <v>140</v>
      </c>
      <c r="E2912" s="2">
        <v>44291.56559027778</v>
      </c>
      <c r="F2912" s="2">
        <v>44291.575659722221</v>
      </c>
      <c r="G2912" s="3">
        <v>1.006944444088731E-2</v>
      </c>
      <c r="H2912" s="3">
        <v>875.29941245543364</v>
      </c>
      <c r="I2912" s="3">
        <v>14.588323540923893</v>
      </c>
      <c r="J2912" s="3">
        <v>0.24313872568206488</v>
      </c>
      <c r="K2912" t="s">
        <v>42</v>
      </c>
    </row>
    <row r="2913" spans="1:11" x14ac:dyDescent="0.35">
      <c r="A2913">
        <v>2912</v>
      </c>
      <c r="B2913" t="s">
        <v>2</v>
      </c>
      <c r="C2913" t="s">
        <v>132</v>
      </c>
      <c r="D2913" t="s">
        <v>140</v>
      </c>
      <c r="E2913" s="2">
        <v>44291.575787037036</v>
      </c>
      <c r="F2913" s="2">
        <v>44291.58394675926</v>
      </c>
      <c r="G2913" s="3">
        <v>8.1597222233540379E-3</v>
      </c>
      <c r="H2913" s="3">
        <v>709.29435182145664</v>
      </c>
      <c r="I2913" s="3">
        <v>11.82157253035761</v>
      </c>
      <c r="J2913" s="3">
        <v>0.1970262088392935</v>
      </c>
      <c r="K2913" t="s">
        <v>93</v>
      </c>
    </row>
    <row r="2914" spans="1:11" x14ac:dyDescent="0.35">
      <c r="A2914">
        <v>2913</v>
      </c>
      <c r="B2914" t="s">
        <v>2</v>
      </c>
      <c r="C2914" t="s">
        <v>133</v>
      </c>
      <c r="D2914" t="s">
        <v>140</v>
      </c>
      <c r="E2914" s="2">
        <v>44291.584224537037</v>
      </c>
      <c r="F2914" s="2">
        <v>44291.611493055556</v>
      </c>
      <c r="G2914" s="3">
        <v>2.7268518519122154E-2</v>
      </c>
      <c r="H2914" s="3">
        <v>2370.3510534702846</v>
      </c>
      <c r="I2914" s="3">
        <v>39.505850891171413</v>
      </c>
      <c r="J2914" s="3">
        <v>0.65843084818619024</v>
      </c>
      <c r="K2914" t="s">
        <v>99</v>
      </c>
    </row>
    <row r="2915" spans="1:11" x14ac:dyDescent="0.35">
      <c r="A2915">
        <v>2914</v>
      </c>
      <c r="B2915" t="s">
        <v>2</v>
      </c>
      <c r="C2915" t="s">
        <v>132</v>
      </c>
      <c r="D2915" t="s">
        <v>140</v>
      </c>
      <c r="E2915" s="2">
        <v>44291.611666666664</v>
      </c>
      <c r="F2915" s="2">
        <v>44291.627916666665</v>
      </c>
      <c r="G2915" s="3">
        <v>1.6250000000582077E-2</v>
      </c>
      <c r="H2915" s="3">
        <v>1412.5521558225032</v>
      </c>
      <c r="I2915" s="3">
        <v>23.542535930375053</v>
      </c>
      <c r="J2915" s="3">
        <v>0.39237559883958423</v>
      </c>
      <c r="K2915" t="s">
        <v>93</v>
      </c>
    </row>
    <row r="2916" spans="1:11" x14ac:dyDescent="0.35">
      <c r="A2916">
        <v>2915</v>
      </c>
      <c r="B2916" t="s">
        <v>2</v>
      </c>
      <c r="C2916" t="s">
        <v>133</v>
      </c>
      <c r="D2916" t="s">
        <v>140</v>
      </c>
      <c r="E2916" s="2">
        <v>44291.628321759257</v>
      </c>
      <c r="F2916" s="2">
        <v>44291.644780092596</v>
      </c>
      <c r="G2916" s="3">
        <v>1.6458333338960074E-2</v>
      </c>
      <c r="H2916" s="3">
        <v>1430.6617992837337</v>
      </c>
      <c r="I2916" s="3">
        <v>23.844363321395562</v>
      </c>
      <c r="J2916" s="3">
        <v>0.39740605535659268</v>
      </c>
      <c r="K2916" t="s">
        <v>99</v>
      </c>
    </row>
    <row r="2917" spans="1:11" x14ac:dyDescent="0.35">
      <c r="A2917">
        <v>2916</v>
      </c>
      <c r="B2917" t="s">
        <v>2</v>
      </c>
      <c r="C2917" t="s">
        <v>132</v>
      </c>
      <c r="D2917" t="s">
        <v>140</v>
      </c>
      <c r="E2917" s="2">
        <v>44291.645243055558</v>
      </c>
      <c r="F2917" s="2">
        <v>44291.673090277778</v>
      </c>
      <c r="G2917" s="3">
        <v>2.7847222219861578E-2</v>
      </c>
      <c r="H2917" s="3">
        <v>2420.6556171646016</v>
      </c>
      <c r="I2917" s="3">
        <v>40.344260286076697</v>
      </c>
      <c r="J2917" s="3">
        <v>0.67240433810127831</v>
      </c>
      <c r="K2917" t="s">
        <v>93</v>
      </c>
    </row>
    <row r="2918" spans="1:11" x14ac:dyDescent="0.35">
      <c r="A2918">
        <v>2917</v>
      </c>
      <c r="B2918" t="s">
        <v>2</v>
      </c>
      <c r="C2918" t="s">
        <v>133</v>
      </c>
      <c r="D2918" t="s">
        <v>140</v>
      </c>
      <c r="E2918" s="2">
        <v>44291.673310185186</v>
      </c>
      <c r="F2918" s="2">
        <v>44291.715011574073</v>
      </c>
      <c r="G2918" s="3">
        <v>4.1701388887304347E-2</v>
      </c>
      <c r="H2918" s="3">
        <v>3624.946878242728</v>
      </c>
      <c r="I2918" s="3">
        <v>60.415781304045467</v>
      </c>
      <c r="J2918" s="3">
        <v>1.0069296884007577</v>
      </c>
      <c r="K2918" t="s">
        <v>99</v>
      </c>
    </row>
    <row r="2919" spans="1:11" x14ac:dyDescent="0.35">
      <c r="A2919">
        <v>2918</v>
      </c>
      <c r="B2919" t="s">
        <v>11</v>
      </c>
      <c r="C2919" t="s">
        <v>11</v>
      </c>
      <c r="D2919" t="s">
        <v>140</v>
      </c>
      <c r="E2919" s="2">
        <v>44291.715277777781</v>
      </c>
      <c r="F2919" s="2">
        <v>44291.794814814813</v>
      </c>
      <c r="G2919" s="3">
        <v>7.9537037032423541E-2</v>
      </c>
      <c r="H2919" s="3">
        <v>6913.8592691605991</v>
      </c>
      <c r="I2919" s="3">
        <v>115.23098781934331</v>
      </c>
      <c r="J2919" s="3">
        <v>1.9205164636557219</v>
      </c>
    </row>
    <row r="2920" spans="1:11" x14ac:dyDescent="0.35">
      <c r="A2920">
        <v>2919</v>
      </c>
      <c r="B2920" t="s">
        <v>11</v>
      </c>
      <c r="C2920" t="s">
        <v>11</v>
      </c>
      <c r="D2920" t="s">
        <v>140</v>
      </c>
      <c r="E2920" s="2">
        <v>44291.834004629629</v>
      </c>
      <c r="F2920" s="2">
        <v>44291.97859953704</v>
      </c>
      <c r="G2920" s="3">
        <v>0.14459490741137415</v>
      </c>
      <c r="H2920" s="3">
        <v>12569.098349389269</v>
      </c>
      <c r="I2920" s="3">
        <v>209.48497248982116</v>
      </c>
      <c r="J2920" s="3">
        <v>3.4914162081636859</v>
      </c>
    </row>
    <row r="2921" spans="1:11" x14ac:dyDescent="0.35">
      <c r="A2921">
        <v>2920</v>
      </c>
      <c r="B2921" t="s">
        <v>11</v>
      </c>
      <c r="C2921" t="s">
        <v>11</v>
      </c>
      <c r="D2921" t="s">
        <v>140</v>
      </c>
      <c r="E2921" s="2">
        <v>44292.339722222219</v>
      </c>
      <c r="F2921" s="2">
        <v>44292.353668981479</v>
      </c>
      <c r="G2921" s="3">
        <v>1.3946759259852115E-2</v>
      </c>
      <c r="H2921" s="3">
        <v>1212.3399912945163</v>
      </c>
      <c r="I2921" s="3">
        <v>20.205666521575271</v>
      </c>
      <c r="J2921" s="3">
        <v>0.3367611086929212</v>
      </c>
    </row>
    <row r="2922" spans="1:11" x14ac:dyDescent="0.35">
      <c r="A2922">
        <v>2921</v>
      </c>
      <c r="B2922" t="s">
        <v>2</v>
      </c>
      <c r="C2922" t="s">
        <v>132</v>
      </c>
      <c r="D2922" t="s">
        <v>140</v>
      </c>
      <c r="E2922" s="2">
        <v>44292.353981481479</v>
      </c>
      <c r="F2922" s="2">
        <v>44292.382060185184</v>
      </c>
      <c r="G2922" s="3">
        <v>2.8078703704522923E-2</v>
      </c>
      <c r="H2922" s="3">
        <v>2440.7774430218115</v>
      </c>
      <c r="I2922" s="3">
        <v>40.679624050363522</v>
      </c>
      <c r="J2922" s="3">
        <v>0.67799373417272535</v>
      </c>
      <c r="K2922" t="s">
        <v>41</v>
      </c>
    </row>
    <row r="2923" spans="1:11" x14ac:dyDescent="0.35">
      <c r="A2923">
        <v>2922</v>
      </c>
      <c r="B2923" t="s">
        <v>2</v>
      </c>
      <c r="C2923" t="s">
        <v>72</v>
      </c>
      <c r="D2923" t="s">
        <v>140</v>
      </c>
      <c r="E2923" s="2">
        <v>44292.382164351853</v>
      </c>
      <c r="F2923" s="2">
        <v>44292.405694444446</v>
      </c>
      <c r="G2923" s="3">
        <v>2.3530092592409346E-2</v>
      </c>
      <c r="H2923" s="3">
        <v>2045.3835702720223</v>
      </c>
      <c r="I2923" s="3">
        <v>34.089726171200375</v>
      </c>
      <c r="J2923" s="3">
        <v>0.56816210285333957</v>
      </c>
      <c r="K2923" t="s">
        <v>73</v>
      </c>
    </row>
    <row r="2924" spans="1:11" x14ac:dyDescent="0.35">
      <c r="A2924">
        <v>2923</v>
      </c>
      <c r="B2924" t="s">
        <v>2</v>
      </c>
      <c r="C2924" t="s">
        <v>132</v>
      </c>
      <c r="D2924" t="s">
        <v>140</v>
      </c>
      <c r="E2924" s="2">
        <v>44292.405833333331</v>
      </c>
      <c r="F2924" s="2">
        <v>44292.417557870373</v>
      </c>
      <c r="G2924" s="3">
        <v>1.1724537042027805E-2</v>
      </c>
      <c r="H2924" s="3">
        <v>1019.1704661011652</v>
      </c>
      <c r="I2924" s="3">
        <v>16.986174435019418</v>
      </c>
      <c r="J2924" s="3">
        <v>0.28310290725032361</v>
      </c>
      <c r="K2924" t="s">
        <v>93</v>
      </c>
    </row>
    <row r="2925" spans="1:11" x14ac:dyDescent="0.35">
      <c r="A2925">
        <v>2924</v>
      </c>
      <c r="B2925" t="s">
        <v>2</v>
      </c>
      <c r="C2925" t="s">
        <v>72</v>
      </c>
      <c r="D2925" t="s">
        <v>140</v>
      </c>
      <c r="E2925" s="2">
        <v>44292.417731481481</v>
      </c>
      <c r="F2925" s="2">
        <v>44292.458495370367</v>
      </c>
      <c r="G2925" s="3">
        <v>4.0763888886431232E-2</v>
      </c>
      <c r="H2925" s="3">
        <v>3543.4534845646062</v>
      </c>
      <c r="I2925" s="3">
        <v>59.057558076076774</v>
      </c>
      <c r="J2925" s="3">
        <v>0.98429263460127958</v>
      </c>
      <c r="K2925" t="s">
        <v>73</v>
      </c>
    </row>
    <row r="2926" spans="1:11" x14ac:dyDescent="0.35">
      <c r="A2926">
        <v>2925</v>
      </c>
      <c r="B2926" t="s">
        <v>2</v>
      </c>
      <c r="C2926" t="s">
        <v>132</v>
      </c>
      <c r="D2926" t="s">
        <v>140</v>
      </c>
      <c r="E2926" s="2">
        <v>44292.458692129629</v>
      </c>
      <c r="F2926" s="2">
        <v>44292.464988425927</v>
      </c>
      <c r="G2926" s="3">
        <v>6.2962962983874604E-3</v>
      </c>
      <c r="H2926" s="3">
        <v>547.31365597943841</v>
      </c>
      <c r="I2926" s="3">
        <v>9.1218942663239737</v>
      </c>
      <c r="J2926" s="3">
        <v>0.15203157110539955</v>
      </c>
      <c r="K2926" t="s">
        <v>93</v>
      </c>
    </row>
    <row r="2927" spans="1:11" x14ac:dyDescent="0.35">
      <c r="A2927">
        <v>2926</v>
      </c>
      <c r="B2927" t="s">
        <v>16</v>
      </c>
      <c r="C2927" t="s">
        <v>16</v>
      </c>
      <c r="D2927" t="s">
        <v>140</v>
      </c>
      <c r="E2927" s="2">
        <v>44292.465092592596</v>
      </c>
      <c r="F2927" s="2">
        <v>44292.467465277776</v>
      </c>
      <c r="G2927" s="3">
        <v>2.372685179580003E-3</v>
      </c>
      <c r="H2927" s="3">
        <v>206.24871171592514</v>
      </c>
      <c r="I2927" s="3">
        <v>3.4374785285987524</v>
      </c>
      <c r="J2927" s="3">
        <v>5.7291308809979208E-2</v>
      </c>
    </row>
    <row r="2928" spans="1:11" x14ac:dyDescent="0.35">
      <c r="A2928">
        <v>2927</v>
      </c>
      <c r="B2928" t="s">
        <v>2</v>
      </c>
      <c r="C2928" t="s">
        <v>132</v>
      </c>
      <c r="D2928" t="s">
        <v>140</v>
      </c>
      <c r="E2928" s="2">
        <v>44292.467638888891</v>
      </c>
      <c r="F2928" s="2">
        <v>44292.55505787037</v>
      </c>
      <c r="G2928" s="3">
        <v>8.741898147854954E-2</v>
      </c>
      <c r="H2928" s="3">
        <v>7599.0074303328875</v>
      </c>
      <c r="I2928" s="3">
        <v>126.65012383888146</v>
      </c>
      <c r="J2928" s="3">
        <v>2.1108353973146907</v>
      </c>
      <c r="K2928" t="s">
        <v>93</v>
      </c>
    </row>
    <row r="2929" spans="1:11" x14ac:dyDescent="0.35">
      <c r="A2929">
        <v>2928</v>
      </c>
      <c r="B2929" t="s">
        <v>16</v>
      </c>
      <c r="C2929" t="s">
        <v>16</v>
      </c>
      <c r="D2929" t="s">
        <v>140</v>
      </c>
      <c r="E2929" s="2">
        <v>44292.555243055554</v>
      </c>
      <c r="F2929" s="2">
        <v>44292.574270833335</v>
      </c>
      <c r="G2929" s="3">
        <v>1.9027777780138422E-2</v>
      </c>
      <c r="H2929" s="3">
        <v>1654.0140629466639</v>
      </c>
      <c r="I2929" s="3">
        <v>27.566901049111063</v>
      </c>
      <c r="J2929" s="3">
        <v>0.4594483508185177</v>
      </c>
    </row>
    <row r="2930" spans="1:11" x14ac:dyDescent="0.35">
      <c r="A2930">
        <v>2929</v>
      </c>
      <c r="B2930" t="s">
        <v>2</v>
      </c>
      <c r="C2930" t="s">
        <v>133</v>
      </c>
      <c r="D2930" t="s">
        <v>140</v>
      </c>
      <c r="E2930" s="2">
        <v>44292.574467592596</v>
      </c>
      <c r="F2930" s="2">
        <v>44292.651342592595</v>
      </c>
      <c r="G2930" s="3">
        <v>7.6874999998835847E-2</v>
      </c>
      <c r="H2930" s="3">
        <v>6682.4582752812794</v>
      </c>
      <c r="I2930" s="3">
        <v>111.37430458802132</v>
      </c>
      <c r="J2930" s="3">
        <v>1.8562384098003553</v>
      </c>
      <c r="K2930" t="s">
        <v>99</v>
      </c>
    </row>
    <row r="2931" spans="1:11" x14ac:dyDescent="0.35">
      <c r="A2931">
        <v>2930</v>
      </c>
      <c r="B2931" t="s">
        <v>2</v>
      </c>
      <c r="C2931" t="s">
        <v>132</v>
      </c>
      <c r="D2931" t="s">
        <v>140</v>
      </c>
      <c r="E2931" s="2">
        <v>44292.65152777778</v>
      </c>
      <c r="F2931" s="2">
        <v>44292.681122685186</v>
      </c>
      <c r="G2931" s="3">
        <v>2.9594907406135462E-2</v>
      </c>
      <c r="H2931" s="3">
        <v>2572.5754003942507</v>
      </c>
      <c r="I2931" s="3">
        <v>42.876256673237513</v>
      </c>
      <c r="J2931" s="3">
        <v>0.71460427788729186</v>
      </c>
      <c r="K2931" t="s">
        <v>93</v>
      </c>
    </row>
    <row r="2932" spans="1:11" x14ac:dyDescent="0.35">
      <c r="A2932">
        <v>2931</v>
      </c>
      <c r="B2932" t="s">
        <v>2</v>
      </c>
      <c r="C2932" t="s">
        <v>133</v>
      </c>
      <c r="D2932" t="s">
        <v>140</v>
      </c>
      <c r="E2932" s="2">
        <v>44292.681284722225</v>
      </c>
      <c r="F2932" s="2">
        <v>44292.688240740739</v>
      </c>
      <c r="G2932" s="3">
        <v>6.956018514756579E-3</v>
      </c>
      <c r="H2932" s="3">
        <v>604.66085837591959</v>
      </c>
      <c r="I2932" s="3">
        <v>10.077680972931994</v>
      </c>
      <c r="J2932" s="3">
        <v>0.16796134954886657</v>
      </c>
      <c r="K2932" t="s">
        <v>99</v>
      </c>
    </row>
    <row r="2933" spans="1:11" x14ac:dyDescent="0.35">
      <c r="A2933">
        <v>2932</v>
      </c>
      <c r="B2933" t="s">
        <v>2</v>
      </c>
      <c r="C2933" t="s">
        <v>132</v>
      </c>
      <c r="D2933" t="s">
        <v>140</v>
      </c>
      <c r="E2933" s="2">
        <v>44292.688391203701</v>
      </c>
      <c r="F2933" s="2">
        <v>44292.72420138889</v>
      </c>
      <c r="G2933" s="3">
        <v>3.5810185188893229E-2</v>
      </c>
      <c r="H2933" s="3">
        <v>3112.8464176715252</v>
      </c>
      <c r="I2933" s="3">
        <v>51.880773627858751</v>
      </c>
      <c r="J2933" s="3">
        <v>0.86467956046431249</v>
      </c>
      <c r="K2933" t="s">
        <v>93</v>
      </c>
    </row>
    <row r="2934" spans="1:11" x14ac:dyDescent="0.35">
      <c r="A2934">
        <v>2933</v>
      </c>
      <c r="B2934" t="s">
        <v>11</v>
      </c>
      <c r="C2934" t="s">
        <v>11</v>
      </c>
      <c r="D2934" t="s">
        <v>140</v>
      </c>
      <c r="E2934" s="2">
        <v>44292.72457175926</v>
      </c>
      <c r="F2934" s="2">
        <v>44292.725335648145</v>
      </c>
      <c r="G2934" s="3">
        <v>7.6388888555811718E-4</v>
      </c>
      <c r="H2934" s="3">
        <v>66.402024127096411</v>
      </c>
      <c r="I2934" s="3">
        <v>1.1067004021182736</v>
      </c>
      <c r="J2934" s="3">
        <v>1.8445006701971228E-2</v>
      </c>
    </row>
    <row r="2935" spans="1:11" x14ac:dyDescent="0.35">
      <c r="A2935">
        <v>2934</v>
      </c>
      <c r="B2935" t="s">
        <v>11</v>
      </c>
      <c r="C2935" t="s">
        <v>11</v>
      </c>
      <c r="D2935" t="s">
        <v>140</v>
      </c>
      <c r="E2935" s="2">
        <v>44292.725601851853</v>
      </c>
      <c r="F2935" s="2">
        <v>44292.726886574077</v>
      </c>
      <c r="G2935" s="3">
        <v>1.2847222242271528E-3</v>
      </c>
      <c r="H2935" s="3">
        <v>111.67613214770104</v>
      </c>
      <c r="I2935" s="3">
        <v>1.8612688691283508</v>
      </c>
      <c r="J2935" s="3">
        <v>3.1021147818805845E-2</v>
      </c>
    </row>
    <row r="2936" spans="1:11" x14ac:dyDescent="0.35">
      <c r="A2936">
        <v>2935</v>
      </c>
      <c r="B2936" t="s">
        <v>2</v>
      </c>
      <c r="C2936" t="s">
        <v>132</v>
      </c>
      <c r="D2936" t="s">
        <v>140</v>
      </c>
      <c r="E2936" s="2">
        <v>44292.727025462962</v>
      </c>
      <c r="F2936" s="2">
        <v>44292.730682870373</v>
      </c>
      <c r="G2936" s="3">
        <v>3.6574074110831134E-3</v>
      </c>
      <c r="H2936" s="3">
        <v>317.92484449609816</v>
      </c>
      <c r="I2936" s="3">
        <v>5.2987474082683024</v>
      </c>
      <c r="J2936" s="3">
        <v>8.8312456804471709E-2</v>
      </c>
      <c r="K2936" t="s">
        <v>93</v>
      </c>
    </row>
    <row r="2937" spans="1:11" x14ac:dyDescent="0.35">
      <c r="A2937">
        <v>2936</v>
      </c>
      <c r="B2937" t="s">
        <v>2</v>
      </c>
      <c r="C2937" t="s">
        <v>72</v>
      </c>
      <c r="D2937" t="s">
        <v>140</v>
      </c>
      <c r="E2937" s="2">
        <v>44293.329652777778</v>
      </c>
      <c r="F2937" s="2">
        <v>44293.353506944448</v>
      </c>
      <c r="G2937" s="3">
        <v>2.3854166669480037E-2</v>
      </c>
      <c r="H2937" s="3">
        <v>2073.5541263456221</v>
      </c>
      <c r="I2937" s="3">
        <v>34.559235439093705</v>
      </c>
      <c r="J2937" s="3">
        <v>0.57598725731822842</v>
      </c>
      <c r="K2937" t="s">
        <v>73</v>
      </c>
    </row>
    <row r="2938" spans="1:11" x14ac:dyDescent="0.35">
      <c r="A2938">
        <v>2937</v>
      </c>
      <c r="B2938" t="s">
        <v>11</v>
      </c>
      <c r="C2938" t="s">
        <v>11</v>
      </c>
      <c r="D2938" t="s">
        <v>140</v>
      </c>
      <c r="E2938" s="2">
        <v>44293.35361111111</v>
      </c>
      <c r="F2938" s="2">
        <v>44293.358472222222</v>
      </c>
      <c r="G2938" s="3">
        <v>4.8611111124046147E-3</v>
      </c>
      <c r="H2938" s="3">
        <v>422.55833730916328</v>
      </c>
      <c r="I2938" s="3">
        <v>7.0426389551527215</v>
      </c>
      <c r="J2938" s="3">
        <v>0.11737731591921202</v>
      </c>
    </row>
    <row r="2939" spans="1:11" x14ac:dyDescent="0.35">
      <c r="A2939">
        <v>2938</v>
      </c>
      <c r="B2939" t="s">
        <v>11</v>
      </c>
      <c r="C2939" t="s">
        <v>11</v>
      </c>
      <c r="D2939" t="s">
        <v>140</v>
      </c>
      <c r="E2939" s="2">
        <v>44293.358587962961</v>
      </c>
      <c r="F2939" s="2">
        <v>44293.369259259256</v>
      </c>
      <c r="G2939" s="3">
        <v>1.0671296295186039E-2</v>
      </c>
      <c r="H2939" s="3">
        <v>927.61615917820222</v>
      </c>
      <c r="I2939" s="3">
        <v>15.460269319636703</v>
      </c>
      <c r="J2939" s="3">
        <v>0.25767115532727841</v>
      </c>
    </row>
    <row r="2940" spans="1:11" x14ac:dyDescent="0.35">
      <c r="A2940">
        <v>2939</v>
      </c>
      <c r="B2940" t="s">
        <v>16</v>
      </c>
      <c r="C2940" t="s">
        <v>16</v>
      </c>
      <c r="D2940" t="s">
        <v>140</v>
      </c>
      <c r="E2940" s="2">
        <v>44293.369375000002</v>
      </c>
      <c r="F2940" s="2">
        <v>44293.373541666668</v>
      </c>
      <c r="G2940" s="3">
        <v>4.166666665696539E-3</v>
      </c>
      <c r="H2940" s="3">
        <v>362.19286037000512</v>
      </c>
      <c r="I2940" s="3">
        <v>6.0365476728334189</v>
      </c>
      <c r="J2940" s="3">
        <v>0.10060912788055698</v>
      </c>
    </row>
    <row r="2941" spans="1:11" x14ac:dyDescent="0.35">
      <c r="A2941">
        <v>2940</v>
      </c>
      <c r="B2941" t="s">
        <v>2</v>
      </c>
      <c r="C2941" t="s">
        <v>132</v>
      </c>
      <c r="D2941" t="s">
        <v>140</v>
      </c>
      <c r="E2941" s="2">
        <v>44293.373749999999</v>
      </c>
      <c r="F2941" s="2">
        <v>44293.38212962963</v>
      </c>
      <c r="G2941" s="3">
        <v>8.3796296312357299E-3</v>
      </c>
      <c r="H2941" s="3">
        <v>728.41008616444105</v>
      </c>
      <c r="I2941" s="3">
        <v>12.140168102740684</v>
      </c>
      <c r="J2941" s="3">
        <v>0.20233613504567807</v>
      </c>
      <c r="K2941" t="s">
        <v>93</v>
      </c>
    </row>
    <row r="2942" spans="1:11" x14ac:dyDescent="0.35">
      <c r="A2942">
        <v>2941</v>
      </c>
      <c r="B2942" t="s">
        <v>2</v>
      </c>
      <c r="C2942" t="s">
        <v>132</v>
      </c>
      <c r="D2942" t="s">
        <v>140</v>
      </c>
      <c r="E2942" s="2">
        <v>44293.382314814815</v>
      </c>
      <c r="F2942" s="2">
        <v>44293.417824074073</v>
      </c>
      <c r="G2942" s="3">
        <v>3.5509259258105885E-2</v>
      </c>
      <c r="H2942" s="3">
        <v>3086.688043993905</v>
      </c>
      <c r="I2942" s="3">
        <v>51.444800733231752</v>
      </c>
      <c r="J2942" s="3">
        <v>0.8574133455538625</v>
      </c>
      <c r="K2942" t="s">
        <v>41</v>
      </c>
    </row>
    <row r="2943" spans="1:11" x14ac:dyDescent="0.35">
      <c r="A2943">
        <v>2942</v>
      </c>
      <c r="B2943" t="s">
        <v>2</v>
      </c>
      <c r="C2943" t="s">
        <v>132</v>
      </c>
      <c r="D2943" t="s">
        <v>140</v>
      </c>
      <c r="E2943" s="2">
        <v>44293.418020833335</v>
      </c>
      <c r="F2943" s="2">
        <v>44293.421759259261</v>
      </c>
      <c r="G2943" s="3">
        <v>3.7384259267128073E-3</v>
      </c>
      <c r="H2943" s="3">
        <v>324.96748319826207</v>
      </c>
      <c r="I2943" s="3">
        <v>5.4161247199710347</v>
      </c>
      <c r="J2943" s="3">
        <v>9.0268745332850578E-2</v>
      </c>
      <c r="K2943" t="s">
        <v>93</v>
      </c>
    </row>
    <row r="2944" spans="1:11" x14ac:dyDescent="0.35">
      <c r="A2944">
        <v>2943</v>
      </c>
      <c r="B2944" t="s">
        <v>2</v>
      </c>
      <c r="C2944" t="s">
        <v>72</v>
      </c>
      <c r="D2944" t="s">
        <v>140</v>
      </c>
      <c r="E2944" s="2">
        <v>44293.421979166669</v>
      </c>
      <c r="F2944" s="2">
        <v>44293.423842592594</v>
      </c>
      <c r="G2944" s="3">
        <v>1.8634259249665774E-3</v>
      </c>
      <c r="H2944" s="3">
        <v>161.98069584201821</v>
      </c>
      <c r="I2944" s="3">
        <v>2.6996782640336368</v>
      </c>
      <c r="J2944" s="3">
        <v>4.4994637733893943E-2</v>
      </c>
      <c r="K2944" t="s">
        <v>100</v>
      </c>
    </row>
    <row r="2945" spans="1:11" x14ac:dyDescent="0.35">
      <c r="A2945">
        <v>2944</v>
      </c>
      <c r="B2945" t="s">
        <v>2</v>
      </c>
      <c r="C2945" t="s">
        <v>132</v>
      </c>
      <c r="D2945" t="s">
        <v>140</v>
      </c>
      <c r="E2945" s="2">
        <v>44293.423981481479</v>
      </c>
      <c r="F2945" s="2">
        <v>44293.432858796295</v>
      </c>
      <c r="G2945" s="3">
        <v>8.8773148163454607E-3</v>
      </c>
      <c r="H2945" s="3">
        <v>771.67201115659429</v>
      </c>
      <c r="I2945" s="3">
        <v>12.861200185943238</v>
      </c>
      <c r="J2945" s="3">
        <v>0.2143533364323873</v>
      </c>
      <c r="K2945" t="s">
        <v>93</v>
      </c>
    </row>
    <row r="2946" spans="1:11" x14ac:dyDescent="0.35">
      <c r="A2946">
        <v>2945</v>
      </c>
      <c r="B2946" t="s">
        <v>2</v>
      </c>
      <c r="C2946" t="s">
        <v>136</v>
      </c>
      <c r="D2946" t="s">
        <v>140</v>
      </c>
      <c r="E2946" s="2">
        <v>44293.433182870373</v>
      </c>
      <c r="F2946" s="2">
        <v>44293.456203703703</v>
      </c>
      <c r="G2946" s="3">
        <v>2.3020833330519963E-2</v>
      </c>
      <c r="H2946" s="3">
        <v>2001.1155537656434</v>
      </c>
      <c r="I2946" s="3">
        <v>33.351925896094059</v>
      </c>
      <c r="J2946" s="3">
        <v>0.55586543160156765</v>
      </c>
      <c r="K2946" t="s">
        <v>90</v>
      </c>
    </row>
    <row r="2947" spans="1:11" x14ac:dyDescent="0.35">
      <c r="A2947">
        <v>2946</v>
      </c>
      <c r="B2947" t="s">
        <v>2</v>
      </c>
      <c r="C2947" t="s">
        <v>133</v>
      </c>
      <c r="D2947" t="s">
        <v>140</v>
      </c>
      <c r="E2947" s="2">
        <v>44293.456354166665</v>
      </c>
      <c r="F2947" s="2">
        <v>44293.500405092593</v>
      </c>
      <c r="G2947" s="3">
        <v>4.405092592787696E-2</v>
      </c>
      <c r="H2947" s="3">
        <v>3829.1834081951461</v>
      </c>
      <c r="I2947" s="3">
        <v>63.819723469919104</v>
      </c>
      <c r="J2947" s="3">
        <v>1.0636620578319851</v>
      </c>
      <c r="K2947" t="s">
        <v>99</v>
      </c>
    </row>
    <row r="2948" spans="1:11" x14ac:dyDescent="0.35">
      <c r="A2948">
        <v>2947</v>
      </c>
      <c r="B2948" t="s">
        <v>2</v>
      </c>
      <c r="C2948" t="s">
        <v>72</v>
      </c>
      <c r="D2948" t="s">
        <v>140</v>
      </c>
      <c r="E2948" s="2">
        <v>44293.500567129631</v>
      </c>
      <c r="F2948" s="2">
        <v>44293.510937500003</v>
      </c>
      <c r="G2948" s="3">
        <v>1.0370370371674653E-2</v>
      </c>
      <c r="H2948" s="3">
        <v>901.4577861330539</v>
      </c>
      <c r="I2948" s="3">
        <v>15.024296435550898</v>
      </c>
      <c r="J2948" s="3">
        <v>0.25040494059251495</v>
      </c>
      <c r="K2948" t="s">
        <v>100</v>
      </c>
    </row>
    <row r="2949" spans="1:11" x14ac:dyDescent="0.35">
      <c r="A2949">
        <v>2948</v>
      </c>
      <c r="B2949" t="s">
        <v>16</v>
      </c>
      <c r="C2949" t="s">
        <v>16</v>
      </c>
      <c r="D2949" t="s">
        <v>140</v>
      </c>
      <c r="E2949" s="2">
        <v>44293.511064814818</v>
      </c>
      <c r="F2949" s="2">
        <v>44293.553935185184</v>
      </c>
      <c r="G2949" s="3">
        <v>4.2870370365562849E-2</v>
      </c>
      <c r="H2949" s="3">
        <v>3726.5620971455883</v>
      </c>
      <c r="I2949" s="3">
        <v>62.109368285759807</v>
      </c>
      <c r="J2949" s="3">
        <v>1.0351561380959968</v>
      </c>
    </row>
    <row r="2950" spans="1:11" x14ac:dyDescent="0.35">
      <c r="A2950">
        <v>2949</v>
      </c>
      <c r="B2950" t="s">
        <v>2</v>
      </c>
      <c r="C2950" t="s">
        <v>136</v>
      </c>
      <c r="D2950" t="s">
        <v>140</v>
      </c>
      <c r="E2950" s="2">
        <v>44293.554143518515</v>
      </c>
      <c r="F2950" s="2">
        <v>44293.624965277777</v>
      </c>
      <c r="G2950" s="3">
        <v>7.0821759261889383E-2</v>
      </c>
      <c r="H2950" s="3">
        <v>6156.2725366732775</v>
      </c>
      <c r="I2950" s="3">
        <v>102.60454227788796</v>
      </c>
      <c r="J2950" s="3">
        <v>1.7100757046314661</v>
      </c>
      <c r="K2950" t="s">
        <v>90</v>
      </c>
    </row>
    <row r="2951" spans="1:11" x14ac:dyDescent="0.35">
      <c r="A2951">
        <v>2950</v>
      </c>
      <c r="B2951" t="s">
        <v>2</v>
      </c>
      <c r="C2951" t="s">
        <v>132</v>
      </c>
      <c r="D2951" t="s">
        <v>140</v>
      </c>
      <c r="E2951" s="2">
        <v>44293.625208333331</v>
      </c>
      <c r="F2951" s="2">
        <v>44293.637638888889</v>
      </c>
      <c r="G2951" s="3">
        <v>1.2430555558239575E-2</v>
      </c>
      <c r="H2951" s="3">
        <v>1080.5420339220771</v>
      </c>
      <c r="I2951" s="3">
        <v>18.009033898701283</v>
      </c>
      <c r="J2951" s="3">
        <v>0.30015056497835474</v>
      </c>
      <c r="K2951" t="s">
        <v>93</v>
      </c>
    </row>
    <row r="2952" spans="1:11" x14ac:dyDescent="0.35">
      <c r="A2952">
        <v>2951</v>
      </c>
      <c r="B2952" t="s">
        <v>2</v>
      </c>
      <c r="C2952" t="s">
        <v>133</v>
      </c>
      <c r="D2952" t="s">
        <v>140</v>
      </c>
      <c r="E2952" s="2">
        <v>44293.63790509259</v>
      </c>
      <c r="F2952" s="2">
        <v>44293.706944444442</v>
      </c>
      <c r="G2952" s="3">
        <v>6.90393518525525E-2</v>
      </c>
      <c r="H2952" s="3">
        <v>6001.3344795334224</v>
      </c>
      <c r="I2952" s="3">
        <v>100.02224132555703</v>
      </c>
      <c r="J2952" s="3">
        <v>1.6670373554259506</v>
      </c>
      <c r="K2952" t="s">
        <v>99</v>
      </c>
    </row>
    <row r="2953" spans="1:11" x14ac:dyDescent="0.35">
      <c r="A2953">
        <v>2952</v>
      </c>
      <c r="B2953" t="s">
        <v>2</v>
      </c>
      <c r="C2953" t="s">
        <v>132</v>
      </c>
      <c r="D2953" t="s">
        <v>140</v>
      </c>
      <c r="E2953" s="2">
        <v>44293.707118055558</v>
      </c>
      <c r="F2953" s="2">
        <v>44293.722349537034</v>
      </c>
      <c r="G2953" s="3">
        <v>1.523148147680331E-2</v>
      </c>
      <c r="H2953" s="3">
        <v>1324.0161228097452</v>
      </c>
      <c r="I2953" s="3">
        <v>22.06693538016242</v>
      </c>
      <c r="J2953" s="3">
        <v>0.36778225633604034</v>
      </c>
      <c r="K2953" t="s">
        <v>93</v>
      </c>
    </row>
    <row r="2954" spans="1:11" x14ac:dyDescent="0.35">
      <c r="A2954">
        <v>2953</v>
      </c>
      <c r="B2954" t="s">
        <v>11</v>
      </c>
      <c r="C2954" t="s">
        <v>11</v>
      </c>
      <c r="D2954" t="s">
        <v>140</v>
      </c>
      <c r="E2954" s="2">
        <v>44293.738043981481</v>
      </c>
      <c r="F2954" s="2">
        <v>44293.801400462966</v>
      </c>
      <c r="G2954" s="3">
        <v>6.3356481485243421E-2</v>
      </c>
      <c r="H2954" s="3">
        <v>5507.3436617909783</v>
      </c>
      <c r="I2954" s="3">
        <v>91.789061029849634</v>
      </c>
      <c r="J2954" s="3">
        <v>1.5298176838308273</v>
      </c>
    </row>
    <row r="2955" spans="1:11" x14ac:dyDescent="0.35">
      <c r="A2955">
        <v>2954</v>
      </c>
      <c r="B2955" t="s">
        <v>2</v>
      </c>
      <c r="C2955" t="s">
        <v>72</v>
      </c>
      <c r="D2955" t="s">
        <v>140</v>
      </c>
      <c r="E2955" s="2">
        <v>44294.330069444448</v>
      </c>
      <c r="F2955" s="2">
        <v>44294.374988425923</v>
      </c>
      <c r="G2955" s="3">
        <v>4.4918981475348119E-2</v>
      </c>
      <c r="H2955" s="3">
        <v>3904.6402534203858</v>
      </c>
      <c r="I2955" s="3">
        <v>65.07733755700643</v>
      </c>
      <c r="J2955" s="3">
        <v>1.0846222926167739</v>
      </c>
      <c r="K2955" t="s">
        <v>100</v>
      </c>
    </row>
    <row r="2956" spans="1:11" x14ac:dyDescent="0.35">
      <c r="A2956">
        <v>2955</v>
      </c>
      <c r="B2956" t="s">
        <v>2</v>
      </c>
      <c r="C2956" t="s">
        <v>136</v>
      </c>
      <c r="D2956" t="s">
        <v>140</v>
      </c>
      <c r="E2956" s="2">
        <v>44294.375277777777</v>
      </c>
      <c r="F2956" s="2">
        <v>44294.423136574071</v>
      </c>
      <c r="G2956" s="3">
        <v>4.7858796293439809E-2</v>
      </c>
      <c r="H2956" s="3">
        <v>4160.1874385813462</v>
      </c>
      <c r="I2956" s="3">
        <v>69.336457309689109</v>
      </c>
      <c r="J2956" s="3">
        <v>1.1556076218281519</v>
      </c>
      <c r="K2956" t="s">
        <v>90</v>
      </c>
    </row>
    <row r="2957" spans="1:11" x14ac:dyDescent="0.35">
      <c r="A2957">
        <v>2956</v>
      </c>
      <c r="B2957" t="s">
        <v>2</v>
      </c>
      <c r="C2957" t="s">
        <v>133</v>
      </c>
      <c r="D2957" t="s">
        <v>140</v>
      </c>
      <c r="E2957" s="2">
        <v>44294.423518518517</v>
      </c>
      <c r="F2957" s="2">
        <v>44294.439745370371</v>
      </c>
      <c r="G2957" s="3">
        <v>1.6226851854298729E-2</v>
      </c>
      <c r="H2957" s="3">
        <v>1410.5399734265236</v>
      </c>
      <c r="I2957" s="3">
        <v>23.508999557108726</v>
      </c>
      <c r="J2957" s="3">
        <v>0.39181665928514542</v>
      </c>
      <c r="K2957" t="s">
        <v>99</v>
      </c>
    </row>
    <row r="2958" spans="1:11" x14ac:dyDescent="0.35">
      <c r="A2958">
        <v>2957</v>
      </c>
      <c r="B2958" t="s">
        <v>2</v>
      </c>
      <c r="C2958" t="s">
        <v>132</v>
      </c>
      <c r="D2958" t="s">
        <v>140</v>
      </c>
      <c r="E2958" s="2">
        <v>44294.439953703702</v>
      </c>
      <c r="F2958" s="2">
        <v>44294.44425925926</v>
      </c>
      <c r="G2958" s="3">
        <v>4.3055555579485372E-3</v>
      </c>
      <c r="H2958" s="3">
        <v>374.26595601082556</v>
      </c>
      <c r="I2958" s="3">
        <v>6.2377659335137592</v>
      </c>
      <c r="J2958" s="3">
        <v>0.10396276555856265</v>
      </c>
      <c r="K2958" t="s">
        <v>93</v>
      </c>
    </row>
    <row r="2959" spans="1:11" x14ac:dyDescent="0.35">
      <c r="A2959">
        <v>2958</v>
      </c>
      <c r="B2959" t="s">
        <v>2</v>
      </c>
      <c r="C2959" t="s">
        <v>133</v>
      </c>
      <c r="D2959" t="s">
        <v>140</v>
      </c>
      <c r="E2959" s="2">
        <v>44294.444502314815</v>
      </c>
      <c r="F2959" s="2">
        <v>44294.450752314813</v>
      </c>
      <c r="G2959" s="3">
        <v>6.2499999985448085E-3</v>
      </c>
      <c r="H2959" s="3">
        <v>543.28929055500771</v>
      </c>
      <c r="I2959" s="3">
        <v>9.0548215092501287</v>
      </c>
      <c r="J2959" s="3">
        <v>0.15091369182083547</v>
      </c>
      <c r="K2959" t="s">
        <v>99</v>
      </c>
    </row>
    <row r="2960" spans="1:11" x14ac:dyDescent="0.35">
      <c r="A2960">
        <v>2959</v>
      </c>
      <c r="B2960" t="s">
        <v>2</v>
      </c>
      <c r="C2960" t="s">
        <v>72</v>
      </c>
      <c r="D2960" t="s">
        <v>140</v>
      </c>
      <c r="E2960" s="2">
        <v>44294.450949074075</v>
      </c>
      <c r="F2960" s="2">
        <v>44294.45584490741</v>
      </c>
      <c r="G2960" s="3">
        <v>4.8958333354676142E-3</v>
      </c>
      <c r="H2960" s="3">
        <v>425.57661121936837</v>
      </c>
      <c r="I2960" s="3">
        <v>7.0929435203228062</v>
      </c>
      <c r="J2960" s="3">
        <v>0.11821572533871344</v>
      </c>
      <c r="K2960" t="s">
        <v>100</v>
      </c>
    </row>
    <row r="2961" spans="1:11" x14ac:dyDescent="0.35">
      <c r="A2961">
        <v>2960</v>
      </c>
      <c r="B2961" t="s">
        <v>2</v>
      </c>
      <c r="C2961" t="s">
        <v>132</v>
      </c>
      <c r="D2961" t="s">
        <v>140</v>
      </c>
      <c r="E2961" s="2">
        <v>44294.456053240741</v>
      </c>
      <c r="F2961" s="2">
        <v>44294.460509259261</v>
      </c>
      <c r="G2961" s="3">
        <v>4.4560185197042301E-3</v>
      </c>
      <c r="H2961" s="3">
        <v>387.34514253339967</v>
      </c>
      <c r="I2961" s="3">
        <v>6.4557523755566608</v>
      </c>
      <c r="J2961" s="3">
        <v>0.10759587292594434</v>
      </c>
      <c r="K2961" t="s">
        <v>93</v>
      </c>
    </row>
    <row r="2962" spans="1:11" x14ac:dyDescent="0.35">
      <c r="A2962">
        <v>2961</v>
      </c>
      <c r="B2962" t="s">
        <v>2</v>
      </c>
      <c r="C2962" t="s">
        <v>72</v>
      </c>
      <c r="D2962" t="s">
        <v>140</v>
      </c>
      <c r="E2962" s="2">
        <v>44294.460729166669</v>
      </c>
      <c r="F2962" s="2">
        <v>44294.469467592593</v>
      </c>
      <c r="G2962" s="3">
        <v>8.7384259240934625E-3</v>
      </c>
      <c r="H2962" s="3">
        <v>759.5989155157738</v>
      </c>
      <c r="I2962" s="3">
        <v>12.659981925262896</v>
      </c>
      <c r="J2962" s="3">
        <v>0.2109996987543816</v>
      </c>
      <c r="K2962" t="s">
        <v>100</v>
      </c>
    </row>
    <row r="2963" spans="1:11" x14ac:dyDescent="0.35">
      <c r="A2963">
        <v>2962</v>
      </c>
      <c r="B2963" t="s">
        <v>2</v>
      </c>
      <c r="C2963" t="s">
        <v>132</v>
      </c>
      <c r="D2963" t="s">
        <v>140</v>
      </c>
      <c r="E2963" s="2">
        <v>44294.469652777778</v>
      </c>
      <c r="F2963" s="2">
        <v>44294.481493055559</v>
      </c>
      <c r="G2963" s="3">
        <v>1.1840277780720498E-2</v>
      </c>
      <c r="H2963" s="3">
        <v>1029.2313787135342</v>
      </c>
      <c r="I2963" s="3">
        <v>17.153856311892238</v>
      </c>
      <c r="J2963" s="3">
        <v>0.28589760519820395</v>
      </c>
      <c r="K2963" t="s">
        <v>93</v>
      </c>
    </row>
    <row r="2964" spans="1:11" x14ac:dyDescent="0.35">
      <c r="A2964">
        <v>2963</v>
      </c>
      <c r="B2964" t="s">
        <v>16</v>
      </c>
      <c r="C2964" t="s">
        <v>16</v>
      </c>
      <c r="D2964" t="s">
        <v>140</v>
      </c>
      <c r="E2964" s="2">
        <v>44294.48159722222</v>
      </c>
      <c r="F2964" s="2">
        <v>44294.52107638889</v>
      </c>
      <c r="G2964" s="3">
        <v>3.9479166669480037E-2</v>
      </c>
      <c r="H2964" s="3">
        <v>3431.7773530493773</v>
      </c>
      <c r="I2964" s="3">
        <v>57.196289217489621</v>
      </c>
      <c r="J2964" s="3">
        <v>0.95327148695816033</v>
      </c>
    </row>
    <row r="2965" spans="1:11" x14ac:dyDescent="0.35">
      <c r="A2965">
        <v>2964</v>
      </c>
      <c r="B2965" t="s">
        <v>2</v>
      </c>
      <c r="C2965" t="s">
        <v>133</v>
      </c>
      <c r="D2965" t="s">
        <v>140</v>
      </c>
      <c r="E2965" s="2">
        <v>44294.521377314813</v>
      </c>
      <c r="F2965" s="2">
        <v>44294.555081018516</v>
      </c>
      <c r="G2965" s="3">
        <v>3.3703703702485655E-2</v>
      </c>
      <c r="H2965" s="3">
        <v>2929.7378044580714</v>
      </c>
      <c r="I2965" s="3">
        <v>48.828963407634525</v>
      </c>
      <c r="J2965" s="3">
        <v>0.81381605679390878</v>
      </c>
      <c r="K2965" t="s">
        <v>99</v>
      </c>
    </row>
    <row r="2966" spans="1:11" x14ac:dyDescent="0.35">
      <c r="A2966">
        <v>2965</v>
      </c>
      <c r="B2966" t="s">
        <v>2</v>
      </c>
      <c r="C2966" t="s">
        <v>96</v>
      </c>
      <c r="D2966" t="s">
        <v>140</v>
      </c>
      <c r="E2966" s="2">
        <v>44294.555300925924</v>
      </c>
      <c r="F2966" s="2">
        <v>44294.56046296296</v>
      </c>
      <c r="G2966" s="3">
        <v>5.1620370359160006E-3</v>
      </c>
      <c r="H2966" s="3">
        <v>448.71671035431154</v>
      </c>
      <c r="I2966" s="3">
        <v>7.4786118392385257</v>
      </c>
      <c r="J2966" s="3">
        <v>0.12464353065397543</v>
      </c>
    </row>
    <row r="2967" spans="1:11" x14ac:dyDescent="0.35">
      <c r="A2967">
        <v>2966</v>
      </c>
      <c r="B2967" t="s">
        <v>2</v>
      </c>
      <c r="C2967" t="s">
        <v>72</v>
      </c>
      <c r="D2967" t="s">
        <v>140</v>
      </c>
      <c r="E2967" s="2">
        <v>44294.560914351852</v>
      </c>
      <c r="F2967" s="2">
        <v>44294.569143518522</v>
      </c>
      <c r="G2967" s="3">
        <v>8.2291666694800369E-3</v>
      </c>
      <c r="H2967" s="3">
        <v>715.33089964186684</v>
      </c>
      <c r="I2967" s="3">
        <v>11.922181660697781</v>
      </c>
      <c r="J2967" s="3">
        <v>0.19870302767829634</v>
      </c>
      <c r="K2967" t="s">
        <v>100</v>
      </c>
    </row>
    <row r="2968" spans="1:11" x14ac:dyDescent="0.35">
      <c r="A2968">
        <v>2967</v>
      </c>
      <c r="B2968" t="s">
        <v>2</v>
      </c>
      <c r="C2968" t="s">
        <v>132</v>
      </c>
      <c r="D2968" t="s">
        <v>140</v>
      </c>
      <c r="E2968" s="2">
        <v>44294.569409722222</v>
      </c>
      <c r="F2968" s="2">
        <v>44294.577951388892</v>
      </c>
      <c r="G2968" s="3">
        <v>8.5416666697710752E-3</v>
      </c>
      <c r="H2968" s="3">
        <v>742.49536420124082</v>
      </c>
      <c r="I2968" s="3">
        <v>12.374922736687347</v>
      </c>
      <c r="J2968" s="3">
        <v>0.20624871227812244</v>
      </c>
      <c r="K2968" t="s">
        <v>93</v>
      </c>
    </row>
    <row r="2969" spans="1:11" x14ac:dyDescent="0.35">
      <c r="A2969">
        <v>2968</v>
      </c>
      <c r="B2969" t="s">
        <v>2</v>
      </c>
      <c r="C2969" t="s">
        <v>132</v>
      </c>
      <c r="D2969" t="s">
        <v>140</v>
      </c>
      <c r="E2969" s="2">
        <v>44294.578298611108</v>
      </c>
      <c r="F2969" s="2">
        <v>44294.589432870373</v>
      </c>
      <c r="G2969" s="3">
        <v>1.1134259264508728E-2</v>
      </c>
      <c r="H2969" s="3">
        <v>967.85981089262236</v>
      </c>
      <c r="I2969" s="3">
        <v>16.130996848210373</v>
      </c>
      <c r="J2969" s="3">
        <v>0.26884994747017288</v>
      </c>
      <c r="K2969" t="s">
        <v>93</v>
      </c>
    </row>
    <row r="2970" spans="1:11" x14ac:dyDescent="0.35">
      <c r="A2970">
        <v>2969</v>
      </c>
      <c r="B2970" t="s">
        <v>2</v>
      </c>
      <c r="C2970" t="s">
        <v>132</v>
      </c>
      <c r="D2970" t="s">
        <v>140</v>
      </c>
      <c r="E2970" s="2">
        <v>44294.58966435185</v>
      </c>
      <c r="F2970" s="2">
        <v>44294.593680555554</v>
      </c>
      <c r="G2970" s="3">
        <v>4.016203703940846E-3</v>
      </c>
      <c r="H2970" s="3">
        <v>349.11367384743096</v>
      </c>
      <c r="I2970" s="3">
        <v>5.8185612307905163</v>
      </c>
      <c r="J2970" s="3">
        <v>9.6976020513175276E-2</v>
      </c>
      <c r="K2970" t="s">
        <v>93</v>
      </c>
    </row>
    <row r="2971" spans="1:11" x14ac:dyDescent="0.35">
      <c r="A2971">
        <v>2970</v>
      </c>
      <c r="B2971" t="s">
        <v>2</v>
      </c>
      <c r="C2971" t="s">
        <v>132</v>
      </c>
      <c r="D2971" t="s">
        <v>140</v>
      </c>
      <c r="E2971" s="2">
        <v>44294.593993055554</v>
      </c>
      <c r="F2971" s="2">
        <v>44294.614884259259</v>
      </c>
      <c r="G2971" s="3">
        <v>2.0891203705104999E-2</v>
      </c>
      <c r="H2971" s="3">
        <v>1815.994758788682</v>
      </c>
      <c r="I2971" s="3">
        <v>30.2665793131447</v>
      </c>
      <c r="J2971" s="3">
        <v>0.50444298855241165</v>
      </c>
      <c r="K2971" t="s">
        <v>93</v>
      </c>
    </row>
    <row r="2972" spans="1:11" x14ac:dyDescent="0.35">
      <c r="A2972">
        <v>2971</v>
      </c>
      <c r="B2972" t="s">
        <v>2</v>
      </c>
      <c r="C2972" t="s">
        <v>96</v>
      </c>
      <c r="D2972" t="s">
        <v>140</v>
      </c>
      <c r="E2972" s="2">
        <v>44294.615046296298</v>
      </c>
      <c r="F2972" s="2">
        <v>44294.624502314815</v>
      </c>
      <c r="G2972" s="3">
        <v>9.4560185170848854E-3</v>
      </c>
      <c r="H2972" s="3">
        <v>821.97657485091145</v>
      </c>
      <c r="I2972" s="3">
        <v>13.699609580848524</v>
      </c>
      <c r="J2972" s="3">
        <v>0.22832682634747539</v>
      </c>
    </row>
    <row r="2973" spans="1:11" x14ac:dyDescent="0.35">
      <c r="A2973">
        <v>2972</v>
      </c>
      <c r="B2973" t="s">
        <v>2</v>
      </c>
      <c r="C2973" t="s">
        <v>132</v>
      </c>
      <c r="D2973" t="s">
        <v>140</v>
      </c>
      <c r="E2973" s="2">
        <v>44294.624780092592</v>
      </c>
      <c r="F2973" s="2">
        <v>44294.653692129628</v>
      </c>
      <c r="G2973" s="3">
        <v>2.8912037036207039E-2</v>
      </c>
      <c r="H2973" s="3">
        <v>2513.2160149693182</v>
      </c>
      <c r="I2973" s="3">
        <v>41.886933582821968</v>
      </c>
      <c r="J2973" s="3">
        <v>0.69811555971369943</v>
      </c>
      <c r="K2973" t="s">
        <v>93</v>
      </c>
    </row>
    <row r="2974" spans="1:11" x14ac:dyDescent="0.35">
      <c r="A2974">
        <v>2973</v>
      </c>
      <c r="B2974" t="s">
        <v>2</v>
      </c>
      <c r="C2974" t="s">
        <v>132</v>
      </c>
      <c r="D2974" t="s">
        <v>140</v>
      </c>
      <c r="E2974" s="2">
        <v>44294.653912037036</v>
      </c>
      <c r="F2974" s="2">
        <v>44294.67460648148</v>
      </c>
      <c r="G2974" s="3">
        <v>2.0694444443506654E-2</v>
      </c>
      <c r="H2974" s="3">
        <v>1798.8912068416771</v>
      </c>
      <c r="I2974" s="3">
        <v>29.981520114027951</v>
      </c>
      <c r="J2974" s="3">
        <v>0.49969200190046587</v>
      </c>
      <c r="K2974" t="s">
        <v>93</v>
      </c>
    </row>
    <row r="2975" spans="1:11" x14ac:dyDescent="0.35">
      <c r="A2975">
        <v>2974</v>
      </c>
      <c r="B2975" t="s">
        <v>11</v>
      </c>
      <c r="C2975" t="s">
        <v>11</v>
      </c>
      <c r="D2975" t="s">
        <v>140</v>
      </c>
      <c r="E2975" s="2">
        <v>44294.67491898148</v>
      </c>
      <c r="F2975" s="2">
        <v>44294.704861111109</v>
      </c>
      <c r="G2975" s="3">
        <v>2.99421296294895E-2</v>
      </c>
      <c r="H2975" s="3">
        <v>2602.75813886383</v>
      </c>
      <c r="I2975" s="3">
        <v>43.379302314397165</v>
      </c>
      <c r="J2975" s="3">
        <v>0.72298837190661946</v>
      </c>
    </row>
    <row r="2976" spans="1:11" x14ac:dyDescent="0.35">
      <c r="A2976">
        <v>2975</v>
      </c>
      <c r="B2976" t="s">
        <v>2</v>
      </c>
      <c r="C2976" t="s">
        <v>72</v>
      </c>
      <c r="D2976" t="s">
        <v>140</v>
      </c>
      <c r="E2976" s="2">
        <v>44295.323935185188</v>
      </c>
      <c r="F2976" s="2">
        <v>44295.368472222224</v>
      </c>
      <c r="G2976" s="3">
        <v>4.4537037036207039E-2</v>
      </c>
      <c r="H2976" s="3">
        <v>3871.4392416730734</v>
      </c>
      <c r="I2976" s="3">
        <v>64.523987361217891</v>
      </c>
      <c r="J2976" s="3">
        <v>1.0753997893536316</v>
      </c>
      <c r="K2976" t="s">
        <v>100</v>
      </c>
    </row>
    <row r="2977" spans="1:11" x14ac:dyDescent="0.35">
      <c r="A2977">
        <v>2976</v>
      </c>
      <c r="B2977" t="s">
        <v>2</v>
      </c>
      <c r="C2977" t="s">
        <v>132</v>
      </c>
      <c r="D2977" t="s">
        <v>140</v>
      </c>
      <c r="E2977" s="2">
        <v>44295.368668981479</v>
      </c>
      <c r="F2977" s="2">
        <v>44295.373263888891</v>
      </c>
      <c r="G2977" s="3">
        <v>4.5949074119562283E-3</v>
      </c>
      <c r="H2977" s="3">
        <v>399.41823817422011</v>
      </c>
      <c r="I2977" s="3">
        <v>6.656970636237002</v>
      </c>
      <c r="J2977" s="3">
        <v>0.11094951060395003</v>
      </c>
      <c r="K2977" t="s">
        <v>93</v>
      </c>
    </row>
    <row r="2978" spans="1:11" x14ac:dyDescent="0.35">
      <c r="A2978">
        <v>2977</v>
      </c>
      <c r="B2978" t="s">
        <v>11</v>
      </c>
      <c r="C2978" t="s">
        <v>11</v>
      </c>
      <c r="D2978" t="s">
        <v>140</v>
      </c>
      <c r="E2978" s="2">
        <v>44295.373379629629</v>
      </c>
      <c r="F2978" s="2">
        <v>44295.38082175926</v>
      </c>
      <c r="G2978" s="3">
        <v>7.442129630362615E-3</v>
      </c>
      <c r="H2978" s="3">
        <v>646.91669248631911</v>
      </c>
      <c r="I2978" s="3">
        <v>10.781944874771986</v>
      </c>
      <c r="J2978" s="3">
        <v>0.17969908124619977</v>
      </c>
    </row>
    <row r="2979" spans="1:11" x14ac:dyDescent="0.35">
      <c r="A2979">
        <v>2978</v>
      </c>
      <c r="B2979" t="s">
        <v>2</v>
      </c>
      <c r="C2979" t="s">
        <v>96</v>
      </c>
      <c r="D2979" t="s">
        <v>140</v>
      </c>
      <c r="E2979" s="2">
        <v>44295.381157407406</v>
      </c>
      <c r="F2979" s="2">
        <v>44295.411041666666</v>
      </c>
      <c r="G2979" s="3">
        <v>2.9884259260143153E-2</v>
      </c>
      <c r="H2979" s="3">
        <v>2597.7276825576455</v>
      </c>
      <c r="I2979" s="3">
        <v>43.295461375960755</v>
      </c>
      <c r="J2979" s="3">
        <v>0.72159102293267929</v>
      </c>
    </row>
    <row r="2980" spans="1:11" x14ac:dyDescent="0.35">
      <c r="A2980">
        <v>2979</v>
      </c>
      <c r="B2980" t="s">
        <v>2</v>
      </c>
      <c r="C2980" t="s">
        <v>132</v>
      </c>
      <c r="D2980" t="s">
        <v>140</v>
      </c>
      <c r="E2980" s="2">
        <v>44295.411226851851</v>
      </c>
      <c r="F2980" s="2">
        <v>44295.416226851848</v>
      </c>
      <c r="G2980" s="3">
        <v>4.9999999973806553E-3</v>
      </c>
      <c r="H2980" s="3">
        <v>434.63143231751172</v>
      </c>
      <c r="I2980" s="3">
        <v>7.2438572052918619</v>
      </c>
      <c r="J2980" s="3">
        <v>0.12073095342153103</v>
      </c>
      <c r="K2980" t="s">
        <v>93</v>
      </c>
    </row>
    <row r="2981" spans="1:11" x14ac:dyDescent="0.35">
      <c r="A2981">
        <v>2980</v>
      </c>
      <c r="B2981" t="s">
        <v>2</v>
      </c>
      <c r="C2981" t="s">
        <v>96</v>
      </c>
      <c r="D2981" t="s">
        <v>140</v>
      </c>
      <c r="E2981" s="2">
        <v>44295.416481481479</v>
      </c>
      <c r="F2981" s="2">
        <v>44295.437662037039</v>
      </c>
      <c r="G2981" s="3">
        <v>2.118055555911269E-2</v>
      </c>
      <c r="H2981" s="3">
        <v>1841.1470409520766</v>
      </c>
      <c r="I2981" s="3">
        <v>30.685784015867945</v>
      </c>
      <c r="J2981" s="3">
        <v>0.51142973359779909</v>
      </c>
    </row>
    <row r="2982" spans="1:11" x14ac:dyDescent="0.35">
      <c r="A2982">
        <v>2981</v>
      </c>
      <c r="B2982" t="s">
        <v>2</v>
      </c>
      <c r="C2982" t="s">
        <v>72</v>
      </c>
      <c r="D2982" t="s">
        <v>140</v>
      </c>
      <c r="E2982" s="2">
        <v>44295.437824074077</v>
      </c>
      <c r="F2982" s="2">
        <v>44295.45412037037</v>
      </c>
      <c r="G2982" s="3">
        <v>1.6296296293148771E-2</v>
      </c>
      <c r="H2982" s="3">
        <v>1416.576520614462</v>
      </c>
      <c r="I2982" s="3">
        <v>23.609608676907701</v>
      </c>
      <c r="J2982" s="3">
        <v>0.39349347794846168</v>
      </c>
      <c r="K2982" t="s">
        <v>100</v>
      </c>
    </row>
    <row r="2983" spans="1:11" x14ac:dyDescent="0.35">
      <c r="A2983">
        <v>2982</v>
      </c>
      <c r="B2983" t="s">
        <v>2</v>
      </c>
      <c r="C2983" t="s">
        <v>96</v>
      </c>
      <c r="D2983" t="s">
        <v>140</v>
      </c>
      <c r="E2983" s="2">
        <v>44295.454409722224</v>
      </c>
      <c r="F2983" s="2">
        <v>44295.481296296297</v>
      </c>
      <c r="G2983" s="3">
        <v>2.6886574072705116E-2</v>
      </c>
      <c r="H2983" s="3">
        <v>2337.1500410905001</v>
      </c>
      <c r="I2983" s="3">
        <v>38.952500684841667</v>
      </c>
      <c r="J2983" s="3">
        <v>0.64920834474736111</v>
      </c>
    </row>
    <row r="2984" spans="1:11" x14ac:dyDescent="0.35">
      <c r="A2984">
        <v>2983</v>
      </c>
      <c r="B2984" t="s">
        <v>16</v>
      </c>
      <c r="C2984" t="s">
        <v>16</v>
      </c>
      <c r="D2984" t="s">
        <v>140</v>
      </c>
      <c r="E2984" s="2">
        <v>44295.481458333335</v>
      </c>
      <c r="F2984" s="2">
        <v>44295.55840277778</v>
      </c>
      <c r="G2984" s="3">
        <v>7.6944444444961846E-2</v>
      </c>
      <c r="H2984" s="3">
        <v>6688.4948231016897</v>
      </c>
      <c r="I2984" s="3">
        <v>111.47491371836149</v>
      </c>
      <c r="J2984" s="3">
        <v>1.8579152286393581</v>
      </c>
    </row>
    <row r="2985" spans="1:11" x14ac:dyDescent="0.35">
      <c r="A2985">
        <v>2984</v>
      </c>
      <c r="B2985" t="s">
        <v>2</v>
      </c>
      <c r="C2985" t="s">
        <v>96</v>
      </c>
      <c r="D2985" t="s">
        <v>140</v>
      </c>
      <c r="E2985" s="2">
        <v>44295.558599537035</v>
      </c>
      <c r="F2985" s="2">
        <v>44295.611296296294</v>
      </c>
      <c r="G2985" s="3">
        <v>5.2696759259561077E-2</v>
      </c>
      <c r="H2985" s="3">
        <v>4580.7335934945304</v>
      </c>
      <c r="I2985" s="3">
        <v>76.345559891575505</v>
      </c>
      <c r="J2985" s="3">
        <v>1.2724259981929251</v>
      </c>
    </row>
    <row r="2986" spans="1:11" x14ac:dyDescent="0.35">
      <c r="A2986">
        <v>2985</v>
      </c>
      <c r="B2986" t="s">
        <v>16</v>
      </c>
      <c r="C2986" t="s">
        <v>16</v>
      </c>
      <c r="D2986" t="s">
        <v>140</v>
      </c>
      <c r="E2986" s="2">
        <v>44295.611493055556</v>
      </c>
      <c r="F2986" s="2">
        <v>44295.668113425927</v>
      </c>
      <c r="G2986" s="3">
        <v>5.6620370371092577E-2</v>
      </c>
      <c r="H2986" s="3">
        <v>4921.7985371255718</v>
      </c>
      <c r="I2986" s="3">
        <v>82.029975618759536</v>
      </c>
      <c r="J2986" s="3">
        <v>1.3671662603126589</v>
      </c>
    </row>
    <row r="2987" spans="1:11" x14ac:dyDescent="0.35">
      <c r="A2987">
        <v>2986</v>
      </c>
      <c r="B2987" t="s">
        <v>2</v>
      </c>
      <c r="C2987" t="s">
        <v>132</v>
      </c>
      <c r="D2987" t="s">
        <v>140</v>
      </c>
      <c r="E2987" s="2">
        <v>44295.668356481481</v>
      </c>
      <c r="F2987" s="2">
        <v>44295.692037037035</v>
      </c>
      <c r="G2987" s="3">
        <v>2.3680555554165039E-2</v>
      </c>
      <c r="H2987" s="3">
        <v>2058.4627567945963</v>
      </c>
      <c r="I2987" s="3">
        <v>34.307712613243275</v>
      </c>
      <c r="J2987" s="3">
        <v>0.57179521022072122</v>
      </c>
      <c r="K2987" t="s">
        <v>93</v>
      </c>
    </row>
    <row r="2988" spans="1:11" x14ac:dyDescent="0.35">
      <c r="A2988">
        <v>2987</v>
      </c>
      <c r="B2988" t="s">
        <v>2</v>
      </c>
      <c r="C2988" t="s">
        <v>96</v>
      </c>
      <c r="D2988" t="s">
        <v>140</v>
      </c>
      <c r="E2988" s="2">
        <v>44295.692395833335</v>
      </c>
      <c r="F2988" s="2">
        <v>44295.739201388889</v>
      </c>
      <c r="G2988" s="3">
        <v>4.6805555553874001E-2</v>
      </c>
      <c r="H2988" s="3">
        <v>4068.6331322908554</v>
      </c>
      <c r="I2988" s="3">
        <v>67.810552204847596</v>
      </c>
      <c r="J2988" s="3">
        <v>1.1301758700807933</v>
      </c>
    </row>
    <row r="2989" spans="1:11" x14ac:dyDescent="0.35">
      <c r="A2989">
        <v>2988</v>
      </c>
      <c r="B2989" t="s">
        <v>11</v>
      </c>
      <c r="C2989" t="s">
        <v>11</v>
      </c>
      <c r="D2989" t="s">
        <v>140</v>
      </c>
      <c r="E2989" s="2">
        <v>44295.740810185183</v>
      </c>
      <c r="F2989" s="2">
        <v>44295.762395833335</v>
      </c>
      <c r="G2989" s="3">
        <v>2.1585648151813075E-2</v>
      </c>
      <c r="H2989" s="3">
        <v>1876.3602357278403</v>
      </c>
      <c r="I2989" s="3">
        <v>31.272670595464003</v>
      </c>
      <c r="J2989" s="3">
        <v>0.52121117659106675</v>
      </c>
    </row>
    <row r="2990" spans="1:11" x14ac:dyDescent="0.35">
      <c r="A2990">
        <v>2989</v>
      </c>
      <c r="B2990" t="s">
        <v>11</v>
      </c>
      <c r="C2990" t="s">
        <v>11</v>
      </c>
      <c r="D2990" t="s">
        <v>140</v>
      </c>
      <c r="E2990" s="2">
        <v>44296.598923611113</v>
      </c>
      <c r="F2990" s="2">
        <v>44296.678657407407</v>
      </c>
      <c r="G2990" s="3">
        <v>7.9733796294021886E-2</v>
      </c>
      <c r="H2990" s="3">
        <v>6930.9628211076042</v>
      </c>
      <c r="I2990" s="3">
        <v>115.51604701846007</v>
      </c>
      <c r="J2990" s="3">
        <v>1.9252674503076679</v>
      </c>
    </row>
    <row r="2991" spans="1:11" x14ac:dyDescent="0.35">
      <c r="A2991">
        <v>2990</v>
      </c>
      <c r="B2991" t="s">
        <v>11</v>
      </c>
      <c r="C2991" t="s">
        <v>11</v>
      </c>
      <c r="D2991" t="s">
        <v>140</v>
      </c>
      <c r="E2991" s="2">
        <v>44296.679143518515</v>
      </c>
      <c r="F2991" s="2">
        <v>44296.784722222219</v>
      </c>
      <c r="G2991" s="3">
        <v>0.10557870370394085</v>
      </c>
      <c r="H2991" s="3">
        <v>9177.5646474218393</v>
      </c>
      <c r="I2991" s="3">
        <v>152.95941079036399</v>
      </c>
      <c r="J2991" s="3">
        <v>2.549323513172733</v>
      </c>
    </row>
    <row r="2992" spans="1:11" x14ac:dyDescent="0.35">
      <c r="A2992">
        <v>2991</v>
      </c>
      <c r="B2992" t="s">
        <v>11</v>
      </c>
      <c r="C2992" t="s">
        <v>11</v>
      </c>
      <c r="D2992" t="s">
        <v>140</v>
      </c>
      <c r="E2992" s="2">
        <v>44297.829050925924</v>
      </c>
      <c r="F2992" s="2">
        <v>44297.872685185182</v>
      </c>
      <c r="G2992" s="3">
        <v>4.3634259258396924E-2</v>
      </c>
      <c r="H2992" s="3">
        <v>3792.9641219051564</v>
      </c>
      <c r="I2992" s="3">
        <v>63.216068698419271</v>
      </c>
      <c r="J2992" s="3">
        <v>1.0536011449736544</v>
      </c>
    </row>
    <row r="2993" spans="1:11" x14ac:dyDescent="0.35">
      <c r="A2993">
        <v>2992</v>
      </c>
      <c r="B2993" t="s">
        <v>11</v>
      </c>
      <c r="C2993" t="s">
        <v>11</v>
      </c>
      <c r="D2993" t="s">
        <v>140</v>
      </c>
      <c r="E2993" s="2">
        <v>44298.332314814812</v>
      </c>
      <c r="F2993" s="2">
        <v>44298.35460648148</v>
      </c>
      <c r="G2993" s="3">
        <v>2.2291666668024845E-2</v>
      </c>
      <c r="H2993" s="3">
        <v>1937.7318035487522</v>
      </c>
      <c r="I2993" s="3">
        <v>32.295530059145868</v>
      </c>
      <c r="J2993" s="3">
        <v>0.53825883431909782</v>
      </c>
    </row>
    <row r="2994" spans="1:11" x14ac:dyDescent="0.35">
      <c r="A2994">
        <v>2993</v>
      </c>
      <c r="B2994" t="s">
        <v>2</v>
      </c>
      <c r="C2994" t="s">
        <v>132</v>
      </c>
      <c r="D2994" t="s">
        <v>140</v>
      </c>
      <c r="E2994" s="2">
        <v>44298.354733796295</v>
      </c>
      <c r="F2994" s="2">
        <v>44298.361157407409</v>
      </c>
      <c r="G2994" s="3">
        <v>6.4236111138598062E-3</v>
      </c>
      <c r="H2994" s="3">
        <v>558.38066010603325</v>
      </c>
      <c r="I2994" s="3">
        <v>9.3063443351005546</v>
      </c>
      <c r="J2994" s="3">
        <v>0.15510573891834259</v>
      </c>
      <c r="K2994" t="s">
        <v>93</v>
      </c>
    </row>
    <row r="2995" spans="1:11" x14ac:dyDescent="0.35">
      <c r="A2995">
        <v>2994</v>
      </c>
      <c r="B2995" t="s">
        <v>2</v>
      </c>
      <c r="C2995" t="s">
        <v>132</v>
      </c>
      <c r="D2995" t="s">
        <v>140</v>
      </c>
      <c r="E2995" s="2">
        <v>44298.36142361111</v>
      </c>
      <c r="F2995" s="2">
        <v>44298.373449074075</v>
      </c>
      <c r="G2995" s="3">
        <v>1.2025462965539191E-2</v>
      </c>
      <c r="H2995" s="3">
        <v>1045.3288391463134</v>
      </c>
      <c r="I2995" s="3">
        <v>17.422147319105225</v>
      </c>
      <c r="J2995" s="3">
        <v>0.29036912198508708</v>
      </c>
      <c r="K2995" t="s">
        <v>93</v>
      </c>
    </row>
    <row r="2996" spans="1:11" x14ac:dyDescent="0.35">
      <c r="A2996">
        <v>2995</v>
      </c>
      <c r="B2996" t="s">
        <v>2</v>
      </c>
      <c r="C2996" t="s">
        <v>132</v>
      </c>
      <c r="D2996" t="s">
        <v>140</v>
      </c>
      <c r="E2996" s="2">
        <v>44298.373611111114</v>
      </c>
      <c r="F2996" s="2">
        <v>44298.407523148147</v>
      </c>
      <c r="G2996" s="3">
        <v>3.3912037033587694E-2</v>
      </c>
      <c r="H2996" s="3">
        <v>2947.8474472868302</v>
      </c>
      <c r="I2996" s="3">
        <v>49.130790788113835</v>
      </c>
      <c r="J2996" s="3">
        <v>0.8188465131352306</v>
      </c>
      <c r="K2996" t="s">
        <v>93</v>
      </c>
    </row>
    <row r="2997" spans="1:11" x14ac:dyDescent="0.35">
      <c r="A2997">
        <v>2996</v>
      </c>
      <c r="B2997" t="s">
        <v>2</v>
      </c>
      <c r="C2997" t="s">
        <v>132</v>
      </c>
      <c r="D2997" t="s">
        <v>140</v>
      </c>
      <c r="E2997" s="2">
        <v>44298.408078703702</v>
      </c>
      <c r="F2997" s="2">
        <v>44298.479097222225</v>
      </c>
      <c r="G2997" s="3">
        <v>7.1018518523487728E-2</v>
      </c>
      <c r="H2997" s="3">
        <v>6173.3760886202817</v>
      </c>
      <c r="I2997" s="3">
        <v>102.88960147700469</v>
      </c>
      <c r="J2997" s="3">
        <v>1.7148266912834116</v>
      </c>
      <c r="K2997" t="s">
        <v>93</v>
      </c>
    </row>
    <row r="2998" spans="1:11" x14ac:dyDescent="0.35">
      <c r="A2998">
        <v>2997</v>
      </c>
      <c r="B2998" t="s">
        <v>2</v>
      </c>
      <c r="C2998" t="s">
        <v>132</v>
      </c>
      <c r="D2998" t="s">
        <v>140</v>
      </c>
      <c r="E2998" s="2">
        <v>44298.479432870372</v>
      </c>
      <c r="F2998" s="2">
        <v>44298.50167824074</v>
      </c>
      <c r="G2998" s="3">
        <v>2.2245370368182193E-2</v>
      </c>
      <c r="H2998" s="3">
        <v>1933.7074381243212</v>
      </c>
      <c r="I2998" s="3">
        <v>32.228457302072023</v>
      </c>
      <c r="J2998" s="3">
        <v>0.53714095503453374</v>
      </c>
      <c r="K2998" t="s">
        <v>93</v>
      </c>
    </row>
    <row r="2999" spans="1:11" x14ac:dyDescent="0.35">
      <c r="A2999">
        <v>2998</v>
      </c>
      <c r="B2999" t="s">
        <v>2</v>
      </c>
      <c r="C2999" t="s">
        <v>72</v>
      </c>
      <c r="D2999" t="s">
        <v>140</v>
      </c>
      <c r="E2999" s="2">
        <v>44298.501817129632</v>
      </c>
      <c r="F2999" s="2">
        <v>44298.605671296296</v>
      </c>
      <c r="G2999" s="3">
        <v>0.10385416666395031</v>
      </c>
      <c r="H2999" s="3">
        <v>9027.6570465881705</v>
      </c>
      <c r="I2999" s="3">
        <v>150.4609507764695</v>
      </c>
      <c r="J2999" s="3">
        <v>2.5076825129411584</v>
      </c>
      <c r="K2999" t="s">
        <v>100</v>
      </c>
    </row>
    <row r="3000" spans="1:11" x14ac:dyDescent="0.35">
      <c r="A3000">
        <v>2999</v>
      </c>
      <c r="B3000" t="s">
        <v>2</v>
      </c>
      <c r="C3000" t="s">
        <v>72</v>
      </c>
      <c r="D3000" t="s">
        <v>140</v>
      </c>
      <c r="E3000" s="2">
        <v>44298.605810185189</v>
      </c>
      <c r="F3000" s="2">
        <v>44298.63616898148</v>
      </c>
      <c r="G3000" s="3">
        <v>3.0358796291693579E-2</v>
      </c>
      <c r="H3000" s="3">
        <v>2638.9774245213471</v>
      </c>
      <c r="I3000" s="3">
        <v>43.982957075355785</v>
      </c>
      <c r="J3000" s="3">
        <v>0.73304928458926311</v>
      </c>
      <c r="K3000" t="s">
        <v>73</v>
      </c>
    </row>
    <row r="3001" spans="1:11" x14ac:dyDescent="0.35">
      <c r="A3001">
        <v>3000</v>
      </c>
      <c r="B3001" t="s">
        <v>2</v>
      </c>
      <c r="C3001" t="s">
        <v>132</v>
      </c>
      <c r="D3001" t="s">
        <v>140</v>
      </c>
      <c r="E3001" s="2">
        <v>44298.63658564815</v>
      </c>
      <c r="F3001" s="2">
        <v>44298.646967592591</v>
      </c>
      <c r="G3001" s="3">
        <v>1.0381944441178348E-2</v>
      </c>
      <c r="H3001" s="3">
        <v>902.46387701480762</v>
      </c>
      <c r="I3001" s="3">
        <v>15.041064616913461</v>
      </c>
      <c r="J3001" s="3">
        <v>0.25068441028189103</v>
      </c>
      <c r="K3001" t="s">
        <v>93</v>
      </c>
    </row>
    <row r="3002" spans="1:11" x14ac:dyDescent="0.35">
      <c r="A3002">
        <v>3001</v>
      </c>
      <c r="B3002" t="s">
        <v>2</v>
      </c>
      <c r="C3002" t="s">
        <v>132</v>
      </c>
      <c r="D3002" t="s">
        <v>140</v>
      </c>
      <c r="E3002" s="2">
        <v>44298.647164351853</v>
      </c>
      <c r="F3002" s="2">
        <v>44298.662199074075</v>
      </c>
      <c r="G3002" s="3">
        <v>1.5034722222480923E-2</v>
      </c>
      <c r="H3002" s="3">
        <v>1306.9125714952122</v>
      </c>
      <c r="I3002" s="3">
        <v>21.781876191586871</v>
      </c>
      <c r="J3002" s="3">
        <v>0.36303126985978118</v>
      </c>
      <c r="K3002" t="s">
        <v>93</v>
      </c>
    </row>
    <row r="3003" spans="1:11" x14ac:dyDescent="0.35">
      <c r="A3003">
        <v>3002</v>
      </c>
      <c r="B3003" t="s">
        <v>2</v>
      </c>
      <c r="C3003" t="s">
        <v>132</v>
      </c>
      <c r="D3003" t="s">
        <v>140</v>
      </c>
      <c r="E3003" s="2">
        <v>44298.662430555552</v>
      </c>
      <c r="F3003" s="2">
        <v>44298.666481481479</v>
      </c>
      <c r="G3003" s="3">
        <v>4.0509259270038456E-3</v>
      </c>
      <c r="H3003" s="3">
        <v>352.13194775763606</v>
      </c>
      <c r="I3003" s="3">
        <v>5.868865795960601</v>
      </c>
      <c r="J3003" s="3">
        <v>9.781442993267668E-2</v>
      </c>
      <c r="K3003" t="s">
        <v>93</v>
      </c>
    </row>
    <row r="3004" spans="1:11" x14ac:dyDescent="0.35">
      <c r="A3004">
        <v>3003</v>
      </c>
      <c r="B3004" t="s">
        <v>2</v>
      </c>
      <c r="C3004" t="s">
        <v>132</v>
      </c>
      <c r="D3004" t="s">
        <v>140</v>
      </c>
      <c r="E3004" s="2">
        <v>44298.666712962964</v>
      </c>
      <c r="F3004" s="2">
        <v>44298.681689814817</v>
      </c>
      <c r="G3004" s="3">
        <v>1.4976851853134576E-2</v>
      </c>
      <c r="H3004" s="3">
        <v>1301.8821151890277</v>
      </c>
      <c r="I3004" s="3">
        <v>21.698035253150461</v>
      </c>
      <c r="J3004" s="3">
        <v>0.36163392088584101</v>
      </c>
      <c r="K3004" t="s">
        <v>93</v>
      </c>
    </row>
    <row r="3005" spans="1:11" x14ac:dyDescent="0.35">
      <c r="A3005">
        <v>3004</v>
      </c>
      <c r="B3005" t="s">
        <v>2</v>
      </c>
      <c r="C3005" t="s">
        <v>136</v>
      </c>
      <c r="D3005" t="s">
        <v>140</v>
      </c>
      <c r="E3005" s="2">
        <v>44298.681944444441</v>
      </c>
      <c r="F3005" s="2">
        <v>44298.703541666669</v>
      </c>
      <c r="G3005" s="3">
        <v>2.1597222228592727E-2</v>
      </c>
      <c r="H3005" s="3">
        <v>1877.3663272420658</v>
      </c>
      <c r="I3005" s="3">
        <v>31.289438787367764</v>
      </c>
      <c r="J3005" s="3">
        <v>0.52149064645612941</v>
      </c>
      <c r="K3005" t="s">
        <v>90</v>
      </c>
    </row>
    <row r="3006" spans="1:11" x14ac:dyDescent="0.35">
      <c r="A3006">
        <v>3005</v>
      </c>
      <c r="B3006" t="s">
        <v>11</v>
      </c>
      <c r="C3006" t="s">
        <v>11</v>
      </c>
      <c r="D3006" t="s">
        <v>140</v>
      </c>
      <c r="E3006" s="2">
        <v>44298.704618055555</v>
      </c>
      <c r="F3006" s="2">
        <v>44298.723611111112</v>
      </c>
      <c r="G3006" s="3">
        <v>1.8993055557075422E-2</v>
      </c>
      <c r="H3006" s="3">
        <v>1650.9957890364587</v>
      </c>
      <c r="I3006" s="3">
        <v>27.51659648394098</v>
      </c>
      <c r="J3006" s="3">
        <v>0.45860994139901634</v>
      </c>
    </row>
    <row r="3007" spans="1:11" x14ac:dyDescent="0.35">
      <c r="A3007">
        <v>3006</v>
      </c>
      <c r="B3007" t="s">
        <v>11</v>
      </c>
      <c r="C3007" t="s">
        <v>11</v>
      </c>
      <c r="D3007" t="s">
        <v>140</v>
      </c>
      <c r="E3007" s="2">
        <v>44299.347395833334</v>
      </c>
      <c r="F3007" s="2">
        <v>44299.357037037036</v>
      </c>
      <c r="G3007" s="3">
        <v>9.6412037019035779E-3</v>
      </c>
      <c r="H3007" s="3">
        <v>838.07403528369071</v>
      </c>
      <c r="I3007" s="3">
        <v>13.967900588061513</v>
      </c>
      <c r="J3007" s="3">
        <v>0.23279834313435854</v>
      </c>
    </row>
    <row r="3008" spans="1:11" x14ac:dyDescent="0.35">
      <c r="A3008">
        <v>3007</v>
      </c>
      <c r="B3008" t="s">
        <v>2</v>
      </c>
      <c r="C3008" t="s">
        <v>136</v>
      </c>
      <c r="D3008" t="s">
        <v>140</v>
      </c>
      <c r="E3008" s="2">
        <v>44299.357187499998</v>
      </c>
      <c r="F3008" s="2">
        <v>44299.374212962961</v>
      </c>
      <c r="G3008" s="3">
        <v>1.7025462962919846E-2</v>
      </c>
      <c r="H3008" s="3">
        <v>1479.9602714638252</v>
      </c>
      <c r="I3008" s="3">
        <v>24.666004524397085</v>
      </c>
      <c r="J3008" s="3">
        <v>0.41110007540661808</v>
      </c>
      <c r="K3008" t="s">
        <v>90</v>
      </c>
    </row>
    <row r="3009" spans="1:11" x14ac:dyDescent="0.35">
      <c r="A3009">
        <v>3008</v>
      </c>
      <c r="B3009" t="s">
        <v>2</v>
      </c>
      <c r="C3009" t="s">
        <v>72</v>
      </c>
      <c r="D3009" t="s">
        <v>140</v>
      </c>
      <c r="E3009" s="2">
        <v>44299.374351851853</v>
      </c>
      <c r="F3009" s="2">
        <v>44299.419849537036</v>
      </c>
      <c r="G3009" s="3">
        <v>4.5497685183363501E-2</v>
      </c>
      <c r="H3009" s="3">
        <v>3954.944817747175</v>
      </c>
      <c r="I3009" s="3">
        <v>65.915746962452914</v>
      </c>
      <c r="J3009" s="3">
        <v>1.0985957827075485</v>
      </c>
      <c r="K3009" t="s">
        <v>73</v>
      </c>
    </row>
    <row r="3010" spans="1:11" x14ac:dyDescent="0.35">
      <c r="A3010">
        <v>3009</v>
      </c>
      <c r="B3010" t="s">
        <v>2</v>
      </c>
      <c r="C3010" t="s">
        <v>133</v>
      </c>
      <c r="D3010" t="s">
        <v>140</v>
      </c>
      <c r="E3010" s="2">
        <v>44299.420081018521</v>
      </c>
      <c r="F3010" s="2">
        <v>44299.47078703704</v>
      </c>
      <c r="G3010" s="3">
        <v>5.0706018519122154E-2</v>
      </c>
      <c r="H3010" s="3">
        <v>4407.685893525917</v>
      </c>
      <c r="I3010" s="3">
        <v>73.461431558765284</v>
      </c>
      <c r="J3010" s="3">
        <v>1.2243571926460881</v>
      </c>
      <c r="K3010" t="s">
        <v>99</v>
      </c>
    </row>
    <row r="3011" spans="1:11" x14ac:dyDescent="0.35">
      <c r="A3011">
        <v>3010</v>
      </c>
      <c r="B3011" t="s">
        <v>2</v>
      </c>
      <c r="C3011" t="s">
        <v>136</v>
      </c>
      <c r="D3011" t="s">
        <v>140</v>
      </c>
      <c r="E3011" s="2">
        <v>44299.471053240741</v>
      </c>
      <c r="F3011" s="2">
        <v>44299.540150462963</v>
      </c>
      <c r="G3011" s="3">
        <v>6.9097222221898846E-2</v>
      </c>
      <c r="H3011" s="3">
        <v>6006.3649358396069</v>
      </c>
      <c r="I3011" s="3">
        <v>100.10608226399344</v>
      </c>
      <c r="J3011" s="3">
        <v>1.6684347043998906</v>
      </c>
      <c r="K3011" t="s">
        <v>90</v>
      </c>
    </row>
    <row r="3012" spans="1:11" x14ac:dyDescent="0.35">
      <c r="A3012">
        <v>3011</v>
      </c>
      <c r="B3012" t="s">
        <v>2</v>
      </c>
      <c r="C3012" t="s">
        <v>132</v>
      </c>
      <c r="D3012" t="s">
        <v>140</v>
      </c>
      <c r="E3012" s="2">
        <v>44299.540370370371</v>
      </c>
      <c r="F3012" s="2">
        <v>44299.564988425926</v>
      </c>
      <c r="G3012" s="3">
        <v>2.4618055555038154E-2</v>
      </c>
      <c r="H3012" s="3">
        <v>2139.9561504727185</v>
      </c>
      <c r="I3012" s="3">
        <v>35.665935841211976</v>
      </c>
      <c r="J3012" s="3">
        <v>0.59443226402019955</v>
      </c>
      <c r="K3012" t="s">
        <v>93</v>
      </c>
    </row>
    <row r="3013" spans="1:11" x14ac:dyDescent="0.35">
      <c r="A3013">
        <v>3012</v>
      </c>
      <c r="B3013" t="s">
        <v>16</v>
      </c>
      <c r="C3013" t="s">
        <v>16</v>
      </c>
      <c r="D3013" t="s">
        <v>140</v>
      </c>
      <c r="E3013" s="2">
        <v>44299.565092592595</v>
      </c>
      <c r="F3013" s="2">
        <v>44299.59337962963</v>
      </c>
      <c r="G3013" s="3">
        <v>2.8287037035624962E-2</v>
      </c>
      <c r="H3013" s="3">
        <v>2458.8870858505702</v>
      </c>
      <c r="I3013" s="3">
        <v>40.981451430842839</v>
      </c>
      <c r="J3013" s="3">
        <v>0.68302419051404728</v>
      </c>
    </row>
    <row r="3014" spans="1:11" x14ac:dyDescent="0.35">
      <c r="A3014">
        <v>3013</v>
      </c>
      <c r="B3014" t="s">
        <v>2</v>
      </c>
      <c r="C3014" t="s">
        <v>136</v>
      </c>
      <c r="D3014" t="s">
        <v>140</v>
      </c>
      <c r="E3014" s="2">
        <v>44299.593564814815</v>
      </c>
      <c r="F3014" s="2">
        <v>44299.603136574071</v>
      </c>
      <c r="G3014" s="3">
        <v>9.5717592557775788E-3</v>
      </c>
      <c r="H3014" s="3">
        <v>832.0374874632804</v>
      </c>
      <c r="I3014" s="3">
        <v>13.86729145772134</v>
      </c>
      <c r="J3014" s="3">
        <v>0.23112152429535565</v>
      </c>
      <c r="K3014" t="s">
        <v>90</v>
      </c>
    </row>
    <row r="3015" spans="1:11" x14ac:dyDescent="0.35">
      <c r="A3015">
        <v>3014</v>
      </c>
      <c r="B3015" t="s">
        <v>2</v>
      </c>
      <c r="C3015" t="s">
        <v>133</v>
      </c>
      <c r="D3015" t="s">
        <v>140</v>
      </c>
      <c r="E3015" s="2">
        <v>44299.603298611109</v>
      </c>
      <c r="F3015" s="2">
        <v>44299.626168981478</v>
      </c>
      <c r="G3015" s="3">
        <v>2.287037036876427E-2</v>
      </c>
      <c r="H3015" s="3">
        <v>1988.0363672430692</v>
      </c>
      <c r="I3015" s="3">
        <v>33.133939454051152</v>
      </c>
      <c r="J3015" s="3">
        <v>0.55223232423418589</v>
      </c>
      <c r="K3015" t="s">
        <v>99</v>
      </c>
    </row>
    <row r="3016" spans="1:11" x14ac:dyDescent="0.35">
      <c r="A3016">
        <v>3015</v>
      </c>
      <c r="B3016" t="s">
        <v>2</v>
      </c>
      <c r="C3016" t="s">
        <v>136</v>
      </c>
      <c r="D3016" t="s">
        <v>140</v>
      </c>
      <c r="E3016" s="2">
        <v>44299.626331018517</v>
      </c>
      <c r="F3016" s="2">
        <v>44299.643460648149</v>
      </c>
      <c r="G3016" s="3">
        <v>1.7129629632108845E-2</v>
      </c>
      <c r="H3016" s="3">
        <v>1489.0150931944406</v>
      </c>
      <c r="I3016" s="3">
        <v>24.816918219907343</v>
      </c>
      <c r="J3016" s="3">
        <v>0.41361530366512239</v>
      </c>
      <c r="K3016" t="s">
        <v>90</v>
      </c>
    </row>
    <row r="3017" spans="1:11" x14ac:dyDescent="0.35">
      <c r="A3017">
        <v>3016</v>
      </c>
      <c r="B3017" t="s">
        <v>2</v>
      </c>
      <c r="C3017" t="s">
        <v>132</v>
      </c>
      <c r="D3017" t="s">
        <v>140</v>
      </c>
      <c r="E3017" s="2">
        <v>44299.643842592595</v>
      </c>
      <c r="F3017" s="2">
        <v>44299.691527777781</v>
      </c>
      <c r="G3017" s="3">
        <v>4.7685185185400769E-2</v>
      </c>
      <c r="H3017" s="3">
        <v>4145.0960696627926</v>
      </c>
      <c r="I3017" s="3">
        <v>69.08493449437988</v>
      </c>
      <c r="J3017" s="3">
        <v>1.1514155749063313</v>
      </c>
      <c r="K3017" t="s">
        <v>93</v>
      </c>
    </row>
    <row r="3018" spans="1:11" x14ac:dyDescent="0.35">
      <c r="A3018">
        <v>3017</v>
      </c>
      <c r="B3018" t="s">
        <v>2</v>
      </c>
      <c r="C3018" t="s">
        <v>132</v>
      </c>
      <c r="D3018" t="s">
        <v>140</v>
      </c>
      <c r="E3018" s="2">
        <v>44299.691678240742</v>
      </c>
      <c r="F3018" s="2">
        <v>44299.708796296298</v>
      </c>
      <c r="G3018" s="3">
        <v>1.7118055555329192E-2</v>
      </c>
      <c r="H3018" s="3">
        <v>1488.0090016802149</v>
      </c>
      <c r="I3018" s="3">
        <v>24.800150028003582</v>
      </c>
      <c r="J3018" s="3">
        <v>0.41333583380005973</v>
      </c>
      <c r="K3018" t="s">
        <v>93</v>
      </c>
    </row>
    <row r="3019" spans="1:11" x14ac:dyDescent="0.35">
      <c r="A3019">
        <v>3018</v>
      </c>
      <c r="B3019" t="s">
        <v>11</v>
      </c>
      <c r="C3019" t="s">
        <v>11</v>
      </c>
      <c r="D3019" t="s">
        <v>140</v>
      </c>
      <c r="E3019" s="2">
        <v>44299.708969907406</v>
      </c>
      <c r="F3019" s="2">
        <v>44299.793495370373</v>
      </c>
      <c r="G3019" s="3">
        <v>8.4525462967576459E-2</v>
      </c>
      <c r="H3019" s="3">
        <v>7347.4846112288296</v>
      </c>
      <c r="I3019" s="3">
        <v>122.45807685381382</v>
      </c>
      <c r="J3019" s="3">
        <v>2.0409679475635638</v>
      </c>
    </row>
    <row r="3020" spans="1:11" x14ac:dyDescent="0.35">
      <c r="A3020">
        <v>3019</v>
      </c>
      <c r="B3020" t="s">
        <v>2</v>
      </c>
      <c r="C3020" t="s">
        <v>72</v>
      </c>
      <c r="D3020" t="s">
        <v>140</v>
      </c>
      <c r="E3020" s="2">
        <v>44300.333599537036</v>
      </c>
      <c r="F3020" s="2">
        <v>44300.361516203702</v>
      </c>
      <c r="G3020" s="3">
        <v>2.7916666665987577E-2</v>
      </c>
      <c r="H3020" s="3">
        <v>2426.6921649850119</v>
      </c>
      <c r="I3020" s="3">
        <v>40.444869416416864</v>
      </c>
      <c r="J3020" s="3">
        <v>0.67408115694028103</v>
      </c>
      <c r="K3020" t="s">
        <v>73</v>
      </c>
    </row>
    <row r="3021" spans="1:11" x14ac:dyDescent="0.35">
      <c r="A3021">
        <v>3020</v>
      </c>
      <c r="B3021" t="s">
        <v>11</v>
      </c>
      <c r="C3021" t="s">
        <v>11</v>
      </c>
      <c r="D3021" t="s">
        <v>140</v>
      </c>
      <c r="E3021" s="2">
        <v>44300.361655092594</v>
      </c>
      <c r="F3021" s="2">
        <v>44300.364768518521</v>
      </c>
      <c r="G3021" s="3">
        <v>3.1134259261307307E-3</v>
      </c>
      <c r="H3021" s="3">
        <v>270.63855407951411</v>
      </c>
      <c r="I3021" s="3">
        <v>4.5106425679919022</v>
      </c>
      <c r="J3021" s="3">
        <v>7.5177376133198373E-2</v>
      </c>
    </row>
    <row r="3022" spans="1:11" x14ac:dyDescent="0.35">
      <c r="A3022">
        <v>3021</v>
      </c>
      <c r="B3022" t="s">
        <v>2</v>
      </c>
      <c r="C3022" t="s">
        <v>132</v>
      </c>
      <c r="D3022" t="s">
        <v>140</v>
      </c>
      <c r="E3022" s="2">
        <v>44300.365023148152</v>
      </c>
      <c r="F3022" s="2">
        <v>44300.395613425928</v>
      </c>
      <c r="G3022" s="3">
        <v>3.0590277776354924E-2</v>
      </c>
      <c r="H3022" s="3">
        <v>2659.0992503785574</v>
      </c>
      <c r="I3022" s="3">
        <v>44.318320839642624</v>
      </c>
      <c r="J3022" s="3">
        <v>0.73863868066071037</v>
      </c>
      <c r="K3022" t="s">
        <v>93</v>
      </c>
    </row>
    <row r="3023" spans="1:11" x14ac:dyDescent="0.35">
      <c r="A3023">
        <v>3022</v>
      </c>
      <c r="B3023" t="s">
        <v>2</v>
      </c>
      <c r="C3023" t="s">
        <v>72</v>
      </c>
      <c r="D3023" t="s">
        <v>140</v>
      </c>
      <c r="E3023" s="2">
        <v>44300.39576388889</v>
      </c>
      <c r="F3023" s="2">
        <v>44300.440393518518</v>
      </c>
      <c r="G3023" s="3">
        <v>4.4629629628616385E-2</v>
      </c>
      <c r="H3023" s="3">
        <v>3879.4879718894631</v>
      </c>
      <c r="I3023" s="3">
        <v>64.658132864824381</v>
      </c>
      <c r="J3023" s="3">
        <v>1.0776355477470729</v>
      </c>
      <c r="K3023" t="s">
        <v>73</v>
      </c>
    </row>
    <row r="3024" spans="1:11" x14ac:dyDescent="0.35">
      <c r="A3024">
        <v>3023</v>
      </c>
      <c r="B3024" t="s">
        <v>11</v>
      </c>
      <c r="C3024" t="s">
        <v>11</v>
      </c>
      <c r="D3024" t="s">
        <v>140</v>
      </c>
      <c r="E3024" s="2">
        <v>44300.440532407411</v>
      </c>
      <c r="F3024" s="2">
        <v>44300.451273148145</v>
      </c>
      <c r="G3024" s="3">
        <v>1.0740740734036081E-2</v>
      </c>
      <c r="H3024" s="3">
        <v>933.65270636614048</v>
      </c>
      <c r="I3024" s="3">
        <v>15.560878439435674</v>
      </c>
      <c r="J3024" s="3">
        <v>0.25934797399059456</v>
      </c>
    </row>
    <row r="3025" spans="1:11" x14ac:dyDescent="0.35">
      <c r="A3025">
        <v>3024</v>
      </c>
      <c r="B3025" t="s">
        <v>2</v>
      </c>
      <c r="C3025" t="s">
        <v>132</v>
      </c>
      <c r="D3025" t="s">
        <v>140</v>
      </c>
      <c r="E3025" s="2">
        <v>44300.451423611114</v>
      </c>
      <c r="F3025" s="2">
        <v>44300.45753472222</v>
      </c>
      <c r="G3025" s="3">
        <v>6.1111111062928103E-3</v>
      </c>
      <c r="H3025" s="3">
        <v>531.21619491418721</v>
      </c>
      <c r="I3025" s="3">
        <v>8.8536032485697866</v>
      </c>
      <c r="J3025" s="3">
        <v>0.14756005414282977</v>
      </c>
      <c r="K3025" t="s">
        <v>93</v>
      </c>
    </row>
    <row r="3026" spans="1:11" x14ac:dyDescent="0.35">
      <c r="A3026">
        <v>3025</v>
      </c>
      <c r="B3026" t="s">
        <v>11</v>
      </c>
      <c r="C3026" t="s">
        <v>11</v>
      </c>
      <c r="D3026" t="s">
        <v>140</v>
      </c>
      <c r="E3026" s="2">
        <v>44300.457685185182</v>
      </c>
      <c r="F3026" s="2">
        <v>44300.46570601852</v>
      </c>
      <c r="G3026" s="3">
        <v>8.0208333383779973E-3</v>
      </c>
      <c r="H3026" s="3">
        <v>697.2212568131082</v>
      </c>
      <c r="I3026" s="3">
        <v>11.62035428021847</v>
      </c>
      <c r="J3026" s="3">
        <v>0.19367257133697449</v>
      </c>
    </row>
    <row r="3027" spans="1:11" x14ac:dyDescent="0.35">
      <c r="A3027">
        <v>3026</v>
      </c>
      <c r="B3027" t="s">
        <v>2</v>
      </c>
      <c r="C3027" t="s">
        <v>132</v>
      </c>
      <c r="D3027" t="s">
        <v>140</v>
      </c>
      <c r="E3027" s="2">
        <v>44300.465844907405</v>
      </c>
      <c r="F3027" s="2">
        <v>44300.485138888886</v>
      </c>
      <c r="G3027" s="3">
        <v>1.9293981480586808E-2</v>
      </c>
      <c r="H3027" s="3">
        <v>1677.154162081607</v>
      </c>
      <c r="I3027" s="3">
        <v>27.952569368026783</v>
      </c>
      <c r="J3027" s="3">
        <v>0.4658761561337797</v>
      </c>
      <c r="K3027" t="s">
        <v>93</v>
      </c>
    </row>
    <row r="3028" spans="1:11" x14ac:dyDescent="0.35">
      <c r="A3028">
        <v>3027</v>
      </c>
      <c r="B3028" t="s">
        <v>16</v>
      </c>
      <c r="C3028" t="s">
        <v>16</v>
      </c>
      <c r="D3028" t="s">
        <v>140</v>
      </c>
      <c r="E3028" s="2">
        <v>44300.485219907408</v>
      </c>
      <c r="F3028" s="2">
        <v>44300.526180555556</v>
      </c>
      <c r="G3028" s="3">
        <v>4.0960648148029577E-2</v>
      </c>
      <c r="H3028" s="3">
        <v>3560.5570365116109</v>
      </c>
      <c r="I3028" s="3">
        <v>59.342617275193518</v>
      </c>
      <c r="J3028" s="3">
        <v>0.98904362125322531</v>
      </c>
    </row>
    <row r="3029" spans="1:11" x14ac:dyDescent="0.35">
      <c r="A3029">
        <v>3028</v>
      </c>
      <c r="B3029" t="s">
        <v>2</v>
      </c>
      <c r="C3029" t="s">
        <v>132</v>
      </c>
      <c r="D3029" t="s">
        <v>140</v>
      </c>
      <c r="E3029" s="2">
        <v>44300.526388888888</v>
      </c>
      <c r="F3029" s="2">
        <v>44300.650208333333</v>
      </c>
      <c r="G3029" s="3">
        <v>0.12381944444496185</v>
      </c>
      <c r="H3029" s="3">
        <v>10763.164503212955</v>
      </c>
      <c r="I3029" s="3">
        <v>179.38607505354923</v>
      </c>
      <c r="J3029" s="3">
        <v>2.9897679175591541</v>
      </c>
      <c r="K3029" t="s">
        <v>93</v>
      </c>
    </row>
    <row r="3030" spans="1:11" x14ac:dyDescent="0.35">
      <c r="A3030">
        <v>3029</v>
      </c>
      <c r="B3030" t="s">
        <v>2</v>
      </c>
      <c r="C3030" t="s">
        <v>96</v>
      </c>
      <c r="D3030" t="s">
        <v>140</v>
      </c>
      <c r="E3030" s="2">
        <v>44300.650381944448</v>
      </c>
      <c r="F3030" s="2">
        <v>44300.709699074076</v>
      </c>
      <c r="G3030" s="3">
        <v>5.931712962774327E-2</v>
      </c>
      <c r="H3030" s="3">
        <v>5156.2178049150962</v>
      </c>
      <c r="I3030" s="3">
        <v>85.936963415251597</v>
      </c>
      <c r="J3030" s="3">
        <v>1.4322827235875266</v>
      </c>
    </row>
    <row r="3031" spans="1:11" x14ac:dyDescent="0.35">
      <c r="A3031">
        <v>3030</v>
      </c>
      <c r="B3031" t="s">
        <v>11</v>
      </c>
      <c r="C3031" t="s">
        <v>11</v>
      </c>
      <c r="D3031" t="s">
        <v>140</v>
      </c>
      <c r="E3031" s="2">
        <v>44300.709837962961</v>
      </c>
      <c r="F3031" s="2">
        <v>44300.741446759261</v>
      </c>
      <c r="G3031" s="3">
        <v>3.160879630013369E-2</v>
      </c>
      <c r="H3031" s="3">
        <v>2747.6352833913152</v>
      </c>
      <c r="I3031" s="3">
        <v>45.79392138985525</v>
      </c>
      <c r="J3031" s="3">
        <v>0.7632320231642542</v>
      </c>
    </row>
    <row r="3032" spans="1:11" x14ac:dyDescent="0.35">
      <c r="A3032">
        <v>3031</v>
      </c>
      <c r="B3032" t="s">
        <v>2</v>
      </c>
      <c r="C3032" t="s">
        <v>72</v>
      </c>
      <c r="D3032" t="s">
        <v>140</v>
      </c>
      <c r="E3032" s="2">
        <v>44301.334490740737</v>
      </c>
      <c r="F3032" s="2">
        <v>44301.373298611114</v>
      </c>
      <c r="G3032" s="3">
        <v>3.8807870376331266E-2</v>
      </c>
      <c r="H3032" s="3">
        <v>3373.4240591386701</v>
      </c>
      <c r="I3032" s="3">
        <v>56.223734318977833</v>
      </c>
      <c r="J3032" s="3">
        <v>0.93706223864963056</v>
      </c>
      <c r="K3032" t="s">
        <v>73</v>
      </c>
    </row>
    <row r="3033" spans="1:11" x14ac:dyDescent="0.35">
      <c r="A3033">
        <v>3032</v>
      </c>
      <c r="B3033" t="s">
        <v>2</v>
      </c>
      <c r="C3033" t="s">
        <v>132</v>
      </c>
      <c r="D3033" t="s">
        <v>140</v>
      </c>
      <c r="E3033" s="2">
        <v>44301.373472222222</v>
      </c>
      <c r="F3033" s="2">
        <v>44301.427025462966</v>
      </c>
      <c r="G3033" s="3">
        <v>5.3553240744804498E-2</v>
      </c>
      <c r="H3033" s="3">
        <v>4655.1843484704877</v>
      </c>
      <c r="I3033" s="3">
        <v>77.586405807841459</v>
      </c>
      <c r="J3033" s="3">
        <v>1.2931067634640243</v>
      </c>
      <c r="K3033" t="s">
        <v>93</v>
      </c>
    </row>
    <row r="3034" spans="1:11" x14ac:dyDescent="0.35">
      <c r="A3034">
        <v>3033</v>
      </c>
      <c r="B3034" t="s">
        <v>2</v>
      </c>
      <c r="C3034" t="s">
        <v>133</v>
      </c>
      <c r="D3034" t="s">
        <v>140</v>
      </c>
      <c r="E3034" s="2">
        <v>44301.427476851852</v>
      </c>
      <c r="F3034" s="2">
        <v>44301.433078703703</v>
      </c>
      <c r="G3034" s="3">
        <v>5.6018518516793847E-3</v>
      </c>
      <c r="H3034" s="3">
        <v>486.94817904028031</v>
      </c>
      <c r="I3034" s="3">
        <v>8.1158029840046719</v>
      </c>
      <c r="J3034" s="3">
        <v>0.13526338306674454</v>
      </c>
      <c r="K3034" t="s">
        <v>99</v>
      </c>
    </row>
    <row r="3035" spans="1:11" x14ac:dyDescent="0.35">
      <c r="A3035">
        <v>3034</v>
      </c>
      <c r="B3035" t="s">
        <v>2</v>
      </c>
      <c r="C3035" t="s">
        <v>132</v>
      </c>
      <c r="D3035" t="s">
        <v>140</v>
      </c>
      <c r="E3035" s="2">
        <v>44301.433206018519</v>
      </c>
      <c r="F3035" s="2">
        <v>44301.45380787037</v>
      </c>
      <c r="G3035" s="3">
        <v>2.0601851851097308E-2</v>
      </c>
      <c r="H3035" s="3">
        <v>1790.8424766252874</v>
      </c>
      <c r="I3035" s="3">
        <v>29.847374610421458</v>
      </c>
      <c r="J3035" s="3">
        <v>0.49745624350702428</v>
      </c>
      <c r="K3035" t="s">
        <v>93</v>
      </c>
    </row>
    <row r="3036" spans="1:11" x14ac:dyDescent="0.35">
      <c r="A3036">
        <v>3035</v>
      </c>
      <c r="B3036" t="s">
        <v>2</v>
      </c>
      <c r="C3036" t="s">
        <v>133</v>
      </c>
      <c r="D3036" t="s">
        <v>140</v>
      </c>
      <c r="E3036" s="2">
        <v>44301.453969907408</v>
      </c>
      <c r="F3036" s="2">
        <v>44301.468599537038</v>
      </c>
      <c r="G3036" s="3">
        <v>1.4629629629780538E-2</v>
      </c>
      <c r="H3036" s="3">
        <v>1271.6993767194488</v>
      </c>
      <c r="I3036" s="3">
        <v>21.194989611990813</v>
      </c>
      <c r="J3036" s="3">
        <v>0.35324982686651357</v>
      </c>
      <c r="K3036" t="s">
        <v>99</v>
      </c>
    </row>
    <row r="3037" spans="1:11" x14ac:dyDescent="0.35">
      <c r="A3037">
        <v>3036</v>
      </c>
      <c r="B3037" t="s">
        <v>2</v>
      </c>
      <c r="C3037" t="s">
        <v>132</v>
      </c>
      <c r="D3037" t="s">
        <v>140</v>
      </c>
      <c r="E3037" s="2">
        <v>44301.468738425923</v>
      </c>
      <c r="F3037" s="2">
        <v>44301.489537037036</v>
      </c>
      <c r="G3037" s="3">
        <v>2.0798611112695653E-2</v>
      </c>
      <c r="H3037" s="3">
        <v>1807.9460285722923</v>
      </c>
      <c r="I3037" s="3">
        <v>30.132433809538206</v>
      </c>
      <c r="J3037" s="3">
        <v>0.50220723015897006</v>
      </c>
      <c r="K3037" t="s">
        <v>93</v>
      </c>
    </row>
    <row r="3038" spans="1:11" x14ac:dyDescent="0.35">
      <c r="A3038">
        <v>3037</v>
      </c>
      <c r="B3038" t="s">
        <v>16</v>
      </c>
      <c r="C3038" t="s">
        <v>16</v>
      </c>
      <c r="D3038" t="s">
        <v>140</v>
      </c>
      <c r="E3038" s="2">
        <v>44301.489872685182</v>
      </c>
      <c r="F3038" s="2">
        <v>44301.524224537039</v>
      </c>
      <c r="G3038" s="3">
        <v>3.4351851856627036E-2</v>
      </c>
      <c r="H3038" s="3">
        <v>2986.0789166052705</v>
      </c>
      <c r="I3038" s="3">
        <v>49.767981943421177</v>
      </c>
      <c r="J3038" s="3">
        <v>0.82946636572368626</v>
      </c>
    </row>
    <row r="3039" spans="1:11" x14ac:dyDescent="0.35">
      <c r="A3039">
        <v>3038</v>
      </c>
      <c r="B3039" t="s">
        <v>11</v>
      </c>
      <c r="C3039" t="s">
        <v>11</v>
      </c>
      <c r="D3039" t="s">
        <v>140</v>
      </c>
      <c r="E3039" s="2">
        <v>44301.52443287037</v>
      </c>
      <c r="F3039" s="2">
        <v>44301.527291666665</v>
      </c>
      <c r="G3039" s="3">
        <v>2.8587962951860391E-3</v>
      </c>
      <c r="H3039" s="3">
        <v>248.50454582632466</v>
      </c>
      <c r="I3039" s="3">
        <v>4.141742430438744</v>
      </c>
      <c r="J3039" s="3">
        <v>6.90290405073124E-2</v>
      </c>
    </row>
    <row r="3040" spans="1:11" x14ac:dyDescent="0.35">
      <c r="A3040">
        <v>3039</v>
      </c>
      <c r="B3040" t="s">
        <v>2</v>
      </c>
      <c r="C3040" t="s">
        <v>132</v>
      </c>
      <c r="D3040" t="s">
        <v>140</v>
      </c>
      <c r="E3040" s="2">
        <v>44301.52747685185</v>
      </c>
      <c r="F3040" s="2">
        <v>44301.532418981478</v>
      </c>
      <c r="G3040" s="3">
        <v>4.9421296280343086E-3</v>
      </c>
      <c r="H3040" s="3">
        <v>429.60097601132719</v>
      </c>
      <c r="I3040" s="3">
        <v>7.160016266855453</v>
      </c>
      <c r="J3040" s="3">
        <v>0.11933360444759088</v>
      </c>
      <c r="K3040" t="s">
        <v>93</v>
      </c>
    </row>
    <row r="3041" spans="1:11" x14ac:dyDescent="0.35">
      <c r="A3041">
        <v>3040</v>
      </c>
      <c r="B3041" t="s">
        <v>2</v>
      </c>
      <c r="C3041" t="s">
        <v>132</v>
      </c>
      <c r="D3041" t="s">
        <v>140</v>
      </c>
      <c r="E3041" s="2">
        <v>44301.532581018517</v>
      </c>
      <c r="F3041" s="2">
        <v>44301.542210648149</v>
      </c>
      <c r="G3041" s="3">
        <v>9.6296296323998831E-3</v>
      </c>
      <c r="H3041" s="3">
        <v>837.06794440193698</v>
      </c>
      <c r="I3041" s="3">
        <v>13.951132406698949</v>
      </c>
      <c r="J3041" s="3">
        <v>0.23251887344498248</v>
      </c>
      <c r="K3041" t="s">
        <v>93</v>
      </c>
    </row>
    <row r="3042" spans="1:11" x14ac:dyDescent="0.35">
      <c r="A3042">
        <v>3041</v>
      </c>
      <c r="B3042" t="s">
        <v>2</v>
      </c>
      <c r="C3042" t="s">
        <v>132</v>
      </c>
      <c r="D3042" t="s">
        <v>140</v>
      </c>
      <c r="E3042" s="2">
        <v>44301.543171296296</v>
      </c>
      <c r="F3042" s="2">
        <v>44301.559027777781</v>
      </c>
      <c r="G3042" s="3">
        <v>1.5856481484661344E-2</v>
      </c>
      <c r="H3042" s="3">
        <v>1378.3450525609651</v>
      </c>
      <c r="I3042" s="3">
        <v>22.972417542682752</v>
      </c>
      <c r="J3042" s="3">
        <v>0.38287362571137923</v>
      </c>
      <c r="K3042" t="s">
        <v>93</v>
      </c>
    </row>
    <row r="3043" spans="1:11" x14ac:dyDescent="0.35">
      <c r="A3043">
        <v>3042</v>
      </c>
      <c r="B3043" t="s">
        <v>2</v>
      </c>
      <c r="C3043" t="s">
        <v>132</v>
      </c>
      <c r="D3043" t="s">
        <v>140</v>
      </c>
      <c r="E3043" s="2">
        <v>44301.559270833335</v>
      </c>
      <c r="F3043" s="2">
        <v>44301.561180555553</v>
      </c>
      <c r="G3043" s="3">
        <v>1.9097222175332718E-3</v>
      </c>
      <c r="H3043" s="3">
        <v>166.00506063397702</v>
      </c>
      <c r="I3043" s="3">
        <v>2.7667510105662836</v>
      </c>
      <c r="J3043" s="3">
        <v>4.6112516842771394E-2</v>
      </c>
      <c r="K3043" t="s">
        <v>93</v>
      </c>
    </row>
    <row r="3044" spans="1:11" x14ac:dyDescent="0.35">
      <c r="A3044">
        <v>3043</v>
      </c>
      <c r="B3044" t="s">
        <v>2</v>
      </c>
      <c r="C3044" t="s">
        <v>132</v>
      </c>
      <c r="D3044" t="s">
        <v>140</v>
      </c>
      <c r="E3044" s="2">
        <v>44301.561319444445</v>
      </c>
      <c r="F3044" s="2">
        <v>44301.563055555554</v>
      </c>
      <c r="G3044" s="3">
        <v>1.7361111094942316E-3</v>
      </c>
      <c r="H3044" s="3">
        <v>150.91369171542345</v>
      </c>
      <c r="I3044" s="3">
        <v>2.5152281952570577</v>
      </c>
      <c r="J3044" s="3">
        <v>4.1920469920950963E-2</v>
      </c>
      <c r="K3044" t="s">
        <v>93</v>
      </c>
    </row>
    <row r="3045" spans="1:11" x14ac:dyDescent="0.35">
      <c r="A3045">
        <v>3044</v>
      </c>
      <c r="B3045" t="s">
        <v>2</v>
      </c>
      <c r="C3045" t="s">
        <v>72</v>
      </c>
      <c r="D3045" t="s">
        <v>140</v>
      </c>
      <c r="E3045" s="2">
        <v>44301.563194444447</v>
      </c>
      <c r="F3045" s="2">
        <v>44301.626689814817</v>
      </c>
      <c r="G3045" s="3">
        <v>6.3495370370219462E-2</v>
      </c>
      <c r="H3045" s="3">
        <v>5519.4167567993272</v>
      </c>
      <c r="I3045" s="3">
        <v>91.990279279988783</v>
      </c>
      <c r="J3045" s="3">
        <v>1.5331713213331464</v>
      </c>
      <c r="K3045" t="s">
        <v>73</v>
      </c>
    </row>
    <row r="3046" spans="1:11" x14ac:dyDescent="0.35">
      <c r="A3046">
        <v>3045</v>
      </c>
      <c r="B3046" t="s">
        <v>11</v>
      </c>
      <c r="C3046" t="s">
        <v>11</v>
      </c>
      <c r="D3046" t="s">
        <v>140</v>
      </c>
      <c r="E3046" s="2">
        <v>44301.626782407409</v>
      </c>
      <c r="F3046" s="2">
        <v>44301.63653935185</v>
      </c>
      <c r="G3046" s="3">
        <v>9.7569444405962713E-3</v>
      </c>
      <c r="H3046" s="3">
        <v>848.13494789605966</v>
      </c>
      <c r="I3046" s="3">
        <v>14.135582464934327</v>
      </c>
      <c r="J3046" s="3">
        <v>0.23559304108223877</v>
      </c>
    </row>
    <row r="3047" spans="1:11" x14ac:dyDescent="0.35">
      <c r="A3047">
        <v>3046</v>
      </c>
      <c r="B3047" t="s">
        <v>2</v>
      </c>
      <c r="C3047" t="s">
        <v>132</v>
      </c>
      <c r="D3047" t="s">
        <v>140</v>
      </c>
      <c r="E3047" s="2">
        <v>44301.636678240742</v>
      </c>
      <c r="F3047" s="2">
        <v>44301.66134259259</v>
      </c>
      <c r="G3047" s="3">
        <v>2.4664351847604848E-2</v>
      </c>
      <c r="H3047" s="3">
        <v>2143.9805152646773</v>
      </c>
      <c r="I3047" s="3">
        <v>35.733008587744621</v>
      </c>
      <c r="J3047" s="3">
        <v>0.59555014312907706</v>
      </c>
      <c r="K3047" t="s">
        <v>93</v>
      </c>
    </row>
    <row r="3048" spans="1:11" x14ac:dyDescent="0.35">
      <c r="A3048">
        <v>3047</v>
      </c>
      <c r="B3048" t="s">
        <v>2</v>
      </c>
      <c r="C3048" t="s">
        <v>96</v>
      </c>
      <c r="D3048" t="s">
        <v>140</v>
      </c>
      <c r="E3048" s="2">
        <v>44301.661562499998</v>
      </c>
      <c r="F3048" s="2">
        <v>44301.666932870372</v>
      </c>
      <c r="G3048" s="3">
        <v>5.3703703742939979E-3</v>
      </c>
      <c r="H3048" s="3">
        <v>466.82635381554223</v>
      </c>
      <c r="I3048" s="3">
        <v>7.7804392302590371</v>
      </c>
      <c r="J3048" s="3">
        <v>0.12967398717098394</v>
      </c>
    </row>
    <row r="3049" spans="1:11" x14ac:dyDescent="0.35">
      <c r="A3049">
        <v>3048</v>
      </c>
      <c r="B3049" t="s">
        <v>2</v>
      </c>
      <c r="C3049" t="s">
        <v>132</v>
      </c>
      <c r="D3049" t="s">
        <v>140</v>
      </c>
      <c r="E3049" s="2">
        <v>44301.667430555557</v>
      </c>
      <c r="F3049" s="2">
        <v>44301.668391203704</v>
      </c>
      <c r="G3049" s="3">
        <v>9.6064814715646207E-4</v>
      </c>
      <c r="H3049" s="3">
        <v>83.505576074101356</v>
      </c>
      <c r="I3049" s="3">
        <v>1.3917596012350226</v>
      </c>
      <c r="J3049" s="3">
        <v>2.3195993353917043E-2</v>
      </c>
      <c r="K3049" t="s">
        <v>93</v>
      </c>
    </row>
    <row r="3050" spans="1:11" x14ac:dyDescent="0.35">
      <c r="A3050">
        <v>3049</v>
      </c>
      <c r="B3050" t="s">
        <v>2</v>
      </c>
      <c r="C3050" t="s">
        <v>96</v>
      </c>
      <c r="D3050" t="s">
        <v>140</v>
      </c>
      <c r="E3050" s="2">
        <v>44301.668611111112</v>
      </c>
      <c r="F3050" s="2">
        <v>44301.710416666669</v>
      </c>
      <c r="G3050" s="3">
        <v>4.1805555556493346E-2</v>
      </c>
      <c r="H3050" s="3">
        <v>3634.0016999733439</v>
      </c>
      <c r="I3050" s="3">
        <v>60.566694999555729</v>
      </c>
      <c r="J3050" s="3">
        <v>1.0094449166592621</v>
      </c>
    </row>
    <row r="3051" spans="1:11" x14ac:dyDescent="0.35">
      <c r="A3051">
        <v>3050</v>
      </c>
      <c r="B3051" t="s">
        <v>11</v>
      </c>
      <c r="C3051" t="s">
        <v>11</v>
      </c>
      <c r="D3051" t="s">
        <v>140</v>
      </c>
      <c r="E3051" s="2">
        <v>44301.710844907408</v>
      </c>
      <c r="F3051" s="2">
        <v>44301.780439814815</v>
      </c>
      <c r="G3051" s="3">
        <v>6.9594907407008577E-2</v>
      </c>
      <c r="H3051" s="3">
        <v>6049.6268608317605</v>
      </c>
      <c r="I3051" s="3">
        <v>100.827114347196</v>
      </c>
      <c r="J3051" s="3">
        <v>1.6804519057866001</v>
      </c>
    </row>
    <row r="3052" spans="1:11" x14ac:dyDescent="0.35">
      <c r="A3052">
        <v>3051</v>
      </c>
      <c r="B3052" t="s">
        <v>11</v>
      </c>
      <c r="C3052" t="s">
        <v>11</v>
      </c>
      <c r="D3052" t="s">
        <v>140</v>
      </c>
      <c r="E3052" s="2">
        <v>44302.333333333336</v>
      </c>
      <c r="F3052" s="2">
        <v>44302.35628472222</v>
      </c>
      <c r="G3052" s="3">
        <v>2.2951388884393964E-2</v>
      </c>
      <c r="H3052" s="3">
        <v>1995.0790059452331</v>
      </c>
      <c r="I3052" s="3">
        <v>33.251316765753884</v>
      </c>
      <c r="J3052" s="3">
        <v>0.5541886127625647</v>
      </c>
    </row>
    <row r="3053" spans="1:11" x14ac:dyDescent="0.35">
      <c r="A3053">
        <v>3052</v>
      </c>
      <c r="B3053" t="s">
        <v>2</v>
      </c>
      <c r="C3053" t="s">
        <v>96</v>
      </c>
      <c r="D3053" t="s">
        <v>140</v>
      </c>
      <c r="E3053" s="2">
        <v>44302.356435185182</v>
      </c>
      <c r="F3053" s="2">
        <v>44302.367488425924</v>
      </c>
      <c r="G3053" s="3">
        <v>1.1053240741603076E-2</v>
      </c>
      <c r="H3053" s="3">
        <v>960.8171715579864</v>
      </c>
      <c r="I3053" s="3">
        <v>16.01361952596644</v>
      </c>
      <c r="J3053" s="3">
        <v>0.26689365876610732</v>
      </c>
    </row>
    <row r="3054" spans="1:11" x14ac:dyDescent="0.35">
      <c r="A3054">
        <v>3053</v>
      </c>
      <c r="B3054" t="s">
        <v>2</v>
      </c>
      <c r="C3054" t="s">
        <v>132</v>
      </c>
      <c r="D3054" t="s">
        <v>140</v>
      </c>
      <c r="E3054" s="2">
        <v>44302.367754629631</v>
      </c>
      <c r="F3054" s="2">
        <v>44302.38003472222</v>
      </c>
      <c r="G3054" s="3">
        <v>1.2280092589207925E-2</v>
      </c>
      <c r="H3054" s="3">
        <v>1067.4628467670309</v>
      </c>
      <c r="I3054" s="3">
        <v>17.791047446117183</v>
      </c>
      <c r="J3054" s="3">
        <v>0.2965174574352864</v>
      </c>
      <c r="K3054" t="s">
        <v>93</v>
      </c>
    </row>
    <row r="3055" spans="1:11" x14ac:dyDescent="0.35">
      <c r="A3055">
        <v>3054</v>
      </c>
      <c r="B3055" t="s">
        <v>2</v>
      </c>
      <c r="C3055" t="s">
        <v>132</v>
      </c>
      <c r="D3055" t="s">
        <v>140</v>
      </c>
      <c r="E3055" s="2">
        <v>44302.380231481482</v>
      </c>
      <c r="F3055" s="2">
        <v>44302.381886574076</v>
      </c>
      <c r="G3055" s="3">
        <v>1.6550925938645378E-3</v>
      </c>
      <c r="H3055" s="3">
        <v>143.87105301325954</v>
      </c>
      <c r="I3055" s="3">
        <v>2.3978508835543257</v>
      </c>
      <c r="J3055" s="3">
        <v>3.9964181392572094E-2</v>
      </c>
      <c r="K3055" t="s">
        <v>93</v>
      </c>
    </row>
    <row r="3056" spans="1:11" x14ac:dyDescent="0.35">
      <c r="A3056">
        <v>3055</v>
      </c>
      <c r="B3056" t="s">
        <v>16</v>
      </c>
      <c r="C3056" t="s">
        <v>16</v>
      </c>
      <c r="D3056" t="s">
        <v>140</v>
      </c>
      <c r="E3056" s="2">
        <v>44302.381967592592</v>
      </c>
      <c r="F3056" s="2">
        <v>44302.387152777781</v>
      </c>
      <c r="G3056" s="3">
        <v>5.1851851894753054E-3</v>
      </c>
      <c r="H3056" s="3">
        <v>450.72889338276298</v>
      </c>
      <c r="I3056" s="3">
        <v>7.5121482230460499</v>
      </c>
      <c r="J3056" s="3">
        <v>0.12520247038410084</v>
      </c>
    </row>
    <row r="3057" spans="1:11" x14ac:dyDescent="0.35">
      <c r="A3057">
        <v>3056</v>
      </c>
      <c r="B3057" t="s">
        <v>2</v>
      </c>
      <c r="C3057" t="s">
        <v>132</v>
      </c>
      <c r="D3057" t="s">
        <v>140</v>
      </c>
      <c r="E3057" s="2">
        <v>44302.387395833335</v>
      </c>
      <c r="F3057" s="2">
        <v>44302.399212962962</v>
      </c>
      <c r="G3057" s="3">
        <v>1.1817129627161194E-2</v>
      </c>
      <c r="H3057" s="3">
        <v>1027.2191956850829</v>
      </c>
      <c r="I3057" s="3">
        <v>17.120319928084715</v>
      </c>
      <c r="J3057" s="3">
        <v>0.28533866546807857</v>
      </c>
      <c r="K3057" t="s">
        <v>93</v>
      </c>
    </row>
    <row r="3058" spans="1:11" x14ac:dyDescent="0.35">
      <c r="A3058">
        <v>3057</v>
      </c>
      <c r="B3058" t="s">
        <v>2</v>
      </c>
      <c r="C3058" t="s">
        <v>132</v>
      </c>
      <c r="D3058" t="s">
        <v>140</v>
      </c>
      <c r="E3058" s="2">
        <v>44302.399409722224</v>
      </c>
      <c r="F3058" s="2">
        <v>44302.401678240742</v>
      </c>
      <c r="G3058" s="3">
        <v>2.268518517666962E-3</v>
      </c>
      <c r="H3058" s="3">
        <v>197.19389061778182</v>
      </c>
      <c r="I3058" s="3">
        <v>3.286564843629697</v>
      </c>
      <c r="J3058" s="3">
        <v>5.477608072716162E-2</v>
      </c>
      <c r="K3058" t="s">
        <v>93</v>
      </c>
    </row>
    <row r="3059" spans="1:11" x14ac:dyDescent="0.35">
      <c r="A3059">
        <v>3058</v>
      </c>
      <c r="B3059" t="s">
        <v>2</v>
      </c>
      <c r="C3059" t="s">
        <v>132</v>
      </c>
      <c r="D3059" t="s">
        <v>140</v>
      </c>
      <c r="E3059" s="2">
        <v>44302.401817129627</v>
      </c>
      <c r="F3059" s="2">
        <v>44302.430613425924</v>
      </c>
      <c r="G3059" s="3">
        <v>2.8796296297514345E-2</v>
      </c>
      <c r="H3059" s="3">
        <v>2503.1551023569491</v>
      </c>
      <c r="I3059" s="3">
        <v>41.719251705949155</v>
      </c>
      <c r="J3059" s="3">
        <v>0.6953208617658192</v>
      </c>
      <c r="K3059" t="s">
        <v>93</v>
      </c>
    </row>
    <row r="3060" spans="1:11" x14ac:dyDescent="0.35">
      <c r="A3060">
        <v>3059</v>
      </c>
      <c r="B3060" t="s">
        <v>2</v>
      </c>
      <c r="C3060" t="s">
        <v>132</v>
      </c>
      <c r="D3060" t="s">
        <v>140</v>
      </c>
      <c r="E3060" s="2">
        <v>44302.430844907409</v>
      </c>
      <c r="F3060" s="2">
        <v>44302.467893518522</v>
      </c>
      <c r="G3060" s="3">
        <v>3.704861111327773E-2</v>
      </c>
      <c r="H3060" s="3">
        <v>3220.4981843947953</v>
      </c>
      <c r="I3060" s="3">
        <v>53.674969739913259</v>
      </c>
      <c r="J3060" s="3">
        <v>0.89458282899855435</v>
      </c>
      <c r="K3060" t="s">
        <v>93</v>
      </c>
    </row>
    <row r="3061" spans="1:11" x14ac:dyDescent="0.35">
      <c r="A3061">
        <v>3060</v>
      </c>
      <c r="B3061" t="s">
        <v>11</v>
      </c>
      <c r="C3061" t="s">
        <v>11</v>
      </c>
      <c r="D3061" t="s">
        <v>140</v>
      </c>
      <c r="E3061" s="2">
        <v>44302.467974537038</v>
      </c>
      <c r="F3061" s="2">
        <v>44302.498240740744</v>
      </c>
      <c r="G3061" s="3">
        <v>3.0266203706560191E-2</v>
      </c>
      <c r="H3061" s="3">
        <v>2630.9286949374296</v>
      </c>
      <c r="I3061" s="3">
        <v>43.848811582290494</v>
      </c>
      <c r="J3061" s="3">
        <v>0.7308135263715082</v>
      </c>
    </row>
    <row r="3062" spans="1:11" x14ac:dyDescent="0.35">
      <c r="A3062">
        <v>3061</v>
      </c>
      <c r="B3062" t="s">
        <v>16</v>
      </c>
      <c r="C3062" t="s">
        <v>16</v>
      </c>
      <c r="D3062" t="s">
        <v>140</v>
      </c>
      <c r="E3062" s="2">
        <v>44302.498530092591</v>
      </c>
      <c r="F3062" s="2">
        <v>44302.528148148151</v>
      </c>
      <c r="G3062" s="3">
        <v>2.9618055559694767E-2</v>
      </c>
      <c r="H3062" s="3">
        <v>2574.5875834227022</v>
      </c>
      <c r="I3062" s="3">
        <v>42.909793057045036</v>
      </c>
      <c r="J3062" s="3">
        <v>0.7151632176174173</v>
      </c>
    </row>
    <row r="3063" spans="1:11" x14ac:dyDescent="0.35">
      <c r="A3063">
        <v>3062</v>
      </c>
      <c r="B3063" t="s">
        <v>2</v>
      </c>
      <c r="C3063" t="s">
        <v>132</v>
      </c>
      <c r="D3063" t="s">
        <v>140</v>
      </c>
      <c r="E3063" s="2">
        <v>44302.528564814813</v>
      </c>
      <c r="F3063" s="2">
        <v>44302.577800925923</v>
      </c>
      <c r="G3063" s="3">
        <v>4.9236111110076308E-2</v>
      </c>
      <c r="H3063" s="3">
        <v>4279.912300945437</v>
      </c>
      <c r="I3063" s="3">
        <v>71.331871682423952</v>
      </c>
      <c r="J3063" s="3">
        <v>1.1888645280403991</v>
      </c>
      <c r="K3063" t="s">
        <v>93</v>
      </c>
    </row>
    <row r="3064" spans="1:11" x14ac:dyDescent="0.35">
      <c r="A3064">
        <v>3063</v>
      </c>
      <c r="B3064" t="s">
        <v>2</v>
      </c>
      <c r="C3064" t="s">
        <v>133</v>
      </c>
      <c r="D3064" t="s">
        <v>140</v>
      </c>
      <c r="E3064" s="2">
        <v>44302.577997685185</v>
      </c>
      <c r="F3064" s="2">
        <v>44302.607164351852</v>
      </c>
      <c r="G3064" s="3">
        <v>2.9166666667151731E-2</v>
      </c>
      <c r="H3064" s="3">
        <v>2535.3500232225078</v>
      </c>
      <c r="I3064" s="3">
        <v>42.255833720375129</v>
      </c>
      <c r="J3064" s="3">
        <v>0.70426389533958544</v>
      </c>
      <c r="K3064" t="s">
        <v>99</v>
      </c>
    </row>
    <row r="3065" spans="1:11" x14ac:dyDescent="0.35">
      <c r="A3065">
        <v>3064</v>
      </c>
      <c r="B3065" t="s">
        <v>2</v>
      </c>
      <c r="C3065" t="s">
        <v>132</v>
      </c>
      <c r="D3065" t="s">
        <v>140</v>
      </c>
      <c r="E3065" s="2">
        <v>44302.607303240744</v>
      </c>
      <c r="F3065" s="2">
        <v>44302.616574074076</v>
      </c>
      <c r="G3065" s="3">
        <v>9.2708333322661929E-3</v>
      </c>
      <c r="H3065" s="3">
        <v>805.87911441813219</v>
      </c>
      <c r="I3065" s="3">
        <v>13.431318573635536</v>
      </c>
      <c r="J3065" s="3">
        <v>0.22385530956059227</v>
      </c>
      <c r="K3065" t="s">
        <v>93</v>
      </c>
    </row>
    <row r="3066" spans="1:11" x14ac:dyDescent="0.35">
      <c r="A3066">
        <v>3065</v>
      </c>
      <c r="B3066" t="s">
        <v>11</v>
      </c>
      <c r="C3066" t="s">
        <v>11</v>
      </c>
      <c r="D3066" t="s">
        <v>140</v>
      </c>
      <c r="E3066" s="2">
        <v>44302.617094907408</v>
      </c>
      <c r="F3066" s="2">
        <v>44302.767800925925</v>
      </c>
      <c r="G3066" s="3">
        <v>0.15070601851766696</v>
      </c>
      <c r="H3066" s="3">
        <v>13100.314544303455</v>
      </c>
      <c r="I3066" s="3">
        <v>218.33857573839092</v>
      </c>
      <c r="J3066" s="3">
        <v>3.6389762623065152</v>
      </c>
    </row>
    <row r="3067" spans="1:11" x14ac:dyDescent="0.35">
      <c r="A3067">
        <v>3066</v>
      </c>
      <c r="B3067" t="s">
        <v>11</v>
      </c>
      <c r="C3067" t="s">
        <v>11</v>
      </c>
      <c r="D3067" t="s">
        <v>140</v>
      </c>
      <c r="E3067" s="2">
        <v>44303.694074074076</v>
      </c>
      <c r="F3067" s="2">
        <v>44303.743078703701</v>
      </c>
      <c r="G3067" s="3">
        <v>4.9004629625414964E-2</v>
      </c>
      <c r="H3067" s="3">
        <v>4259.7904750882271</v>
      </c>
      <c r="I3067" s="3">
        <v>70.996507918137112</v>
      </c>
      <c r="J3067" s="3">
        <v>1.1832751319689518</v>
      </c>
    </row>
    <row r="3068" spans="1:11" x14ac:dyDescent="0.35">
      <c r="A3068">
        <v>3067</v>
      </c>
      <c r="B3068" t="s">
        <v>11</v>
      </c>
      <c r="C3068" t="s">
        <v>11</v>
      </c>
      <c r="D3068" t="s">
        <v>140</v>
      </c>
      <c r="E3068" s="2">
        <v>44303.776689814818</v>
      </c>
      <c r="F3068" s="2">
        <v>44303.878391203703</v>
      </c>
      <c r="G3068" s="3">
        <v>0.10170138888497604</v>
      </c>
      <c r="H3068" s="3">
        <v>8840.5240685827575</v>
      </c>
      <c r="I3068" s="3">
        <v>147.34206780971263</v>
      </c>
      <c r="J3068" s="3">
        <v>2.4557011301618772</v>
      </c>
    </row>
    <row r="3069" spans="1:11" x14ac:dyDescent="0.35">
      <c r="A3069">
        <v>3068</v>
      </c>
      <c r="B3069" t="s">
        <v>11</v>
      </c>
      <c r="C3069" t="s">
        <v>11</v>
      </c>
      <c r="D3069" t="s">
        <v>140</v>
      </c>
      <c r="E3069" s="2">
        <v>44304.729166666664</v>
      </c>
      <c r="F3069" s="2">
        <v>44304.793055555558</v>
      </c>
      <c r="G3069" s="3">
        <v>6.3888888893416151E-2</v>
      </c>
      <c r="H3069" s="3">
        <v>5553.6238606933366</v>
      </c>
      <c r="I3069" s="3">
        <v>92.560397678222273</v>
      </c>
      <c r="J3069" s="3">
        <v>1.5426732946370378</v>
      </c>
    </row>
    <row r="3070" spans="1:11" x14ac:dyDescent="0.35">
      <c r="A3070">
        <v>3069</v>
      </c>
      <c r="B3070" t="s">
        <v>11</v>
      </c>
      <c r="C3070" t="s">
        <v>11</v>
      </c>
      <c r="D3070" t="s">
        <v>140</v>
      </c>
      <c r="E3070" s="2">
        <v>44305.326122685183</v>
      </c>
      <c r="F3070" s="2">
        <v>44305.329606481479</v>
      </c>
      <c r="G3070" s="3">
        <v>3.4837962957681157E-3</v>
      </c>
      <c r="H3070" s="3">
        <v>302.83347494507262</v>
      </c>
      <c r="I3070" s="3">
        <v>5.0472245824178774</v>
      </c>
      <c r="J3070" s="3">
        <v>8.4120409706964619E-2</v>
      </c>
    </row>
    <row r="3071" spans="1:11" x14ac:dyDescent="0.35">
      <c r="A3071">
        <v>3070</v>
      </c>
      <c r="B3071" t="s">
        <v>2</v>
      </c>
      <c r="C3071" t="s">
        <v>132</v>
      </c>
      <c r="D3071" t="s">
        <v>140</v>
      </c>
      <c r="E3071" s="2">
        <v>44305.329780092594</v>
      </c>
      <c r="F3071" s="2">
        <v>44305.334756944445</v>
      </c>
      <c r="G3071" s="3">
        <v>4.9768518510973081E-3</v>
      </c>
      <c r="H3071" s="3">
        <v>432.61924992153234</v>
      </c>
      <c r="I3071" s="3">
        <v>7.2103208320255394</v>
      </c>
      <c r="J3071" s="3">
        <v>0.12017201386709232</v>
      </c>
      <c r="K3071" t="s">
        <v>93</v>
      </c>
    </row>
    <row r="3072" spans="1:11" x14ac:dyDescent="0.35">
      <c r="A3072">
        <v>3071</v>
      </c>
      <c r="B3072" t="s">
        <v>2</v>
      </c>
      <c r="C3072" t="s">
        <v>132</v>
      </c>
      <c r="D3072" t="s">
        <v>140</v>
      </c>
      <c r="E3072" s="2">
        <v>44305.334953703707</v>
      </c>
      <c r="F3072" s="2">
        <v>44305.340115740742</v>
      </c>
      <c r="G3072" s="3">
        <v>5.1620370359160006E-3</v>
      </c>
      <c r="H3072" s="3">
        <v>448.71671035431154</v>
      </c>
      <c r="I3072" s="3">
        <v>7.4786118392385257</v>
      </c>
      <c r="J3072" s="3">
        <v>0.12464353065397543</v>
      </c>
      <c r="K3072" t="s">
        <v>93</v>
      </c>
    </row>
    <row r="3073" spans="1:11" x14ac:dyDescent="0.35">
      <c r="A3073">
        <v>3072</v>
      </c>
      <c r="B3073" t="s">
        <v>2</v>
      </c>
      <c r="C3073" t="s">
        <v>96</v>
      </c>
      <c r="D3073" t="s">
        <v>140</v>
      </c>
      <c r="E3073" s="2">
        <v>44305.340277777781</v>
      </c>
      <c r="F3073" s="2">
        <v>44305.346331018518</v>
      </c>
      <c r="G3073" s="3">
        <v>6.0532407369464636E-3</v>
      </c>
      <c r="H3073" s="3">
        <v>526.18573860800268</v>
      </c>
      <c r="I3073" s="3">
        <v>8.7697623101333786</v>
      </c>
      <c r="J3073" s="3">
        <v>0.14616270516888966</v>
      </c>
    </row>
    <row r="3074" spans="1:11" x14ac:dyDescent="0.35">
      <c r="A3074">
        <v>3073</v>
      </c>
      <c r="B3074" t="s">
        <v>2</v>
      </c>
      <c r="C3074" t="s">
        <v>132</v>
      </c>
      <c r="D3074" t="s">
        <v>140</v>
      </c>
      <c r="E3074" s="2">
        <v>44305.346516203703</v>
      </c>
      <c r="F3074" s="2">
        <v>44305.348287037035</v>
      </c>
      <c r="G3074" s="3">
        <v>1.7708333325572312E-3</v>
      </c>
      <c r="H3074" s="3">
        <v>153.93196562562858</v>
      </c>
      <c r="I3074" s="3">
        <v>2.5655327604271432</v>
      </c>
      <c r="J3074" s="3">
        <v>4.2758879340452388E-2</v>
      </c>
      <c r="K3074" t="s">
        <v>93</v>
      </c>
    </row>
    <row r="3075" spans="1:11" x14ac:dyDescent="0.35">
      <c r="A3075">
        <v>3074</v>
      </c>
      <c r="B3075" t="s">
        <v>2</v>
      </c>
      <c r="C3075" t="s">
        <v>132</v>
      </c>
      <c r="D3075" t="s">
        <v>140</v>
      </c>
      <c r="E3075" s="2">
        <v>44305.34815972222</v>
      </c>
      <c r="F3075" s="2">
        <v>44305.378344907411</v>
      </c>
      <c r="G3075" s="3">
        <v>3.0185185190930497E-2</v>
      </c>
      <c r="H3075" s="3">
        <v>2623.8860562352656</v>
      </c>
      <c r="I3075" s="3">
        <v>43.731434270587762</v>
      </c>
      <c r="J3075" s="3">
        <v>0.72885723784312939</v>
      </c>
      <c r="K3075" t="s">
        <v>93</v>
      </c>
    </row>
    <row r="3076" spans="1:11" x14ac:dyDescent="0.35">
      <c r="A3076">
        <v>3075</v>
      </c>
      <c r="B3076" t="s">
        <v>11</v>
      </c>
      <c r="C3076" t="s">
        <v>11</v>
      </c>
      <c r="D3076" t="s">
        <v>140</v>
      </c>
      <c r="E3076" s="2">
        <v>44305.378518518519</v>
      </c>
      <c r="F3076" s="2">
        <v>44305.38071759259</v>
      </c>
      <c r="G3076" s="3">
        <v>2.1990740715409629E-3</v>
      </c>
      <c r="H3076" s="3">
        <v>191.1573427973716</v>
      </c>
      <c r="I3076" s="3">
        <v>3.1859557132895264</v>
      </c>
      <c r="J3076" s="3">
        <v>5.3099261888158771E-2</v>
      </c>
    </row>
    <row r="3077" spans="1:11" x14ac:dyDescent="0.35">
      <c r="A3077">
        <v>3076</v>
      </c>
      <c r="B3077" t="s">
        <v>2</v>
      </c>
      <c r="C3077" t="s">
        <v>132</v>
      </c>
      <c r="D3077" t="s">
        <v>140</v>
      </c>
      <c r="E3077" s="2">
        <v>44305.380972222221</v>
      </c>
      <c r="F3077" s="2">
        <v>44305.394490740742</v>
      </c>
      <c r="G3077" s="3">
        <v>1.3518518520868383E-2</v>
      </c>
      <c r="H3077" s="3">
        <v>1175.1146141227732</v>
      </c>
      <c r="I3077" s="3">
        <v>19.585243568712887</v>
      </c>
      <c r="J3077" s="3">
        <v>0.32642072614521478</v>
      </c>
      <c r="K3077" t="s">
        <v>93</v>
      </c>
    </row>
    <row r="3078" spans="1:11" x14ac:dyDescent="0.35">
      <c r="A3078">
        <v>3077</v>
      </c>
      <c r="B3078" t="s">
        <v>11</v>
      </c>
      <c r="C3078" t="s">
        <v>11</v>
      </c>
      <c r="D3078" t="s">
        <v>140</v>
      </c>
      <c r="E3078" s="2">
        <v>44305.394618055558</v>
      </c>
      <c r="F3078" s="2">
        <v>44305.395173611112</v>
      </c>
      <c r="G3078" s="3">
        <v>5.5555555445607752E-4</v>
      </c>
      <c r="H3078" s="3">
        <v>48.292381298337752</v>
      </c>
      <c r="I3078" s="3">
        <v>0.80487302163896257</v>
      </c>
      <c r="J3078" s="3">
        <v>1.3414550360649376E-2</v>
      </c>
    </row>
    <row r="3079" spans="1:11" x14ac:dyDescent="0.35">
      <c r="A3079">
        <v>3078</v>
      </c>
      <c r="B3079" t="s">
        <v>2</v>
      </c>
      <c r="C3079" t="s">
        <v>133</v>
      </c>
      <c r="D3079" t="s">
        <v>140</v>
      </c>
      <c r="E3079" s="2">
        <v>44305.395370370374</v>
      </c>
      <c r="F3079" s="2">
        <v>44305.440127314818</v>
      </c>
      <c r="G3079" s="3">
        <v>4.4756944444088731E-2</v>
      </c>
      <c r="H3079" s="3">
        <v>3890.5549760160579</v>
      </c>
      <c r="I3079" s="3">
        <v>64.842582933600966</v>
      </c>
      <c r="J3079" s="3">
        <v>1.080709715560016</v>
      </c>
      <c r="K3079" t="s">
        <v>99</v>
      </c>
    </row>
    <row r="3080" spans="1:11" x14ac:dyDescent="0.35">
      <c r="A3080">
        <v>3079</v>
      </c>
      <c r="B3080" t="s">
        <v>2</v>
      </c>
      <c r="C3080" t="s">
        <v>132</v>
      </c>
      <c r="D3080" t="s">
        <v>140</v>
      </c>
      <c r="E3080" s="2">
        <v>44305.440300925926</v>
      </c>
      <c r="F3080" s="2">
        <v>44305.443935185183</v>
      </c>
      <c r="G3080" s="3">
        <v>3.6342592575238086E-3</v>
      </c>
      <c r="H3080" s="3">
        <v>315.91266146764679</v>
      </c>
      <c r="I3080" s="3">
        <v>5.2652110244607799</v>
      </c>
      <c r="J3080" s="3">
        <v>8.7753517074346338E-2</v>
      </c>
      <c r="K3080" t="s">
        <v>93</v>
      </c>
    </row>
    <row r="3081" spans="1:11" x14ac:dyDescent="0.35">
      <c r="A3081">
        <v>3080</v>
      </c>
      <c r="B3081" t="s">
        <v>2</v>
      </c>
      <c r="C3081" t="s">
        <v>132</v>
      </c>
      <c r="D3081" t="s">
        <v>140</v>
      </c>
      <c r="E3081" s="2">
        <v>44305.444120370368</v>
      </c>
      <c r="F3081" s="2">
        <v>44305.449247685188</v>
      </c>
      <c r="G3081" s="3">
        <v>5.1273148201289587E-3</v>
      </c>
      <c r="H3081" s="3">
        <v>445.69843707657844</v>
      </c>
      <c r="I3081" s="3">
        <v>7.428307284609641</v>
      </c>
      <c r="J3081" s="3">
        <v>0.12380512141016069</v>
      </c>
      <c r="K3081" t="s">
        <v>93</v>
      </c>
    </row>
    <row r="3082" spans="1:11" x14ac:dyDescent="0.35">
      <c r="A3082">
        <v>3081</v>
      </c>
      <c r="B3082" t="s">
        <v>16</v>
      </c>
      <c r="C3082" t="s">
        <v>16</v>
      </c>
      <c r="D3082" t="s">
        <v>140</v>
      </c>
      <c r="E3082" s="2">
        <v>44305.44940972222</v>
      </c>
      <c r="F3082" s="2">
        <v>44305.458460648151</v>
      </c>
      <c r="G3082" s="3">
        <v>9.0509259316604584E-3</v>
      </c>
      <c r="H3082" s="3">
        <v>786.76338070761983</v>
      </c>
      <c r="I3082" s="3">
        <v>13.112723011793664</v>
      </c>
      <c r="J3082" s="3">
        <v>0.21854538352989439</v>
      </c>
    </row>
    <row r="3083" spans="1:11" x14ac:dyDescent="0.35">
      <c r="A3083">
        <v>3082</v>
      </c>
      <c r="B3083" t="s">
        <v>2</v>
      </c>
      <c r="C3083" t="s">
        <v>132</v>
      </c>
      <c r="D3083" t="s">
        <v>140</v>
      </c>
      <c r="E3083" s="2">
        <v>44305.458622685182</v>
      </c>
      <c r="F3083" s="2">
        <v>44305.493252314816</v>
      </c>
      <c r="G3083" s="3">
        <v>3.4629629633855075E-2</v>
      </c>
      <c r="H3083" s="3">
        <v>3010.2251072544395</v>
      </c>
      <c r="I3083" s="3">
        <v>50.170418454240661</v>
      </c>
      <c r="J3083" s="3">
        <v>0.83617364090401103</v>
      </c>
      <c r="K3083" t="s">
        <v>93</v>
      </c>
    </row>
    <row r="3084" spans="1:11" x14ac:dyDescent="0.35">
      <c r="A3084">
        <v>3083</v>
      </c>
      <c r="B3084" t="s">
        <v>2</v>
      </c>
      <c r="C3084" t="s">
        <v>132</v>
      </c>
      <c r="D3084" t="s">
        <v>140</v>
      </c>
      <c r="E3084" s="2">
        <v>44305.493402777778</v>
      </c>
      <c r="F3084" s="2">
        <v>44305.497870370367</v>
      </c>
      <c r="G3084" s="3">
        <v>4.4675925892079249E-3</v>
      </c>
      <c r="H3084" s="3">
        <v>388.35123341515339</v>
      </c>
      <c r="I3084" s="3">
        <v>6.472520556919223</v>
      </c>
      <c r="J3084" s="3">
        <v>0.10787534261532038</v>
      </c>
      <c r="K3084" t="s">
        <v>93</v>
      </c>
    </row>
    <row r="3085" spans="1:11" x14ac:dyDescent="0.35">
      <c r="A3085">
        <v>3084</v>
      </c>
      <c r="B3085" t="s">
        <v>16</v>
      </c>
      <c r="C3085" t="s">
        <v>16</v>
      </c>
      <c r="D3085" t="s">
        <v>140</v>
      </c>
      <c r="E3085" s="2">
        <v>44305.49795138889</v>
      </c>
      <c r="F3085" s="2">
        <v>44305.535752314812</v>
      </c>
      <c r="G3085" s="3">
        <v>3.7800925922056194E-2</v>
      </c>
      <c r="H3085" s="3">
        <v>3285.8941170076664</v>
      </c>
      <c r="I3085" s="3">
        <v>54.764901950127772</v>
      </c>
      <c r="J3085" s="3">
        <v>0.91274836583546282</v>
      </c>
    </row>
    <row r="3086" spans="1:11" x14ac:dyDescent="0.35">
      <c r="A3086">
        <v>3085</v>
      </c>
      <c r="B3086" t="s">
        <v>11</v>
      </c>
      <c r="C3086" t="s">
        <v>11</v>
      </c>
      <c r="D3086" t="s">
        <v>140</v>
      </c>
      <c r="E3086" s="2">
        <v>44305.536064814813</v>
      </c>
      <c r="F3086" s="2">
        <v>44305.538599537038</v>
      </c>
      <c r="G3086" s="3">
        <v>2.534722225391306E-3</v>
      </c>
      <c r="H3086" s="3">
        <v>220.33399038519696</v>
      </c>
      <c r="I3086" s="3">
        <v>3.672233173086616</v>
      </c>
      <c r="J3086" s="3">
        <v>6.1203886218110265E-2</v>
      </c>
    </row>
    <row r="3087" spans="1:11" x14ac:dyDescent="0.35">
      <c r="A3087">
        <v>3086</v>
      </c>
      <c r="B3087" t="s">
        <v>33</v>
      </c>
      <c r="C3087" t="s">
        <v>33</v>
      </c>
      <c r="D3087" t="s">
        <v>140</v>
      </c>
      <c r="E3087" s="2">
        <v>44308.375</v>
      </c>
      <c r="F3087" s="2">
        <v>44308.541666666664</v>
      </c>
      <c r="G3087" s="3">
        <v>0.16666666666424135</v>
      </c>
      <c r="H3087" s="3">
        <v>14487.714417962565</v>
      </c>
      <c r="I3087" s="3">
        <v>241.46190696604273</v>
      </c>
      <c r="J3087" s="3">
        <v>4.0243651161007126</v>
      </c>
    </row>
    <row r="3088" spans="1:11" x14ac:dyDescent="0.35">
      <c r="A3088">
        <v>3087</v>
      </c>
      <c r="B3088" t="s">
        <v>33</v>
      </c>
      <c r="C3088" t="s">
        <v>33</v>
      </c>
      <c r="D3088" t="s">
        <v>140</v>
      </c>
      <c r="E3088" s="2">
        <v>44309.375</v>
      </c>
      <c r="F3088" s="2">
        <v>44309.708333333336</v>
      </c>
      <c r="G3088" s="3">
        <v>0.33333333333575865</v>
      </c>
      <c r="H3088" s="3">
        <v>28975.428836557599</v>
      </c>
      <c r="I3088" s="3">
        <v>482.92381394262668</v>
      </c>
      <c r="J3088" s="3">
        <v>8.0487302323771122</v>
      </c>
    </row>
    <row r="3089" spans="1:11" x14ac:dyDescent="0.35">
      <c r="A3089">
        <v>3088</v>
      </c>
      <c r="B3089" t="s">
        <v>2</v>
      </c>
      <c r="C3089" t="s">
        <v>132</v>
      </c>
      <c r="D3089" t="s">
        <v>140</v>
      </c>
      <c r="E3089" s="2">
        <v>44305.539675925924</v>
      </c>
      <c r="F3089" s="2">
        <v>44305.544340277775</v>
      </c>
      <c r="G3089" s="3">
        <v>4.6643518508062698E-3</v>
      </c>
      <c r="H3089" s="3">
        <v>405.45478536215836</v>
      </c>
      <c r="I3089" s="3">
        <v>6.7575797560359723</v>
      </c>
      <c r="J3089" s="3">
        <v>0.11262632926726621</v>
      </c>
      <c r="K3089" t="s">
        <v>93</v>
      </c>
    </row>
    <row r="3090" spans="1:11" x14ac:dyDescent="0.35">
      <c r="A3090">
        <v>3089</v>
      </c>
      <c r="B3090" t="s">
        <v>2</v>
      </c>
      <c r="C3090" t="s">
        <v>133</v>
      </c>
      <c r="D3090" t="s">
        <v>140</v>
      </c>
      <c r="E3090" s="2">
        <v>44305.544490740744</v>
      </c>
      <c r="F3090" s="2">
        <v>44305.544560185182</v>
      </c>
      <c r="G3090" s="3">
        <v>6.9444438850041479E-5</v>
      </c>
      <c r="H3090" s="3">
        <v>6.0365471879382371</v>
      </c>
      <c r="I3090" s="3">
        <v>0.10060911979897062</v>
      </c>
      <c r="J3090" s="3">
        <v>1.676818663316177E-3</v>
      </c>
      <c r="K3090" t="s">
        <v>99</v>
      </c>
    </row>
    <row r="3091" spans="1:11" x14ac:dyDescent="0.35">
      <c r="A3091">
        <v>3090</v>
      </c>
      <c r="B3091" t="s">
        <v>11</v>
      </c>
      <c r="C3091" t="s">
        <v>11</v>
      </c>
      <c r="D3091" t="s">
        <v>140</v>
      </c>
      <c r="E3091" s="2">
        <v>44305.544641203705</v>
      </c>
      <c r="F3091" s="2">
        <v>44305.552546296298</v>
      </c>
      <c r="G3091" s="3">
        <v>7.9050925924093463E-3</v>
      </c>
      <c r="H3091" s="3">
        <v>687.16034356826719</v>
      </c>
      <c r="I3091" s="3">
        <v>11.452672392804454</v>
      </c>
      <c r="J3091" s="3">
        <v>0.19087787321340757</v>
      </c>
    </row>
    <row r="3092" spans="1:11" x14ac:dyDescent="0.35">
      <c r="A3092">
        <v>3091</v>
      </c>
      <c r="B3092" t="s">
        <v>2</v>
      </c>
      <c r="C3092" t="s">
        <v>133</v>
      </c>
      <c r="D3092" t="s">
        <v>140</v>
      </c>
      <c r="E3092" s="2">
        <v>44305.55269675926</v>
      </c>
      <c r="F3092" s="2">
        <v>44305.580393518518</v>
      </c>
      <c r="G3092" s="3">
        <v>2.7696759258105885E-2</v>
      </c>
      <c r="H3092" s="3">
        <v>2407.5764306420274</v>
      </c>
      <c r="I3092" s="3">
        <v>40.12627384403379</v>
      </c>
      <c r="J3092" s="3">
        <v>0.66877123073389655</v>
      </c>
      <c r="K3092" t="s">
        <v>99</v>
      </c>
    </row>
    <row r="3093" spans="1:11" x14ac:dyDescent="0.35">
      <c r="A3093">
        <v>3092</v>
      </c>
      <c r="B3093" t="s">
        <v>2</v>
      </c>
      <c r="C3093" t="s">
        <v>132</v>
      </c>
      <c r="D3093" t="s">
        <v>140</v>
      </c>
      <c r="E3093" s="2">
        <v>44305.58053240741</v>
      </c>
      <c r="F3093" s="2">
        <v>44305.582314814812</v>
      </c>
      <c r="G3093" s="3">
        <v>1.782407402060926E-3</v>
      </c>
      <c r="H3093" s="3">
        <v>154.9380565073823</v>
      </c>
      <c r="I3093" s="3">
        <v>2.5823009417897049</v>
      </c>
      <c r="J3093" s="3">
        <v>4.3038349029828414E-2</v>
      </c>
      <c r="K3093" t="s">
        <v>93</v>
      </c>
    </row>
    <row r="3094" spans="1:11" x14ac:dyDescent="0.35">
      <c r="A3094">
        <v>3093</v>
      </c>
      <c r="B3094" t="s">
        <v>2</v>
      </c>
      <c r="C3094" t="s">
        <v>132</v>
      </c>
      <c r="D3094" t="s">
        <v>140</v>
      </c>
      <c r="E3094" s="2">
        <v>44305.582442129627</v>
      </c>
      <c r="F3094" s="2">
        <v>44305.584293981483</v>
      </c>
      <c r="G3094" s="3">
        <v>1.8518518554628827E-3</v>
      </c>
      <c r="H3094" s="3">
        <v>160.97460496026449</v>
      </c>
      <c r="I3094" s="3">
        <v>2.6829100826710746</v>
      </c>
      <c r="J3094" s="3">
        <v>4.471516804451791E-2</v>
      </c>
      <c r="K3094" t="s">
        <v>93</v>
      </c>
    </row>
    <row r="3095" spans="1:11" x14ac:dyDescent="0.35">
      <c r="A3095">
        <v>3094</v>
      </c>
      <c r="B3095" t="s">
        <v>2</v>
      </c>
      <c r="C3095" t="s">
        <v>132</v>
      </c>
      <c r="D3095" t="s">
        <v>140</v>
      </c>
      <c r="E3095" s="2">
        <v>44305.584409722222</v>
      </c>
      <c r="F3095" s="2">
        <v>44305.624166666668</v>
      </c>
      <c r="G3095" s="3">
        <v>3.9756944446708076E-2</v>
      </c>
      <c r="H3095" s="3">
        <v>3455.9235436985459</v>
      </c>
      <c r="I3095" s="3">
        <v>57.598725728309098</v>
      </c>
      <c r="J3095" s="3">
        <v>0.95997876213848499</v>
      </c>
      <c r="K3095" t="s">
        <v>93</v>
      </c>
    </row>
    <row r="3096" spans="1:11" x14ac:dyDescent="0.35">
      <c r="A3096">
        <v>3095</v>
      </c>
      <c r="B3096" t="s">
        <v>2</v>
      </c>
      <c r="C3096" t="s">
        <v>132</v>
      </c>
      <c r="D3096" t="s">
        <v>140</v>
      </c>
      <c r="E3096" s="2">
        <v>44305.624328703707</v>
      </c>
      <c r="F3096" s="2">
        <v>44305.644386574073</v>
      </c>
      <c r="G3096" s="3">
        <v>2.0057870366144925E-2</v>
      </c>
      <c r="H3096" s="3">
        <v>1743.5561862087034</v>
      </c>
      <c r="I3096" s="3">
        <v>29.059269770145058</v>
      </c>
      <c r="J3096" s="3">
        <v>0.48432116283575094</v>
      </c>
      <c r="K3096" t="s">
        <v>93</v>
      </c>
    </row>
    <row r="3097" spans="1:11" x14ac:dyDescent="0.35">
      <c r="A3097">
        <v>3096</v>
      </c>
      <c r="B3097" t="s">
        <v>2</v>
      </c>
      <c r="C3097" t="s">
        <v>133</v>
      </c>
      <c r="D3097" t="s">
        <v>140</v>
      </c>
      <c r="E3097" s="2">
        <v>44305.644583333335</v>
      </c>
      <c r="F3097" s="2">
        <v>44305.707638888889</v>
      </c>
      <c r="G3097" s="3">
        <v>6.3055555554456078E-2</v>
      </c>
      <c r="H3097" s="3">
        <v>5481.1852881133582</v>
      </c>
      <c r="I3097" s="3">
        <v>91.353088135222634</v>
      </c>
      <c r="J3097" s="3">
        <v>1.5225514689203772</v>
      </c>
      <c r="K3097" t="s">
        <v>99</v>
      </c>
    </row>
    <row r="3098" spans="1:11" x14ac:dyDescent="0.35">
      <c r="A3098">
        <v>3097</v>
      </c>
      <c r="B3098" t="s">
        <v>11</v>
      </c>
      <c r="C3098" t="s">
        <v>11</v>
      </c>
      <c r="D3098" t="s">
        <v>140</v>
      </c>
      <c r="E3098" s="2">
        <v>44305.721921296295</v>
      </c>
      <c r="F3098" s="2">
        <v>44305.777048611111</v>
      </c>
      <c r="G3098" s="3">
        <v>5.5127314815763384E-2</v>
      </c>
      <c r="H3098" s="3">
        <v>4792.0127621491119</v>
      </c>
      <c r="I3098" s="3">
        <v>79.86687936915186</v>
      </c>
      <c r="J3098" s="3">
        <v>1.3311146561525311</v>
      </c>
    </row>
    <row r="3099" spans="1:11" x14ac:dyDescent="0.35">
      <c r="A3099">
        <v>3098</v>
      </c>
      <c r="B3099" t="s">
        <v>11</v>
      </c>
      <c r="C3099" t="s">
        <v>11</v>
      </c>
      <c r="D3099" t="s">
        <v>140</v>
      </c>
      <c r="E3099" s="2">
        <v>44305.788275462961</v>
      </c>
      <c r="F3099" s="2">
        <v>44305.80269675926</v>
      </c>
      <c r="G3099" s="3">
        <v>1.4421296298678499E-2</v>
      </c>
      <c r="H3099" s="3">
        <v>1253.58973389069</v>
      </c>
      <c r="I3099" s="3">
        <v>20.8931622315115</v>
      </c>
      <c r="J3099" s="3">
        <v>0.34821937052519164</v>
      </c>
    </row>
    <row r="3100" spans="1:11" x14ac:dyDescent="0.35">
      <c r="A3100">
        <v>3099</v>
      </c>
      <c r="B3100" t="s">
        <v>11</v>
      </c>
      <c r="C3100" t="s">
        <v>11</v>
      </c>
      <c r="D3100" t="s">
        <v>140</v>
      </c>
      <c r="E3100" s="2">
        <v>44306.347048611111</v>
      </c>
      <c r="F3100" s="2">
        <v>44306.361932870372</v>
      </c>
      <c r="G3100" s="3">
        <v>1.488425926072523E-2</v>
      </c>
      <c r="H3100" s="3">
        <v>1293.8333849726382</v>
      </c>
      <c r="I3100" s="3">
        <v>21.563889749543971</v>
      </c>
      <c r="J3100" s="3">
        <v>0.35939816249239953</v>
      </c>
    </row>
    <row r="3101" spans="1:11" x14ac:dyDescent="0.35">
      <c r="A3101">
        <v>3100</v>
      </c>
      <c r="B3101" t="s">
        <v>2</v>
      </c>
      <c r="C3101" t="s">
        <v>132</v>
      </c>
      <c r="D3101" t="s">
        <v>140</v>
      </c>
      <c r="E3101" s="2">
        <v>44306.36210648148</v>
      </c>
      <c r="F3101" s="2">
        <v>44306.367662037039</v>
      </c>
      <c r="G3101" s="3">
        <v>5.5555555591126904E-3</v>
      </c>
      <c r="H3101" s="3">
        <v>482.92381424832143</v>
      </c>
      <c r="I3101" s="3">
        <v>8.0487302374720233</v>
      </c>
      <c r="J3101" s="3">
        <v>0.13414550395786706</v>
      </c>
      <c r="K3101" t="s">
        <v>93</v>
      </c>
    </row>
    <row r="3102" spans="1:11" x14ac:dyDescent="0.35">
      <c r="A3102">
        <v>3101</v>
      </c>
      <c r="B3102" t="s">
        <v>2</v>
      </c>
      <c r="C3102" t="s">
        <v>133</v>
      </c>
      <c r="D3102" t="s">
        <v>140</v>
      </c>
      <c r="E3102" s="2">
        <v>44306.368043981478</v>
      </c>
      <c r="F3102" s="2">
        <v>44306.374652777777</v>
      </c>
      <c r="G3102" s="3">
        <v>6.6087962986784987E-3</v>
      </c>
      <c r="H3102" s="3">
        <v>574.47812053881239</v>
      </c>
      <c r="I3102" s="3">
        <v>9.57463534231354</v>
      </c>
      <c r="J3102" s="3">
        <v>0.15957725570522566</v>
      </c>
      <c r="K3102" t="s">
        <v>99</v>
      </c>
    </row>
    <row r="3103" spans="1:11" x14ac:dyDescent="0.35">
      <c r="A3103">
        <v>3102</v>
      </c>
      <c r="B3103" t="s">
        <v>2</v>
      </c>
      <c r="C3103" t="s">
        <v>72</v>
      </c>
      <c r="D3103" t="s">
        <v>140</v>
      </c>
      <c r="E3103" s="2">
        <v>44306.374814814815</v>
      </c>
      <c r="F3103" s="2">
        <v>44306.40892361111</v>
      </c>
      <c r="G3103" s="3">
        <v>3.4108796295186039E-2</v>
      </c>
      <c r="H3103" s="3">
        <v>2964.9509992338349</v>
      </c>
      <c r="I3103" s="3">
        <v>49.41584998723058</v>
      </c>
      <c r="J3103" s="3">
        <v>0.82359749978717633</v>
      </c>
      <c r="K3103" t="s">
        <v>73</v>
      </c>
    </row>
    <row r="3104" spans="1:11" x14ac:dyDescent="0.35">
      <c r="A3104">
        <v>3103</v>
      </c>
      <c r="B3104" t="s">
        <v>2</v>
      </c>
      <c r="C3104" t="s">
        <v>133</v>
      </c>
      <c r="D3104" t="s">
        <v>140</v>
      </c>
      <c r="E3104" s="2">
        <v>44306.409189814818</v>
      </c>
      <c r="F3104" s="2">
        <v>44306.479351851849</v>
      </c>
      <c r="G3104" s="3">
        <v>7.0162037030968349E-2</v>
      </c>
      <c r="H3104" s="3">
        <v>6098.9253330118518</v>
      </c>
      <c r="I3104" s="3">
        <v>101.64875555019754</v>
      </c>
      <c r="J3104" s="3">
        <v>1.6941459258366256</v>
      </c>
      <c r="K3104" t="s">
        <v>99</v>
      </c>
    </row>
    <row r="3105" spans="1:11" x14ac:dyDescent="0.35">
      <c r="A3105">
        <v>3104</v>
      </c>
      <c r="B3105" t="s">
        <v>11</v>
      </c>
      <c r="C3105" t="s">
        <v>11</v>
      </c>
      <c r="D3105" t="s">
        <v>140</v>
      </c>
      <c r="E3105" s="2">
        <v>44306.479513888888</v>
      </c>
      <c r="F3105" s="2">
        <v>44306.523321759261</v>
      </c>
      <c r="G3105" s="3">
        <v>4.3807870373711921E-2</v>
      </c>
      <c r="H3105" s="3">
        <v>3808.0554914561822</v>
      </c>
      <c r="I3105" s="3">
        <v>63.4675915242697</v>
      </c>
      <c r="J3105" s="3">
        <v>1.0577931920711616</v>
      </c>
    </row>
    <row r="3106" spans="1:11" x14ac:dyDescent="0.35">
      <c r="A3106">
        <v>3105</v>
      </c>
      <c r="B3106" t="s">
        <v>16</v>
      </c>
      <c r="C3106" t="s">
        <v>16</v>
      </c>
      <c r="D3106" t="s">
        <v>140</v>
      </c>
      <c r="E3106" s="2">
        <v>44306.523425925923</v>
      </c>
      <c r="F3106" s="2">
        <v>44306.538865740738</v>
      </c>
      <c r="G3106" s="3">
        <v>1.5439814815181307E-2</v>
      </c>
      <c r="H3106" s="3">
        <v>1342.1257662709759</v>
      </c>
      <c r="I3106" s="3">
        <v>22.368762771182933</v>
      </c>
      <c r="J3106" s="3">
        <v>0.3728127128530489</v>
      </c>
    </row>
    <row r="3107" spans="1:11" x14ac:dyDescent="0.35">
      <c r="A3107">
        <v>3106</v>
      </c>
      <c r="B3107" t="s">
        <v>2</v>
      </c>
      <c r="C3107" t="s">
        <v>132</v>
      </c>
      <c r="D3107" t="s">
        <v>140</v>
      </c>
      <c r="E3107" s="2">
        <v>44306.5390162037</v>
      </c>
      <c r="F3107" s="2">
        <v>44306.549513888887</v>
      </c>
      <c r="G3107" s="3">
        <v>1.0497685187146999E-2</v>
      </c>
      <c r="H3107" s="3">
        <v>912.52479025964863</v>
      </c>
      <c r="I3107" s="3">
        <v>15.208746504327477</v>
      </c>
      <c r="J3107" s="3">
        <v>0.25347910840545795</v>
      </c>
      <c r="K3107" t="s">
        <v>93</v>
      </c>
    </row>
    <row r="3108" spans="1:11" x14ac:dyDescent="0.35">
      <c r="A3108">
        <v>3107</v>
      </c>
      <c r="B3108" t="s">
        <v>2</v>
      </c>
      <c r="C3108" t="s">
        <v>132</v>
      </c>
      <c r="D3108" t="s">
        <v>140</v>
      </c>
      <c r="E3108" s="2">
        <v>44306.549710648149</v>
      </c>
      <c r="F3108" s="2">
        <v>44306.561238425929</v>
      </c>
      <c r="G3108" s="3">
        <v>1.152777778042946E-2</v>
      </c>
      <c r="H3108" s="3">
        <v>1002.0669141541603</v>
      </c>
      <c r="I3108" s="3">
        <v>16.70111523590267</v>
      </c>
      <c r="J3108" s="3">
        <v>0.27835192059837782</v>
      </c>
      <c r="K3108" t="s">
        <v>93</v>
      </c>
    </row>
    <row r="3109" spans="1:11" x14ac:dyDescent="0.35">
      <c r="A3109">
        <v>3108</v>
      </c>
      <c r="B3109" t="s">
        <v>2</v>
      </c>
      <c r="C3109" t="s">
        <v>133</v>
      </c>
      <c r="D3109" t="s">
        <v>140</v>
      </c>
      <c r="E3109" s="2">
        <v>44306.56144675926</v>
      </c>
      <c r="F3109" s="2">
        <v>44306.588576388887</v>
      </c>
      <c r="G3109" s="3">
        <v>2.7129629626870155E-2</v>
      </c>
      <c r="H3109" s="3">
        <v>2358.277957829464</v>
      </c>
      <c r="I3109" s="3">
        <v>39.304632630491064</v>
      </c>
      <c r="J3109" s="3">
        <v>0.65507721050818435</v>
      </c>
      <c r="K3109" t="s">
        <v>99</v>
      </c>
    </row>
    <row r="3110" spans="1:11" x14ac:dyDescent="0.35">
      <c r="A3110">
        <v>3109</v>
      </c>
      <c r="B3110" t="s">
        <v>2</v>
      </c>
      <c r="C3110" t="s">
        <v>132</v>
      </c>
      <c r="D3110" t="s">
        <v>140</v>
      </c>
      <c r="E3110" s="2">
        <v>44306.588784722226</v>
      </c>
      <c r="F3110" s="2">
        <v>44306.619537037041</v>
      </c>
      <c r="G3110" s="3">
        <v>3.0752314814890269E-2</v>
      </c>
      <c r="H3110" s="3">
        <v>2673.1845284153569</v>
      </c>
      <c r="I3110" s="3">
        <v>44.553075473589281</v>
      </c>
      <c r="J3110" s="3">
        <v>0.74255125789315468</v>
      </c>
      <c r="K3110" t="s">
        <v>93</v>
      </c>
    </row>
    <row r="3111" spans="1:11" x14ac:dyDescent="0.35">
      <c r="A3111">
        <v>3110</v>
      </c>
      <c r="B3111" t="s">
        <v>2</v>
      </c>
      <c r="C3111" t="s">
        <v>133</v>
      </c>
      <c r="D3111" t="s">
        <v>140</v>
      </c>
      <c r="E3111" s="2">
        <v>44306.619699074072</v>
      </c>
      <c r="F3111" s="2">
        <v>44306.662743055553</v>
      </c>
      <c r="G3111" s="3">
        <v>4.3043981480877846E-2</v>
      </c>
      <c r="H3111" s="3">
        <v>3741.6534666966136</v>
      </c>
      <c r="I3111" s="3">
        <v>62.360891111610229</v>
      </c>
      <c r="J3111" s="3">
        <v>1.0393481851935038</v>
      </c>
      <c r="K3111" t="s">
        <v>99</v>
      </c>
    </row>
    <row r="3112" spans="1:11" x14ac:dyDescent="0.35">
      <c r="A3112">
        <v>3111</v>
      </c>
      <c r="B3112" t="s">
        <v>2</v>
      </c>
      <c r="C3112" t="s">
        <v>132</v>
      </c>
      <c r="D3112" t="s">
        <v>140</v>
      </c>
      <c r="E3112" s="2">
        <v>44306.662986111114</v>
      </c>
      <c r="F3112" s="2">
        <v>44306.666643518518</v>
      </c>
      <c r="G3112" s="3">
        <v>3.6574074038071558E-3</v>
      </c>
      <c r="H3112" s="3">
        <v>317.92484386362617</v>
      </c>
      <c r="I3112" s="3">
        <v>5.2987473977271025</v>
      </c>
      <c r="J3112" s="3">
        <v>8.8312456628785035E-2</v>
      </c>
      <c r="K3112" t="s">
        <v>93</v>
      </c>
    </row>
    <row r="3113" spans="1:11" x14ac:dyDescent="0.35">
      <c r="A3113">
        <v>3112</v>
      </c>
      <c r="B3113" t="s">
        <v>2</v>
      </c>
      <c r="C3113" t="s">
        <v>133</v>
      </c>
      <c r="D3113" t="s">
        <v>140</v>
      </c>
      <c r="E3113" s="2">
        <v>44306.66673611111</v>
      </c>
      <c r="F3113" s="2">
        <v>44306.712083333332</v>
      </c>
      <c r="G3113" s="3">
        <v>4.5347222221607808E-2</v>
      </c>
      <c r="H3113" s="3">
        <v>3941.8656312246007</v>
      </c>
      <c r="I3113" s="3">
        <v>65.697760520410014</v>
      </c>
      <c r="J3113" s="3">
        <v>1.0949626753401669</v>
      </c>
      <c r="K3113" t="s">
        <v>99</v>
      </c>
    </row>
    <row r="3114" spans="1:11" x14ac:dyDescent="0.35">
      <c r="A3114">
        <v>3113</v>
      </c>
      <c r="B3114" t="s">
        <v>2</v>
      </c>
      <c r="C3114" t="s">
        <v>132</v>
      </c>
      <c r="D3114" t="s">
        <v>140</v>
      </c>
      <c r="E3114" s="2">
        <v>44306.712245370371</v>
      </c>
      <c r="F3114" s="2">
        <v>44306.72351851852</v>
      </c>
      <c r="G3114" s="3">
        <v>1.1273148149484769E-2</v>
      </c>
      <c r="H3114" s="3">
        <v>979.93290590097081</v>
      </c>
      <c r="I3114" s="3">
        <v>16.332215098349515</v>
      </c>
      <c r="J3114" s="3">
        <v>0.27220358497249192</v>
      </c>
      <c r="K3114" t="s">
        <v>93</v>
      </c>
    </row>
    <row r="3115" spans="1:11" x14ac:dyDescent="0.35">
      <c r="A3115">
        <v>3114</v>
      </c>
      <c r="B3115" t="s">
        <v>11</v>
      </c>
      <c r="C3115" t="s">
        <v>11</v>
      </c>
      <c r="D3115" t="s">
        <v>140</v>
      </c>
      <c r="E3115" s="2">
        <v>44306.723692129628</v>
      </c>
      <c r="F3115" s="2">
        <v>44306.750694444447</v>
      </c>
      <c r="G3115" s="3">
        <v>2.7002314818673767E-2</v>
      </c>
      <c r="H3115" s="3">
        <v>2347.2109543353413</v>
      </c>
      <c r="I3115" s="3">
        <v>39.120182572255686</v>
      </c>
      <c r="J3115" s="3">
        <v>0.65200304287092814</v>
      </c>
    </row>
    <row r="3116" spans="1:11" x14ac:dyDescent="0.35">
      <c r="A3116">
        <v>3115</v>
      </c>
      <c r="B3116" t="s">
        <v>2</v>
      </c>
      <c r="C3116" t="s">
        <v>72</v>
      </c>
      <c r="D3116" t="s">
        <v>140</v>
      </c>
      <c r="E3116" s="2">
        <v>44307.333645833336</v>
      </c>
      <c r="F3116" s="2">
        <v>44307.354629629626</v>
      </c>
      <c r="G3116" s="3">
        <v>2.0983796290238388E-2</v>
      </c>
      <c r="H3116" s="3">
        <v>1824.0434883725998</v>
      </c>
      <c r="I3116" s="3">
        <v>30.400724806209997</v>
      </c>
      <c r="J3116" s="3">
        <v>0.50667874677016667</v>
      </c>
      <c r="K3116" t="s">
        <v>73</v>
      </c>
    </row>
    <row r="3117" spans="1:11" x14ac:dyDescent="0.35">
      <c r="A3117">
        <v>3116</v>
      </c>
      <c r="B3117" t="s">
        <v>11</v>
      </c>
      <c r="C3117" t="s">
        <v>11</v>
      </c>
      <c r="D3117" t="s">
        <v>140</v>
      </c>
      <c r="E3117" s="2">
        <v>44307.355254629627</v>
      </c>
      <c r="F3117" s="2">
        <v>44307.356307870374</v>
      </c>
      <c r="G3117" s="3">
        <v>1.0532407468417659E-3</v>
      </c>
      <c r="H3117" s="3">
        <v>91.554306922962965</v>
      </c>
      <c r="I3117" s="3">
        <v>1.5259051153827161</v>
      </c>
      <c r="J3117" s="3">
        <v>2.5431751923045268E-2</v>
      </c>
    </row>
    <row r="3118" spans="1:11" x14ac:dyDescent="0.35">
      <c r="A3118">
        <v>3117</v>
      </c>
      <c r="B3118" t="s">
        <v>2</v>
      </c>
      <c r="C3118" t="s">
        <v>133</v>
      </c>
      <c r="D3118" t="s">
        <v>140</v>
      </c>
      <c r="E3118" s="2">
        <v>44307.356458333335</v>
      </c>
      <c r="F3118" s="2">
        <v>44307.365995370368</v>
      </c>
      <c r="G3118" s="3">
        <v>9.5370370327145793E-3</v>
      </c>
      <c r="H3118" s="3">
        <v>829.01921355307536</v>
      </c>
      <c r="I3118" s="3">
        <v>13.816986892551256</v>
      </c>
      <c r="J3118" s="3">
        <v>0.23028311487585426</v>
      </c>
      <c r="K3118" t="s">
        <v>99</v>
      </c>
    </row>
    <row r="3119" spans="1:11" x14ac:dyDescent="0.35">
      <c r="A3119">
        <v>3118</v>
      </c>
      <c r="B3119" t="s">
        <v>2</v>
      </c>
      <c r="C3119" t="s">
        <v>132</v>
      </c>
      <c r="D3119" t="s">
        <v>140</v>
      </c>
      <c r="E3119" s="2">
        <v>44307.366122685184</v>
      </c>
      <c r="F3119" s="2">
        <v>44307.37054398148</v>
      </c>
      <c r="G3119" s="3">
        <v>4.4212962966412306E-3</v>
      </c>
      <c r="H3119" s="3">
        <v>384.32686862319457</v>
      </c>
      <c r="I3119" s="3">
        <v>6.4054478103865762</v>
      </c>
      <c r="J3119" s="3">
        <v>0.10675746350644294</v>
      </c>
      <c r="K3119" t="s">
        <v>93</v>
      </c>
    </row>
    <row r="3120" spans="1:11" x14ac:dyDescent="0.35">
      <c r="A3120">
        <v>3119</v>
      </c>
      <c r="B3120" t="s">
        <v>2</v>
      </c>
      <c r="C3120" t="s">
        <v>133</v>
      </c>
      <c r="D3120" t="s">
        <v>140</v>
      </c>
      <c r="E3120" s="2">
        <v>44307.370706018519</v>
      </c>
      <c r="F3120" s="2">
        <v>44307.381504629629</v>
      </c>
      <c r="G3120" s="3">
        <v>1.0798611110658385E-2</v>
      </c>
      <c r="H3120" s="3">
        <v>938.68316330479695</v>
      </c>
      <c r="I3120" s="3">
        <v>15.644719388413282</v>
      </c>
      <c r="J3120" s="3">
        <v>0.26074532314022136</v>
      </c>
      <c r="K3120" t="s">
        <v>99</v>
      </c>
    </row>
    <row r="3121" spans="1:11" x14ac:dyDescent="0.35">
      <c r="A3121">
        <v>3120</v>
      </c>
      <c r="B3121" t="s">
        <v>2</v>
      </c>
      <c r="C3121" t="s">
        <v>72</v>
      </c>
      <c r="D3121" t="s">
        <v>140</v>
      </c>
      <c r="E3121" s="2">
        <v>44307.381689814814</v>
      </c>
      <c r="F3121" s="2">
        <v>44307.387118055558</v>
      </c>
      <c r="G3121" s="3">
        <v>5.4282407436403446E-3</v>
      </c>
      <c r="H3121" s="3">
        <v>471.85681012172671</v>
      </c>
      <c r="I3121" s="3">
        <v>7.8642801686954451</v>
      </c>
      <c r="J3121" s="3">
        <v>0.13107133614492408</v>
      </c>
      <c r="K3121" t="s">
        <v>73</v>
      </c>
    </row>
    <row r="3122" spans="1:11" x14ac:dyDescent="0.35">
      <c r="A3122">
        <v>3121</v>
      </c>
      <c r="B3122" t="s">
        <v>2</v>
      </c>
      <c r="C3122" t="s">
        <v>134</v>
      </c>
      <c r="D3122" t="s">
        <v>140</v>
      </c>
      <c r="E3122" s="2">
        <v>44307.38726851852</v>
      </c>
      <c r="F3122" s="2">
        <v>44307.457002314812</v>
      </c>
      <c r="G3122" s="3">
        <v>6.9733796291984618E-2</v>
      </c>
      <c r="H3122" s="3">
        <v>6061.6999558401094</v>
      </c>
      <c r="I3122" s="3">
        <v>101.02833259733515</v>
      </c>
      <c r="J3122" s="3">
        <v>1.6838055432889192</v>
      </c>
      <c r="K3122" t="s">
        <v>101</v>
      </c>
    </row>
    <row r="3123" spans="1:11" x14ac:dyDescent="0.35">
      <c r="A3123">
        <v>3122</v>
      </c>
      <c r="B3123" t="s">
        <v>2</v>
      </c>
      <c r="C3123" t="s">
        <v>132</v>
      </c>
      <c r="D3123" t="s">
        <v>140</v>
      </c>
      <c r="E3123" s="2">
        <v>44307.457175925927</v>
      </c>
      <c r="F3123" s="2">
        <v>44307.51021990741</v>
      </c>
      <c r="G3123" s="3">
        <v>5.3043981482915115E-2</v>
      </c>
      <c r="H3123" s="3">
        <v>4610.9163319641093</v>
      </c>
      <c r="I3123" s="3">
        <v>76.848605532735149</v>
      </c>
      <c r="J3123" s="3">
        <v>1.2808100922122525</v>
      </c>
      <c r="K3123" t="s">
        <v>93</v>
      </c>
    </row>
    <row r="3124" spans="1:11" x14ac:dyDescent="0.35">
      <c r="A3124">
        <v>3123</v>
      </c>
      <c r="B3124" t="s">
        <v>2</v>
      </c>
      <c r="C3124" t="s">
        <v>132</v>
      </c>
      <c r="D3124" t="s">
        <v>140</v>
      </c>
      <c r="E3124" s="2">
        <v>44307.510601851849</v>
      </c>
      <c r="F3124" s="2">
        <v>44307.515682870369</v>
      </c>
      <c r="G3124" s="3">
        <v>5.0810185202863067E-3</v>
      </c>
      <c r="H3124" s="3">
        <v>441.67407165214763</v>
      </c>
      <c r="I3124" s="3">
        <v>7.3612345275357942</v>
      </c>
      <c r="J3124" s="3">
        <v>0.12268724212559658</v>
      </c>
      <c r="K3124" t="s">
        <v>93</v>
      </c>
    </row>
    <row r="3125" spans="1:11" x14ac:dyDescent="0.35">
      <c r="A3125">
        <v>3124</v>
      </c>
      <c r="B3125" t="s">
        <v>2</v>
      </c>
      <c r="C3125" t="s">
        <v>134</v>
      </c>
      <c r="D3125" t="s">
        <v>140</v>
      </c>
      <c r="E3125" s="2">
        <v>44307.515856481485</v>
      </c>
      <c r="F3125" s="2">
        <v>44307.546666666669</v>
      </c>
      <c r="G3125" s="3">
        <v>3.0810185184236616E-2</v>
      </c>
      <c r="H3125" s="3">
        <v>2678.2149847215414</v>
      </c>
      <c r="I3125" s="3">
        <v>44.636916412025691</v>
      </c>
      <c r="J3125" s="3">
        <v>0.74394860686709485</v>
      </c>
      <c r="K3125" t="s">
        <v>101</v>
      </c>
    </row>
    <row r="3126" spans="1:11" x14ac:dyDescent="0.35">
      <c r="A3126">
        <v>3125</v>
      </c>
      <c r="B3126" t="s">
        <v>2</v>
      </c>
      <c r="C3126" t="s">
        <v>132</v>
      </c>
      <c r="D3126" t="s">
        <v>140</v>
      </c>
      <c r="E3126" s="2">
        <v>44307.546817129631</v>
      </c>
      <c r="F3126" s="2">
        <v>44307.561111111114</v>
      </c>
      <c r="G3126" s="3">
        <v>1.4293981483206153E-2</v>
      </c>
      <c r="H3126" s="3">
        <v>1242.5227297640952</v>
      </c>
      <c r="I3126" s="3">
        <v>20.708712162734919</v>
      </c>
      <c r="J3126" s="3">
        <v>0.34514520271224863</v>
      </c>
      <c r="K3126" t="s">
        <v>93</v>
      </c>
    </row>
    <row r="3127" spans="1:11" x14ac:dyDescent="0.35">
      <c r="A3127">
        <v>3126</v>
      </c>
      <c r="B3127" t="s">
        <v>2</v>
      </c>
      <c r="C3127" t="s">
        <v>134</v>
      </c>
      <c r="D3127" t="s">
        <v>140</v>
      </c>
      <c r="E3127" s="2">
        <v>44307.561261574076</v>
      </c>
      <c r="F3127" s="2">
        <v>44307.572245370371</v>
      </c>
      <c r="G3127" s="3">
        <v>1.0983796295477077E-2</v>
      </c>
      <c r="H3127" s="3">
        <v>954.78062373757621</v>
      </c>
      <c r="I3127" s="3">
        <v>15.913010395626269</v>
      </c>
      <c r="J3127" s="3">
        <v>0.26521683992710449</v>
      </c>
      <c r="K3127" t="s">
        <v>101</v>
      </c>
    </row>
    <row r="3128" spans="1:11" x14ac:dyDescent="0.35">
      <c r="A3128">
        <v>3127</v>
      </c>
      <c r="B3128" t="s">
        <v>16</v>
      </c>
      <c r="C3128" t="s">
        <v>16</v>
      </c>
      <c r="D3128" t="s">
        <v>140</v>
      </c>
      <c r="E3128" s="2">
        <v>44307.57234953704</v>
      </c>
      <c r="F3128" s="2">
        <v>44307.602546296293</v>
      </c>
      <c r="G3128" s="3">
        <v>3.0196759253158234E-2</v>
      </c>
      <c r="H3128" s="3">
        <v>2624.8921464845475</v>
      </c>
      <c r="I3128" s="3">
        <v>43.748202441409127</v>
      </c>
      <c r="J3128" s="3">
        <v>0.72913670735681879</v>
      </c>
    </row>
    <row r="3129" spans="1:11" x14ac:dyDescent="0.35">
      <c r="A3129">
        <v>3128</v>
      </c>
      <c r="B3129" t="s">
        <v>2</v>
      </c>
      <c r="C3129" t="s">
        <v>133</v>
      </c>
      <c r="D3129" t="s">
        <v>140</v>
      </c>
      <c r="E3129" s="2">
        <v>44307.602696759262</v>
      </c>
      <c r="F3129" s="2">
        <v>44307.612546296295</v>
      </c>
      <c r="G3129" s="3">
        <v>9.8495370330056176E-3</v>
      </c>
      <c r="H3129" s="3">
        <v>856.18367811244934</v>
      </c>
      <c r="I3129" s="3">
        <v>14.269727968540822</v>
      </c>
      <c r="J3129" s="3">
        <v>0.23782879947568036</v>
      </c>
      <c r="K3129" t="s">
        <v>99</v>
      </c>
    </row>
    <row r="3130" spans="1:11" x14ac:dyDescent="0.35">
      <c r="A3130">
        <v>3129</v>
      </c>
      <c r="B3130" t="s">
        <v>2</v>
      </c>
      <c r="C3130" t="s">
        <v>132</v>
      </c>
      <c r="D3130" t="s">
        <v>140</v>
      </c>
      <c r="E3130" s="2">
        <v>44307.61273148148</v>
      </c>
      <c r="F3130" s="2">
        <v>44307.618831018517</v>
      </c>
      <c r="G3130" s="3">
        <v>6.0995370367891155E-3</v>
      </c>
      <c r="H3130" s="3">
        <v>530.21010403243349</v>
      </c>
      <c r="I3130" s="3">
        <v>8.8368350672072253</v>
      </c>
      <c r="J3130" s="3">
        <v>0.14728058445345377</v>
      </c>
      <c r="K3130" t="s">
        <v>93</v>
      </c>
    </row>
    <row r="3131" spans="1:11" x14ac:dyDescent="0.35">
      <c r="A3131">
        <v>3130</v>
      </c>
      <c r="B3131" t="s">
        <v>2</v>
      </c>
      <c r="C3131" t="s">
        <v>132</v>
      </c>
      <c r="D3131" t="s">
        <v>140</v>
      </c>
      <c r="E3131" s="2">
        <v>44307.619039351855</v>
      </c>
      <c r="F3131" s="2">
        <v>44307.623877314814</v>
      </c>
      <c r="G3131" s="3">
        <v>4.8379629588453099E-3</v>
      </c>
      <c r="H3131" s="3">
        <v>420.5461542807119</v>
      </c>
      <c r="I3131" s="3">
        <v>7.0091025713451982</v>
      </c>
      <c r="J3131" s="3">
        <v>0.11681837618908664</v>
      </c>
      <c r="K3131" t="s">
        <v>93</v>
      </c>
    </row>
    <row r="3132" spans="1:11" x14ac:dyDescent="0.35">
      <c r="A3132">
        <v>3131</v>
      </c>
      <c r="B3132" t="s">
        <v>2</v>
      </c>
      <c r="C3132" t="s">
        <v>72</v>
      </c>
      <c r="D3132" t="s">
        <v>140</v>
      </c>
      <c r="E3132" s="2">
        <v>44307.623981481483</v>
      </c>
      <c r="F3132" s="2">
        <v>44307.646226851852</v>
      </c>
      <c r="G3132" s="3">
        <v>2.2245370368182193E-2</v>
      </c>
      <c r="H3132" s="3">
        <v>1933.7074381243212</v>
      </c>
      <c r="I3132" s="3">
        <v>32.228457302072023</v>
      </c>
      <c r="J3132" s="3">
        <v>0.53714095503453374</v>
      </c>
      <c r="K3132" t="s">
        <v>73</v>
      </c>
    </row>
    <row r="3133" spans="1:11" x14ac:dyDescent="0.35">
      <c r="A3133">
        <v>3132</v>
      </c>
      <c r="B3133" t="s">
        <v>2</v>
      </c>
      <c r="C3133" t="s">
        <v>132</v>
      </c>
      <c r="D3133" t="s">
        <v>140</v>
      </c>
      <c r="E3133" s="2">
        <v>44307.64640046296</v>
      </c>
      <c r="F3133" s="2">
        <v>44307.655752314815</v>
      </c>
      <c r="G3133" s="3">
        <v>9.3518518551718444E-3</v>
      </c>
      <c r="H3133" s="3">
        <v>812.92175375276804</v>
      </c>
      <c r="I3133" s="3">
        <v>13.548695895879467</v>
      </c>
      <c r="J3133" s="3">
        <v>0.22581159826465777</v>
      </c>
      <c r="K3133" t="s">
        <v>93</v>
      </c>
    </row>
    <row r="3134" spans="1:11" x14ac:dyDescent="0.35">
      <c r="A3134">
        <v>3133</v>
      </c>
      <c r="B3134" t="s">
        <v>2</v>
      </c>
      <c r="C3134" t="s">
        <v>132</v>
      </c>
      <c r="D3134" t="s">
        <v>140</v>
      </c>
      <c r="E3134" s="2">
        <v>44307.655949074076</v>
      </c>
      <c r="F3134" s="2">
        <v>44307.667766203704</v>
      </c>
      <c r="G3134" s="3">
        <v>1.1817129627161194E-2</v>
      </c>
      <c r="H3134" s="3">
        <v>1027.2191956850829</v>
      </c>
      <c r="I3134" s="3">
        <v>17.120319928084715</v>
      </c>
      <c r="J3134" s="3">
        <v>0.28533866546807857</v>
      </c>
      <c r="K3134" t="s">
        <v>93</v>
      </c>
    </row>
    <row r="3135" spans="1:11" x14ac:dyDescent="0.35">
      <c r="A3135">
        <v>3134</v>
      </c>
      <c r="B3135" t="s">
        <v>11</v>
      </c>
      <c r="C3135" t="s">
        <v>11</v>
      </c>
      <c r="D3135" t="s">
        <v>140</v>
      </c>
      <c r="E3135" s="2">
        <v>44307.667870370373</v>
      </c>
      <c r="F3135" s="2">
        <v>44307.690844907411</v>
      </c>
      <c r="G3135" s="3">
        <v>2.2974537037953269E-2</v>
      </c>
      <c r="H3135" s="3">
        <v>1997.0911889736847</v>
      </c>
      <c r="I3135" s="3">
        <v>33.284853149561414</v>
      </c>
      <c r="J3135" s="3">
        <v>0.55474755249269025</v>
      </c>
    </row>
    <row r="3136" spans="1:11" x14ac:dyDescent="0.35">
      <c r="A3136">
        <v>3135</v>
      </c>
      <c r="B3136" t="s">
        <v>2</v>
      </c>
      <c r="C3136" t="s">
        <v>132</v>
      </c>
      <c r="D3136" t="s">
        <v>140</v>
      </c>
      <c r="E3136" s="2">
        <v>44307.691064814811</v>
      </c>
      <c r="F3136" s="2">
        <v>44307.728495370371</v>
      </c>
      <c r="G3136" s="3">
        <v>3.7430555559694767E-2</v>
      </c>
      <c r="H3136" s="3">
        <v>3253.6991967745798</v>
      </c>
      <c r="I3136" s="3">
        <v>54.228319946242998</v>
      </c>
      <c r="J3136" s="3">
        <v>0.90380533243738326</v>
      </c>
      <c r="K3136" t="s">
        <v>93</v>
      </c>
    </row>
    <row r="3137" spans="1:11" x14ac:dyDescent="0.35">
      <c r="A3137">
        <v>3136</v>
      </c>
      <c r="B3137" t="s">
        <v>2</v>
      </c>
      <c r="C3137" t="s">
        <v>72</v>
      </c>
      <c r="D3137" t="s">
        <v>140</v>
      </c>
      <c r="E3137" s="2">
        <v>44308.332291666666</v>
      </c>
      <c r="F3137" s="2">
        <v>44308.395405092589</v>
      </c>
      <c r="G3137" s="3">
        <v>6.3113425923802424E-2</v>
      </c>
      <c r="H3137" s="3">
        <v>5486.2157444195427</v>
      </c>
      <c r="I3137" s="3">
        <v>91.436929073659044</v>
      </c>
      <c r="J3137" s="3">
        <v>1.5239488178943175</v>
      </c>
      <c r="K3137" t="s">
        <v>73</v>
      </c>
    </row>
    <row r="3138" spans="1:11" x14ac:dyDescent="0.35">
      <c r="A3138">
        <v>3137</v>
      </c>
      <c r="B3138" t="s">
        <v>2</v>
      </c>
      <c r="C3138" t="s">
        <v>132</v>
      </c>
      <c r="D3138" t="s">
        <v>140</v>
      </c>
      <c r="E3138" s="2">
        <v>44308.395543981482</v>
      </c>
      <c r="F3138" s="2">
        <v>44308.421643518515</v>
      </c>
      <c r="G3138" s="3">
        <v>2.6099537033587694E-2</v>
      </c>
      <c r="H3138" s="3">
        <v>2268.7358339349526</v>
      </c>
      <c r="I3138" s="3">
        <v>37.812263898915873</v>
      </c>
      <c r="J3138" s="3">
        <v>0.63020439831526454</v>
      </c>
      <c r="K3138" t="s">
        <v>93</v>
      </c>
    </row>
    <row r="3139" spans="1:11" x14ac:dyDescent="0.35">
      <c r="A3139">
        <v>3138</v>
      </c>
      <c r="B3139" t="s">
        <v>2</v>
      </c>
      <c r="C3139" t="s">
        <v>132</v>
      </c>
      <c r="D3139" t="s">
        <v>140</v>
      </c>
      <c r="E3139" s="2">
        <v>44308.422037037039</v>
      </c>
      <c r="F3139" s="2">
        <v>44308.458865740744</v>
      </c>
      <c r="G3139" s="3">
        <v>3.6828703705396038E-2</v>
      </c>
      <c r="H3139" s="3">
        <v>3201.3824500518112</v>
      </c>
      <c r="I3139" s="3">
        <v>53.356374167530184</v>
      </c>
      <c r="J3139" s="3">
        <v>0.88927290279216975</v>
      </c>
      <c r="K3139" t="s">
        <v>93</v>
      </c>
    </row>
    <row r="3140" spans="1:11" x14ac:dyDescent="0.35">
      <c r="A3140">
        <v>3139</v>
      </c>
      <c r="B3140" t="s">
        <v>2</v>
      </c>
      <c r="C3140" t="s">
        <v>132</v>
      </c>
      <c r="D3140" t="s">
        <v>140</v>
      </c>
      <c r="E3140" s="2">
        <v>44308.459004629629</v>
      </c>
      <c r="F3140" s="2">
        <v>44308.514293981483</v>
      </c>
      <c r="G3140" s="3">
        <v>5.5289351854298729E-2</v>
      </c>
      <c r="H3140" s="3">
        <v>4806.0980401859115</v>
      </c>
      <c r="I3140" s="3">
        <v>80.101634003098525</v>
      </c>
      <c r="J3140" s="3">
        <v>1.3350272333849753</v>
      </c>
      <c r="K3140" t="s">
        <v>93</v>
      </c>
    </row>
    <row r="3141" spans="1:11" x14ac:dyDescent="0.35">
      <c r="A3141">
        <v>3140</v>
      </c>
      <c r="B3141" t="s">
        <v>11</v>
      </c>
      <c r="C3141" t="s">
        <v>11</v>
      </c>
      <c r="D3141" t="s">
        <v>140</v>
      </c>
      <c r="E3141" s="2">
        <v>44312.33797453704</v>
      </c>
      <c r="F3141" s="2">
        <v>44312.355590277781</v>
      </c>
      <c r="G3141" s="3">
        <v>1.7615740740438923E-2</v>
      </c>
      <c r="H3141" s="3">
        <v>1531.270926672368</v>
      </c>
      <c r="I3141" s="3">
        <v>25.521182111206134</v>
      </c>
      <c r="J3141" s="3">
        <v>0.42535303518676887</v>
      </c>
    </row>
    <row r="3142" spans="1:11" x14ac:dyDescent="0.35">
      <c r="A3142">
        <v>3141</v>
      </c>
      <c r="B3142" t="s">
        <v>2</v>
      </c>
      <c r="C3142" t="s">
        <v>132</v>
      </c>
      <c r="D3142" t="s">
        <v>140</v>
      </c>
      <c r="E3142" s="2">
        <v>44312.355821759258</v>
      </c>
      <c r="F3142" s="2">
        <v>44312.389016203706</v>
      </c>
      <c r="G3142" s="3">
        <v>3.3194444447872229E-2</v>
      </c>
      <c r="H3142" s="3">
        <v>2885.4697885841642</v>
      </c>
      <c r="I3142" s="3">
        <v>48.091163143069402</v>
      </c>
      <c r="J3142" s="3">
        <v>0.80151938571782333</v>
      </c>
      <c r="K3142" t="s">
        <v>93</v>
      </c>
    </row>
    <row r="3143" spans="1:11" x14ac:dyDescent="0.35">
      <c r="A3143">
        <v>3142</v>
      </c>
      <c r="B3143" t="s">
        <v>2</v>
      </c>
      <c r="C3143" t="s">
        <v>132</v>
      </c>
      <c r="D3143" t="s">
        <v>140</v>
      </c>
      <c r="E3143" s="2">
        <v>44312.389374999999</v>
      </c>
      <c r="F3143" s="2">
        <v>44312.40315972222</v>
      </c>
      <c r="G3143" s="3">
        <v>1.378472222131677E-2</v>
      </c>
      <c r="H3143" s="3">
        <v>1198.2547132577163</v>
      </c>
      <c r="I3143" s="3">
        <v>19.970911887628606</v>
      </c>
      <c r="J3143" s="3">
        <v>0.33284853146047677</v>
      </c>
      <c r="K3143" t="s">
        <v>93</v>
      </c>
    </row>
    <row r="3144" spans="1:11" x14ac:dyDescent="0.35">
      <c r="A3144">
        <v>3143</v>
      </c>
      <c r="B3144" t="s">
        <v>2</v>
      </c>
      <c r="C3144" t="s">
        <v>132</v>
      </c>
      <c r="D3144" t="s">
        <v>140</v>
      </c>
      <c r="E3144" s="2">
        <v>44312.403333333335</v>
      </c>
      <c r="F3144" s="2">
        <v>44312.414583333331</v>
      </c>
      <c r="G3144" s="3">
        <v>1.1249999995925464E-2</v>
      </c>
      <c r="H3144" s="3">
        <v>977.92072287251938</v>
      </c>
      <c r="I3144" s="3">
        <v>16.298678714541989</v>
      </c>
      <c r="J3144" s="3">
        <v>0.27164464524236648</v>
      </c>
      <c r="K3144" t="s">
        <v>93</v>
      </c>
    </row>
    <row r="3145" spans="1:11" x14ac:dyDescent="0.35">
      <c r="A3145">
        <v>3144</v>
      </c>
      <c r="B3145" t="s">
        <v>2</v>
      </c>
      <c r="C3145" t="s">
        <v>132</v>
      </c>
      <c r="D3145" t="s">
        <v>140</v>
      </c>
      <c r="E3145" s="2">
        <v>44312.41474537037</v>
      </c>
      <c r="F3145" s="2">
        <v>44312.420682870368</v>
      </c>
      <c r="G3145" s="3">
        <v>5.9374999982537702E-3</v>
      </c>
      <c r="H3145" s="3">
        <v>516.12482599563373</v>
      </c>
      <c r="I3145" s="3">
        <v>8.6020804332605625</v>
      </c>
      <c r="J3145" s="3">
        <v>0.14336800722100937</v>
      </c>
      <c r="K3145" t="s">
        <v>93</v>
      </c>
    </row>
    <row r="3146" spans="1:11" x14ac:dyDescent="0.35">
      <c r="A3146">
        <v>3145</v>
      </c>
      <c r="B3146" t="s">
        <v>2</v>
      </c>
      <c r="C3146" t="s">
        <v>135</v>
      </c>
      <c r="D3146" t="s">
        <v>140</v>
      </c>
      <c r="E3146" s="2">
        <v>44312.42087962963</v>
      </c>
      <c r="F3146" s="2">
        <v>44312.430694444447</v>
      </c>
      <c r="G3146" s="3">
        <v>9.8148148172185756E-3</v>
      </c>
      <c r="H3146" s="3">
        <v>853.16540483471624</v>
      </c>
      <c r="I3146" s="3">
        <v>14.219423413911937</v>
      </c>
      <c r="J3146" s="3">
        <v>0.23699039023186561</v>
      </c>
      <c r="K3146" t="s">
        <v>102</v>
      </c>
    </row>
    <row r="3147" spans="1:11" x14ac:dyDescent="0.35">
      <c r="A3147">
        <v>3146</v>
      </c>
      <c r="B3147" t="s">
        <v>2</v>
      </c>
      <c r="C3147" t="s">
        <v>132</v>
      </c>
      <c r="D3147" t="s">
        <v>140</v>
      </c>
      <c r="E3147" s="2">
        <v>44312.430949074071</v>
      </c>
      <c r="F3147" s="2">
        <v>44312.461817129632</v>
      </c>
      <c r="G3147" s="3">
        <v>3.086805556085892E-2</v>
      </c>
      <c r="H3147" s="3">
        <v>2683.2454416601981</v>
      </c>
      <c r="I3147" s="3">
        <v>44.720757361003301</v>
      </c>
      <c r="J3147" s="3">
        <v>0.74534595601672171</v>
      </c>
      <c r="K3147" t="s">
        <v>93</v>
      </c>
    </row>
    <row r="3148" spans="1:11" x14ac:dyDescent="0.35">
      <c r="A3148">
        <v>3147</v>
      </c>
      <c r="B3148" t="s">
        <v>2</v>
      </c>
      <c r="C3148" t="s">
        <v>135</v>
      </c>
      <c r="D3148" t="s">
        <v>140</v>
      </c>
      <c r="E3148" s="2">
        <v>44312.461967592593</v>
      </c>
      <c r="F3148" s="2">
        <v>44312.539490740739</v>
      </c>
      <c r="G3148" s="3">
        <v>7.7523148145701271E-2</v>
      </c>
      <c r="H3148" s="3">
        <v>6738.7993867960067</v>
      </c>
      <c r="I3148" s="3">
        <v>112.31332311326678</v>
      </c>
      <c r="J3148" s="3">
        <v>1.8718887185544462</v>
      </c>
      <c r="K3148" t="s">
        <v>102</v>
      </c>
    </row>
    <row r="3149" spans="1:11" x14ac:dyDescent="0.35">
      <c r="A3149">
        <v>3148</v>
      </c>
      <c r="B3149" t="s">
        <v>16</v>
      </c>
      <c r="C3149" t="s">
        <v>16</v>
      </c>
      <c r="D3149" t="s">
        <v>140</v>
      </c>
      <c r="E3149" s="2">
        <v>44312.539618055554</v>
      </c>
      <c r="F3149" s="2">
        <v>44312.578680555554</v>
      </c>
      <c r="G3149" s="3">
        <v>3.90625E-2</v>
      </c>
      <c r="H3149" s="3">
        <v>3395.5580667593877</v>
      </c>
      <c r="I3149" s="3">
        <v>56.592634445989795</v>
      </c>
      <c r="J3149" s="3">
        <v>0.94321057409982989</v>
      </c>
    </row>
    <row r="3150" spans="1:11" x14ac:dyDescent="0.35">
      <c r="A3150">
        <v>3149</v>
      </c>
      <c r="B3150" t="s">
        <v>2</v>
      </c>
      <c r="C3150" t="s">
        <v>132</v>
      </c>
      <c r="D3150" t="s">
        <v>140</v>
      </c>
      <c r="E3150" s="2">
        <v>44312.578865740739</v>
      </c>
      <c r="F3150" s="2">
        <v>44312.613437499997</v>
      </c>
      <c r="G3150" s="3">
        <v>3.457175925723277E-2</v>
      </c>
      <c r="H3150" s="3">
        <v>3005.1946503157833</v>
      </c>
      <c r="I3150" s="3">
        <v>50.086577505263058</v>
      </c>
      <c r="J3150" s="3">
        <v>0.83477629175438428</v>
      </c>
      <c r="K3150" t="s">
        <v>93</v>
      </c>
    </row>
    <row r="3151" spans="1:11" x14ac:dyDescent="0.35">
      <c r="A3151">
        <v>3150</v>
      </c>
      <c r="B3151" t="s">
        <v>2</v>
      </c>
      <c r="C3151" t="s">
        <v>132</v>
      </c>
      <c r="D3151" t="s">
        <v>140</v>
      </c>
      <c r="E3151" s="2">
        <v>44312.613807870373</v>
      </c>
      <c r="F3151" s="2">
        <v>44312.617303240739</v>
      </c>
      <c r="G3151" s="3">
        <v>3.4953703652718104E-3</v>
      </c>
      <c r="H3151" s="3">
        <v>303.83956582682634</v>
      </c>
      <c r="I3151" s="3">
        <v>5.0639927637804387</v>
      </c>
      <c r="J3151" s="3">
        <v>8.4399879396340652E-2</v>
      </c>
      <c r="K3151" t="s">
        <v>93</v>
      </c>
    </row>
    <row r="3152" spans="1:11" x14ac:dyDescent="0.35">
      <c r="A3152">
        <v>3151</v>
      </c>
      <c r="B3152" t="s">
        <v>2</v>
      </c>
      <c r="C3152" t="s">
        <v>132</v>
      </c>
      <c r="D3152" t="s">
        <v>140</v>
      </c>
      <c r="E3152" s="2">
        <v>44312.617476851854</v>
      </c>
      <c r="F3152" s="2">
        <v>44312.677175925928</v>
      </c>
      <c r="G3152" s="3">
        <v>5.9699074074160308E-2</v>
      </c>
      <c r="H3152" s="3">
        <v>5189.4188172948807</v>
      </c>
      <c r="I3152" s="3">
        <v>86.49031362158135</v>
      </c>
      <c r="J3152" s="3">
        <v>1.4415052270263558</v>
      </c>
      <c r="K3152" t="s">
        <v>93</v>
      </c>
    </row>
    <row r="3153" spans="1:11" x14ac:dyDescent="0.35">
      <c r="A3153">
        <v>3152</v>
      </c>
      <c r="B3153" t="s">
        <v>11</v>
      </c>
      <c r="C3153" t="s">
        <v>11</v>
      </c>
      <c r="D3153" t="s">
        <v>140</v>
      </c>
      <c r="E3153" s="2">
        <v>44312.677349537036</v>
      </c>
      <c r="F3153" s="2">
        <v>44312.729351851849</v>
      </c>
      <c r="G3153" s="3">
        <v>5.2002314812853001E-2</v>
      </c>
      <c r="H3153" s="3">
        <v>4520.3681165553717</v>
      </c>
      <c r="I3153" s="3">
        <v>75.339468609256201</v>
      </c>
      <c r="J3153" s="3">
        <v>1.2556578101542699</v>
      </c>
    </row>
    <row r="3154" spans="1:11" x14ac:dyDescent="0.35">
      <c r="A3154">
        <v>3153</v>
      </c>
      <c r="B3154" t="s">
        <v>11</v>
      </c>
      <c r="C3154" t="s">
        <v>11</v>
      </c>
      <c r="D3154" t="s">
        <v>140</v>
      </c>
      <c r="E3154" s="2">
        <v>44313.343136574076</v>
      </c>
      <c r="F3154" s="2">
        <v>44313.349583333336</v>
      </c>
      <c r="G3154" s="3">
        <v>6.4467592601431534E-3</v>
      </c>
      <c r="H3154" s="3">
        <v>560.39284250201263</v>
      </c>
      <c r="I3154" s="3">
        <v>9.3398807083668771</v>
      </c>
      <c r="J3154" s="3">
        <v>0.15566467847278129</v>
      </c>
    </row>
    <row r="3155" spans="1:11" x14ac:dyDescent="0.35">
      <c r="A3155">
        <v>3154</v>
      </c>
      <c r="B3155" t="s">
        <v>2</v>
      </c>
      <c r="C3155" t="s">
        <v>132</v>
      </c>
      <c r="D3155" t="s">
        <v>140</v>
      </c>
      <c r="E3155" s="2">
        <v>44313.349733796298</v>
      </c>
      <c r="F3155" s="2">
        <v>44313.352384259262</v>
      </c>
      <c r="G3155" s="3">
        <v>2.6504629640839994E-3</v>
      </c>
      <c r="H3155" s="3">
        <v>230.39490299756599</v>
      </c>
      <c r="I3155" s="3">
        <v>3.839915049959433</v>
      </c>
      <c r="J3155" s="3">
        <v>6.3998584165990552E-2</v>
      </c>
      <c r="K3155" t="s">
        <v>93</v>
      </c>
    </row>
    <row r="3156" spans="1:11" x14ac:dyDescent="0.35">
      <c r="A3156">
        <v>3155</v>
      </c>
      <c r="B3156" t="s">
        <v>11</v>
      </c>
      <c r="C3156" t="s">
        <v>11</v>
      </c>
      <c r="D3156" t="s">
        <v>140</v>
      </c>
      <c r="E3156" s="2">
        <v>44313.35255787037</v>
      </c>
      <c r="F3156" s="2">
        <v>44313.375115740739</v>
      </c>
      <c r="G3156" s="3">
        <v>2.2557870368473232E-2</v>
      </c>
      <c r="H3156" s="3">
        <v>1960.8719026836952</v>
      </c>
      <c r="I3156" s="3">
        <v>32.681198378061588</v>
      </c>
      <c r="J3156" s="3">
        <v>0.54468663963435981</v>
      </c>
    </row>
    <row r="3157" spans="1:11" x14ac:dyDescent="0.35">
      <c r="A3157">
        <v>3156</v>
      </c>
      <c r="B3157" t="s">
        <v>2</v>
      </c>
      <c r="C3157" t="s">
        <v>72</v>
      </c>
      <c r="D3157" t="s">
        <v>140</v>
      </c>
      <c r="E3157" s="2">
        <v>44313.375243055554</v>
      </c>
      <c r="F3157" s="2">
        <v>44313.409421296295</v>
      </c>
      <c r="G3157" s="3">
        <v>3.4178240741312038E-2</v>
      </c>
      <c r="H3157" s="3">
        <v>2970.9875470542452</v>
      </c>
      <c r="I3157" s="3">
        <v>49.516459117570754</v>
      </c>
      <c r="J3157" s="3">
        <v>0.82527431862617928</v>
      </c>
      <c r="K3157" t="s">
        <v>73</v>
      </c>
    </row>
    <row r="3158" spans="1:11" x14ac:dyDescent="0.35">
      <c r="A3158">
        <v>3157</v>
      </c>
      <c r="B3158" t="s">
        <v>2</v>
      </c>
      <c r="C3158" t="s">
        <v>133</v>
      </c>
      <c r="D3158" t="s">
        <v>140</v>
      </c>
      <c r="E3158" s="2">
        <v>44313.409710648149</v>
      </c>
      <c r="F3158" s="2">
        <v>44313.420856481483</v>
      </c>
      <c r="G3158" s="3">
        <v>1.1145833334012423E-2</v>
      </c>
      <c r="H3158" s="3">
        <v>968.86590177437608</v>
      </c>
      <c r="I3158" s="3">
        <v>16.147765029572934</v>
      </c>
      <c r="J3158" s="3">
        <v>0.26912941715954891</v>
      </c>
      <c r="K3158" t="s">
        <v>99</v>
      </c>
    </row>
    <row r="3159" spans="1:11" x14ac:dyDescent="0.35">
      <c r="A3159">
        <v>3158</v>
      </c>
      <c r="B3159" t="s">
        <v>2</v>
      </c>
      <c r="C3159" t="s">
        <v>133</v>
      </c>
      <c r="D3159" t="s">
        <v>140</v>
      </c>
      <c r="E3159" s="2">
        <v>44313.421249999999</v>
      </c>
      <c r="F3159" s="2">
        <v>44313.428912037038</v>
      </c>
      <c r="G3159" s="3">
        <v>7.662037038244307E-3</v>
      </c>
      <c r="H3159" s="3">
        <v>666.0324268293034</v>
      </c>
      <c r="I3159" s="3">
        <v>11.100540447155057</v>
      </c>
      <c r="J3159" s="3">
        <v>0.18500900745258428</v>
      </c>
      <c r="K3159" t="s">
        <v>99</v>
      </c>
    </row>
    <row r="3160" spans="1:11" x14ac:dyDescent="0.35">
      <c r="A3160">
        <v>3159</v>
      </c>
      <c r="B3160" t="s">
        <v>2</v>
      </c>
      <c r="C3160" t="s">
        <v>133</v>
      </c>
      <c r="D3160" t="s">
        <v>140</v>
      </c>
      <c r="E3160" s="2">
        <v>44313.429108796299</v>
      </c>
      <c r="F3160" s="2">
        <v>44313.47111111111</v>
      </c>
      <c r="G3160" s="3">
        <v>4.2002314810815733E-2</v>
      </c>
      <c r="H3160" s="3">
        <v>3651.1052512878764</v>
      </c>
      <c r="I3160" s="3">
        <v>60.851754188131274</v>
      </c>
      <c r="J3160" s="3">
        <v>1.0141959031355212</v>
      </c>
      <c r="K3160" t="s">
        <v>99</v>
      </c>
    </row>
    <row r="3161" spans="1:11" x14ac:dyDescent="0.35">
      <c r="A3161">
        <v>3160</v>
      </c>
      <c r="B3161" t="s">
        <v>2</v>
      </c>
      <c r="C3161" t="s">
        <v>132</v>
      </c>
      <c r="D3161" t="s">
        <v>140</v>
      </c>
      <c r="E3161" s="2">
        <v>44313.471331018518</v>
      </c>
      <c r="F3161" s="2">
        <v>44313.479490740741</v>
      </c>
      <c r="G3161" s="3">
        <v>8.1597222233540379E-3</v>
      </c>
      <c r="H3161" s="3">
        <v>709.29435182145664</v>
      </c>
      <c r="I3161" s="3">
        <v>11.82157253035761</v>
      </c>
      <c r="J3161" s="3">
        <v>0.1970262088392935</v>
      </c>
      <c r="K3161" t="s">
        <v>93</v>
      </c>
    </row>
    <row r="3162" spans="1:11" x14ac:dyDescent="0.35">
      <c r="A3162">
        <v>3161</v>
      </c>
      <c r="B3162" t="s">
        <v>2</v>
      </c>
      <c r="C3162" t="s">
        <v>132</v>
      </c>
      <c r="D3162" t="s">
        <v>140</v>
      </c>
      <c r="E3162" s="2">
        <v>44313.479664351849</v>
      </c>
      <c r="F3162" s="2">
        <v>44313.487222222226</v>
      </c>
      <c r="G3162" s="3">
        <v>7.557870376331266E-3</v>
      </c>
      <c r="H3162" s="3">
        <v>656.97760573116011</v>
      </c>
      <c r="I3162" s="3">
        <v>10.949626762186002</v>
      </c>
      <c r="J3162" s="3">
        <v>0.18249377936976668</v>
      </c>
      <c r="K3162" t="s">
        <v>93</v>
      </c>
    </row>
    <row r="3163" spans="1:11" x14ac:dyDescent="0.35">
      <c r="A3163">
        <v>3162</v>
      </c>
      <c r="B3163" t="s">
        <v>2</v>
      </c>
      <c r="C3163" t="s">
        <v>133</v>
      </c>
      <c r="D3163" t="s">
        <v>140</v>
      </c>
      <c r="E3163" s="2">
        <v>44313.48741898148</v>
      </c>
      <c r="F3163" s="2">
        <v>44313.516805555555</v>
      </c>
      <c r="G3163" s="3">
        <v>2.9386574075033423E-2</v>
      </c>
      <c r="H3163" s="3">
        <v>2554.4657575654919</v>
      </c>
      <c r="I3163" s="3">
        <v>42.574429292758197</v>
      </c>
      <c r="J3163" s="3">
        <v>0.70957382154596993</v>
      </c>
      <c r="K3163" t="s">
        <v>99</v>
      </c>
    </row>
    <row r="3164" spans="1:11" x14ac:dyDescent="0.35">
      <c r="A3164">
        <v>3163</v>
      </c>
      <c r="B3164" t="s">
        <v>16</v>
      </c>
      <c r="C3164" t="s">
        <v>16</v>
      </c>
      <c r="D3164" t="s">
        <v>140</v>
      </c>
      <c r="E3164" s="2">
        <v>44313.516979166663</v>
      </c>
      <c r="F3164" s="2">
        <v>44313.538078703707</v>
      </c>
      <c r="G3164" s="3">
        <v>2.1099537043482997E-2</v>
      </c>
      <c r="H3164" s="3">
        <v>1834.1044022499127</v>
      </c>
      <c r="I3164" s="3">
        <v>30.568406704165213</v>
      </c>
      <c r="J3164" s="3">
        <v>0.50947344506942016</v>
      </c>
    </row>
    <row r="3165" spans="1:11" x14ac:dyDescent="0.35">
      <c r="A3165">
        <v>3164</v>
      </c>
      <c r="B3165" t="s">
        <v>2</v>
      </c>
      <c r="C3165" t="s">
        <v>132</v>
      </c>
      <c r="D3165" t="s">
        <v>140</v>
      </c>
      <c r="E3165" s="2">
        <v>44313.538321759261</v>
      </c>
      <c r="F3165" s="2">
        <v>44313.556192129632</v>
      </c>
      <c r="G3165" s="3">
        <v>1.7870370371383615E-2</v>
      </c>
      <c r="H3165" s="3">
        <v>1553.4049349255574</v>
      </c>
      <c r="I3165" s="3">
        <v>25.890082248759292</v>
      </c>
      <c r="J3165" s="3">
        <v>0.43150137081265488</v>
      </c>
      <c r="K3165" t="s">
        <v>93</v>
      </c>
    </row>
    <row r="3166" spans="1:11" x14ac:dyDescent="0.35">
      <c r="A3166">
        <v>3165</v>
      </c>
      <c r="B3166" t="s">
        <v>2</v>
      </c>
      <c r="C3166" t="s">
        <v>132</v>
      </c>
      <c r="D3166" t="s">
        <v>140</v>
      </c>
      <c r="E3166" s="2">
        <v>44313.556469907409</v>
      </c>
      <c r="F3166" s="2">
        <v>44313.570150462961</v>
      </c>
      <c r="G3166" s="3">
        <v>1.3680555552127771E-2</v>
      </c>
      <c r="H3166" s="3">
        <v>1189.199891527101</v>
      </c>
      <c r="I3166" s="3">
        <v>19.819998192118351</v>
      </c>
      <c r="J3166" s="3">
        <v>0.33033330320197252</v>
      </c>
      <c r="K3166" t="s">
        <v>93</v>
      </c>
    </row>
    <row r="3167" spans="1:11" x14ac:dyDescent="0.35">
      <c r="A3167">
        <v>3166</v>
      </c>
      <c r="B3167" t="s">
        <v>2</v>
      </c>
      <c r="C3167" t="s">
        <v>132</v>
      </c>
      <c r="D3167" t="s">
        <v>140</v>
      </c>
      <c r="E3167" s="2">
        <v>44313.570277777777</v>
      </c>
      <c r="F3167" s="2">
        <v>44313.586215277777</v>
      </c>
      <c r="G3167" s="3">
        <v>1.5937500000291038E-2</v>
      </c>
      <c r="H3167" s="3">
        <v>1385.3876912631292</v>
      </c>
      <c r="I3167" s="3">
        <v>23.089794854385488</v>
      </c>
      <c r="J3167" s="3">
        <v>0.38482991423975815</v>
      </c>
      <c r="K3167" t="s">
        <v>93</v>
      </c>
    </row>
    <row r="3168" spans="1:11" x14ac:dyDescent="0.35">
      <c r="A3168">
        <v>3167</v>
      </c>
      <c r="B3168" t="s">
        <v>2</v>
      </c>
      <c r="C3168" t="s">
        <v>132</v>
      </c>
      <c r="D3168" t="s">
        <v>140</v>
      </c>
      <c r="E3168" s="2">
        <v>44313.586458333331</v>
      </c>
      <c r="F3168" s="2">
        <v>44313.591134259259</v>
      </c>
      <c r="G3168" s="3">
        <v>4.6759259275859222E-3</v>
      </c>
      <c r="H3168" s="3">
        <v>406.46087687638402</v>
      </c>
      <c r="I3168" s="3">
        <v>6.7743479479397335</v>
      </c>
      <c r="J3168" s="3">
        <v>0.11290579913232889</v>
      </c>
      <c r="K3168" t="s">
        <v>93</v>
      </c>
    </row>
    <row r="3169" spans="1:11" x14ac:dyDescent="0.35">
      <c r="A3169">
        <v>3168</v>
      </c>
      <c r="B3169" t="s">
        <v>2</v>
      </c>
      <c r="C3169" t="s">
        <v>132</v>
      </c>
      <c r="D3169" t="s">
        <v>140</v>
      </c>
      <c r="E3169" s="2">
        <v>44313.591307870367</v>
      </c>
      <c r="F3169" s="2">
        <v>44313.603495370371</v>
      </c>
      <c r="G3169" s="3">
        <v>1.2187500004074536E-2</v>
      </c>
      <c r="H3169" s="3">
        <v>1059.4141171831134</v>
      </c>
      <c r="I3169" s="3">
        <v>17.656901953051889</v>
      </c>
      <c r="J3169" s="3">
        <v>0.2942816992175315</v>
      </c>
      <c r="K3169" t="s">
        <v>93</v>
      </c>
    </row>
    <row r="3170" spans="1:11" x14ac:dyDescent="0.35">
      <c r="A3170">
        <v>3169</v>
      </c>
      <c r="B3170" t="s">
        <v>2</v>
      </c>
      <c r="C3170" t="s">
        <v>132</v>
      </c>
      <c r="D3170" t="s">
        <v>140</v>
      </c>
      <c r="E3170" s="2">
        <v>44313.603784722225</v>
      </c>
      <c r="F3170" s="2">
        <v>44313.628171296295</v>
      </c>
      <c r="G3170" s="3">
        <v>2.438657407037681E-2</v>
      </c>
      <c r="H3170" s="3">
        <v>2119.8343246155082</v>
      </c>
      <c r="I3170" s="3">
        <v>35.330572076925137</v>
      </c>
      <c r="J3170" s="3">
        <v>0.58884286794875229</v>
      </c>
      <c r="K3170" t="s">
        <v>93</v>
      </c>
    </row>
    <row r="3171" spans="1:11" x14ac:dyDescent="0.35">
      <c r="A3171">
        <v>3170</v>
      </c>
      <c r="B3171" t="s">
        <v>16</v>
      </c>
      <c r="C3171" t="s">
        <v>16</v>
      </c>
      <c r="D3171" t="s">
        <v>140</v>
      </c>
      <c r="E3171" s="2">
        <v>44313.628287037034</v>
      </c>
      <c r="F3171" s="2">
        <v>44313.640520833331</v>
      </c>
      <c r="G3171" s="3">
        <v>1.2233796296641231E-2</v>
      </c>
      <c r="H3171" s="3">
        <v>1063.4384819750721</v>
      </c>
      <c r="I3171" s="3">
        <v>17.723974699584534</v>
      </c>
      <c r="J3171" s="3">
        <v>0.2953995783264089</v>
      </c>
    </row>
    <row r="3172" spans="1:11" x14ac:dyDescent="0.35">
      <c r="A3172">
        <v>3171</v>
      </c>
      <c r="B3172" t="s">
        <v>2</v>
      </c>
      <c r="C3172" t="s">
        <v>132</v>
      </c>
      <c r="D3172" t="s">
        <v>140</v>
      </c>
      <c r="E3172" s="2">
        <v>44313.640659722223</v>
      </c>
      <c r="F3172" s="2">
        <v>44313.647499999999</v>
      </c>
      <c r="G3172" s="3">
        <v>6.8402777760638855E-3</v>
      </c>
      <c r="H3172" s="3">
        <v>594.59994576355052</v>
      </c>
      <c r="I3172" s="3">
        <v>9.9099990960591757</v>
      </c>
      <c r="J3172" s="3">
        <v>0.16516665160098626</v>
      </c>
      <c r="K3172" t="s">
        <v>93</v>
      </c>
    </row>
    <row r="3173" spans="1:11" x14ac:dyDescent="0.35">
      <c r="A3173">
        <v>3172</v>
      </c>
      <c r="B3173" t="s">
        <v>2</v>
      </c>
      <c r="C3173" t="s">
        <v>133</v>
      </c>
      <c r="D3173" t="s">
        <v>140</v>
      </c>
      <c r="E3173" s="2">
        <v>44313.647662037038</v>
      </c>
      <c r="F3173" s="2">
        <v>44313.684328703705</v>
      </c>
      <c r="G3173" s="3">
        <v>3.6666666666860692E-2</v>
      </c>
      <c r="H3173" s="3">
        <v>3187.2971720150113</v>
      </c>
      <c r="I3173" s="3">
        <v>53.12161953358352</v>
      </c>
      <c r="J3173" s="3">
        <v>0.88536032555972533</v>
      </c>
      <c r="K3173" t="s">
        <v>99</v>
      </c>
    </row>
    <row r="3174" spans="1:11" x14ac:dyDescent="0.35">
      <c r="A3174">
        <v>3173</v>
      </c>
      <c r="B3174" t="s">
        <v>11</v>
      </c>
      <c r="C3174" t="s">
        <v>11</v>
      </c>
      <c r="D3174" t="s">
        <v>140</v>
      </c>
      <c r="E3174" s="2">
        <v>44313.684479166666</v>
      </c>
      <c r="F3174" s="2">
        <v>44313.692997685182</v>
      </c>
      <c r="G3174" s="3">
        <v>8.5185185162117705E-3</v>
      </c>
      <c r="H3174" s="3">
        <v>740.4831811727895</v>
      </c>
      <c r="I3174" s="3">
        <v>12.341386352879825</v>
      </c>
      <c r="J3174" s="3">
        <v>0.20568977254799709</v>
      </c>
    </row>
    <row r="3175" spans="1:11" x14ac:dyDescent="0.35">
      <c r="A3175">
        <v>3174</v>
      </c>
      <c r="B3175" t="s">
        <v>11</v>
      </c>
      <c r="C3175" t="s">
        <v>11</v>
      </c>
      <c r="D3175" t="s">
        <v>140</v>
      </c>
      <c r="E3175" s="2">
        <v>44313.693159722221</v>
      </c>
      <c r="F3175" s="2">
        <v>44313.702905092592</v>
      </c>
      <c r="G3175" s="3">
        <v>9.7453703710925765E-3</v>
      </c>
      <c r="H3175" s="3">
        <v>847.12885701430594</v>
      </c>
      <c r="I3175" s="3">
        <v>14.118814283571766</v>
      </c>
      <c r="J3175" s="3">
        <v>0.23531357139286277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5C9B-E58F-4CE5-B918-E0C8AEC5380B}">
  <sheetPr codeName="Sheet2">
    <pageSetUpPr autoPageBreaks="0"/>
  </sheetPr>
  <dimension ref="A1:A11"/>
  <sheetViews>
    <sheetView zoomScale="80" zoomScaleNormal="80" workbookViewId="0">
      <selection activeCell="A6" sqref="A6"/>
    </sheetView>
  </sheetViews>
  <sheetFormatPr defaultRowHeight="14.5" x14ac:dyDescent="0.35"/>
  <cols>
    <col min="1" max="1" width="15.453125" bestFit="1" customWidth="1"/>
  </cols>
  <sheetData>
    <row r="1" spans="1:1" x14ac:dyDescent="0.35">
      <c r="A1" t="s">
        <v>10</v>
      </c>
    </row>
    <row r="2" spans="1:1" x14ac:dyDescent="0.35">
      <c r="A2" t="s">
        <v>137</v>
      </c>
    </row>
    <row r="3" spans="1:1" x14ac:dyDescent="0.35">
      <c r="A3" t="s">
        <v>134</v>
      </c>
    </row>
    <row r="4" spans="1:1" x14ac:dyDescent="0.35">
      <c r="A4" t="s">
        <v>133</v>
      </c>
    </row>
    <row r="5" spans="1:1" x14ac:dyDescent="0.35">
      <c r="A5" t="s">
        <v>132</v>
      </c>
    </row>
    <row r="6" spans="1:1" x14ac:dyDescent="0.35">
      <c r="A6" t="s">
        <v>139</v>
      </c>
    </row>
    <row r="7" spans="1:1" x14ac:dyDescent="0.35">
      <c r="A7" t="s">
        <v>135</v>
      </c>
    </row>
    <row r="8" spans="1:1" x14ac:dyDescent="0.35">
      <c r="A8" t="s">
        <v>96</v>
      </c>
    </row>
    <row r="9" spans="1:1" x14ac:dyDescent="0.35">
      <c r="A9" t="s">
        <v>72</v>
      </c>
    </row>
    <row r="10" spans="1:1" x14ac:dyDescent="0.35">
      <c r="A10" t="s">
        <v>138</v>
      </c>
    </row>
    <row r="11" spans="1:1" x14ac:dyDescent="0.35">
      <c r="A11" t="s">
        <v>136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74B7-1164-4C5D-B842-E82B848EF101}">
  <sheetPr codeName="Sheet6">
    <pageSetUpPr autoPageBreaks="0"/>
  </sheetPr>
  <dimension ref="A1:B33"/>
  <sheetViews>
    <sheetView zoomScale="80" zoomScaleNormal="80" workbookViewId="0">
      <selection activeCell="B3" sqref="B3"/>
    </sheetView>
  </sheetViews>
  <sheetFormatPr defaultRowHeight="14.5" x14ac:dyDescent="0.35"/>
  <cols>
    <col min="1" max="1" width="18.1796875" bestFit="1" customWidth="1"/>
    <col min="2" max="2" width="34" bestFit="1" customWidth="1"/>
  </cols>
  <sheetData>
    <row r="1" spans="1:2" x14ac:dyDescent="0.35">
      <c r="A1" t="s">
        <v>34</v>
      </c>
      <c r="B1" t="s">
        <v>3</v>
      </c>
    </row>
    <row r="2" spans="1:2" x14ac:dyDescent="0.35">
      <c r="A2" t="s">
        <v>71</v>
      </c>
      <c r="B2" t="s">
        <v>71</v>
      </c>
    </row>
    <row r="3" spans="1:2" x14ac:dyDescent="0.35">
      <c r="A3" s="22" t="s">
        <v>36</v>
      </c>
      <c r="B3" t="s">
        <v>103</v>
      </c>
    </row>
    <row r="4" spans="1:2" x14ac:dyDescent="0.35">
      <c r="A4" t="s">
        <v>43</v>
      </c>
      <c r="B4" t="s">
        <v>104</v>
      </c>
    </row>
    <row r="5" spans="1:2" x14ac:dyDescent="0.35">
      <c r="A5" t="s">
        <v>44</v>
      </c>
      <c r="B5" t="s">
        <v>105</v>
      </c>
    </row>
    <row r="6" spans="1:2" x14ac:dyDescent="0.35">
      <c r="A6" t="s">
        <v>45</v>
      </c>
      <c r="B6" t="s">
        <v>106</v>
      </c>
    </row>
    <row r="7" spans="1:2" x14ac:dyDescent="0.35">
      <c r="A7" t="s">
        <v>84</v>
      </c>
      <c r="B7" t="s">
        <v>107</v>
      </c>
    </row>
    <row r="8" spans="1:2" x14ac:dyDescent="0.35">
      <c r="A8" t="s">
        <v>94</v>
      </c>
      <c r="B8" t="s">
        <v>108</v>
      </c>
    </row>
    <row r="9" spans="1:2" x14ac:dyDescent="0.35">
      <c r="A9" t="s">
        <v>46</v>
      </c>
      <c r="B9" t="s">
        <v>109</v>
      </c>
    </row>
    <row r="10" spans="1:2" x14ac:dyDescent="0.35">
      <c r="A10" t="s">
        <v>47</v>
      </c>
      <c r="B10" t="s">
        <v>110</v>
      </c>
    </row>
    <row r="11" spans="1:2" x14ac:dyDescent="0.35">
      <c r="A11" t="s">
        <v>65</v>
      </c>
      <c r="B11" t="s">
        <v>111</v>
      </c>
    </row>
    <row r="12" spans="1:2" x14ac:dyDescent="0.35">
      <c r="A12" t="s">
        <v>48</v>
      </c>
      <c r="B12" t="s">
        <v>112</v>
      </c>
    </row>
    <row r="13" spans="1:2" x14ac:dyDescent="0.35">
      <c r="A13" t="s">
        <v>92</v>
      </c>
      <c r="B13" t="s">
        <v>113</v>
      </c>
    </row>
    <row r="14" spans="1:2" x14ac:dyDescent="0.35">
      <c r="A14" t="s">
        <v>50</v>
      </c>
      <c r="B14" t="s">
        <v>114</v>
      </c>
    </row>
    <row r="15" spans="1:2" x14ac:dyDescent="0.35">
      <c r="A15" t="s">
        <v>53</v>
      </c>
      <c r="B15" t="s">
        <v>115</v>
      </c>
    </row>
    <row r="16" spans="1:2" x14ac:dyDescent="0.35">
      <c r="A16" t="s">
        <v>66</v>
      </c>
      <c r="B16" t="s">
        <v>69</v>
      </c>
    </row>
    <row r="17" spans="1:2" x14ac:dyDescent="0.35">
      <c r="A17" t="s">
        <v>56</v>
      </c>
      <c r="B17" t="s">
        <v>116</v>
      </c>
    </row>
    <row r="18" spans="1:2" x14ac:dyDescent="0.35">
      <c r="A18" t="s">
        <v>61</v>
      </c>
      <c r="B18" t="s">
        <v>62</v>
      </c>
    </row>
    <row r="19" spans="1:2" x14ac:dyDescent="0.35">
      <c r="A19" t="s">
        <v>87</v>
      </c>
      <c r="B19" t="s">
        <v>117</v>
      </c>
    </row>
    <row r="20" spans="1:2" x14ac:dyDescent="0.35">
      <c r="A20" t="s">
        <v>63</v>
      </c>
      <c r="B20" t="s">
        <v>118</v>
      </c>
    </row>
    <row r="21" spans="1:2" x14ac:dyDescent="0.35">
      <c r="A21" t="s">
        <v>38</v>
      </c>
      <c r="B21" t="s">
        <v>119</v>
      </c>
    </row>
    <row r="22" spans="1:2" x14ac:dyDescent="0.35">
      <c r="A22" t="s">
        <v>54</v>
      </c>
      <c r="B22" t="s">
        <v>55</v>
      </c>
    </row>
    <row r="23" spans="1:2" x14ac:dyDescent="0.35">
      <c r="A23" t="s">
        <v>57</v>
      </c>
      <c r="B23" t="s">
        <v>58</v>
      </c>
    </row>
    <row r="24" spans="1:2" x14ac:dyDescent="0.35">
      <c r="A24" t="s">
        <v>67</v>
      </c>
      <c r="B24" t="s">
        <v>120</v>
      </c>
    </row>
    <row r="25" spans="1:2" x14ac:dyDescent="0.35">
      <c r="A25" t="s">
        <v>49</v>
      </c>
      <c r="B25" t="s">
        <v>121</v>
      </c>
    </row>
    <row r="26" spans="1:2" x14ac:dyDescent="0.35">
      <c r="A26" t="s">
        <v>59</v>
      </c>
      <c r="B26" t="s">
        <v>60</v>
      </c>
    </row>
    <row r="27" spans="1:2" x14ac:dyDescent="0.35">
      <c r="A27" t="s">
        <v>51</v>
      </c>
      <c r="B27" t="s">
        <v>52</v>
      </c>
    </row>
    <row r="28" spans="1:2" x14ac:dyDescent="0.35">
      <c r="A28" t="s">
        <v>39</v>
      </c>
      <c r="B28" t="s">
        <v>122</v>
      </c>
    </row>
    <row r="29" spans="1:2" x14ac:dyDescent="0.35">
      <c r="A29" t="s">
        <v>97</v>
      </c>
      <c r="B29" t="s">
        <v>123</v>
      </c>
    </row>
    <row r="30" spans="1:2" x14ac:dyDescent="0.35">
      <c r="A30" t="s">
        <v>98</v>
      </c>
      <c r="B30" t="s">
        <v>124</v>
      </c>
    </row>
    <row r="31" spans="1:2" x14ac:dyDescent="0.35">
      <c r="A31" t="s">
        <v>72</v>
      </c>
      <c r="B31" t="s">
        <v>125</v>
      </c>
    </row>
    <row r="32" spans="1:2" x14ac:dyDescent="0.35">
      <c r="A32" t="s">
        <v>89</v>
      </c>
      <c r="B32" t="s">
        <v>126</v>
      </c>
    </row>
    <row r="33" spans="1:1" x14ac:dyDescent="0.35">
      <c r="A33" t="s">
        <v>37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91E2-452F-444D-9653-A139CC2F2941}">
  <sheetPr codeName="Sheet4">
    <pageSetUpPr autoPageBreaks="0"/>
  </sheetPr>
  <dimension ref="A1:S64"/>
  <sheetViews>
    <sheetView zoomScale="70" zoomScaleNormal="70" workbookViewId="0">
      <selection activeCell="H20" sqref="H20"/>
    </sheetView>
  </sheetViews>
  <sheetFormatPr defaultRowHeight="14.5" x14ac:dyDescent="0.35"/>
  <cols>
    <col min="1" max="1" width="18.90625" bestFit="1" customWidth="1"/>
    <col min="2" max="2" width="13.54296875" bestFit="1" customWidth="1"/>
    <col min="3" max="3" width="10.36328125" style="3" customWidth="1"/>
    <col min="4" max="4" width="9.6328125" customWidth="1"/>
    <col min="6" max="6" width="10.90625" bestFit="1" customWidth="1"/>
    <col min="7" max="7" width="10.90625" customWidth="1"/>
    <col min="8" max="8" width="15.36328125" bestFit="1" customWidth="1"/>
    <col min="9" max="9" width="13.54296875" bestFit="1" customWidth="1"/>
    <col min="10" max="11" width="12.90625" bestFit="1" customWidth="1"/>
    <col min="12" max="12" width="14.6328125" bestFit="1" customWidth="1"/>
    <col min="13" max="13" width="14.6328125" customWidth="1"/>
    <col min="15" max="15" width="10.1796875" bestFit="1" customWidth="1"/>
    <col min="16" max="16" width="9.36328125" bestFit="1" customWidth="1"/>
    <col min="17" max="17" width="9" bestFit="1" customWidth="1"/>
  </cols>
  <sheetData>
    <row r="1" spans="1:19" x14ac:dyDescent="0.35">
      <c r="A1" s="4">
        <f ca="1">DATE(YEAR(NOW()),MONTH(NOW()),DAY(NOW()))</f>
        <v>44313</v>
      </c>
      <c r="C1"/>
    </row>
    <row r="2" spans="1:19" x14ac:dyDescent="0.35">
      <c r="A2" s="1" t="s">
        <v>12</v>
      </c>
      <c r="B2" s="1" t="s">
        <v>14</v>
      </c>
      <c r="C2" s="1" t="s">
        <v>74</v>
      </c>
      <c r="D2" s="1" t="s">
        <v>33</v>
      </c>
      <c r="E2" s="1" t="s">
        <v>16</v>
      </c>
      <c r="F2" s="1" t="s">
        <v>11</v>
      </c>
      <c r="G2" s="1" t="s">
        <v>72</v>
      </c>
      <c r="H2" s="1" t="s">
        <v>96</v>
      </c>
      <c r="I2" s="1" t="str">
        <f>Summary!M17</f>
        <v>AAAA Project</v>
      </c>
      <c r="J2" s="1" t="str">
        <f>Summary!N17</f>
        <v>BBBB Project</v>
      </c>
      <c r="K2" s="1" t="str">
        <f>Summary!O17</f>
        <v>CCCC Project</v>
      </c>
      <c r="L2" s="1" t="str">
        <f>Summary!P17</f>
        <v>DDDD Project</v>
      </c>
      <c r="M2" s="1" t="str">
        <f>Summary!Q17</f>
        <v>EEEE Project</v>
      </c>
      <c r="N2" s="1"/>
      <c r="O2" s="1" t="s">
        <v>28</v>
      </c>
      <c r="P2" s="1" t="s">
        <v>29</v>
      </c>
      <c r="Q2" s="1" t="s">
        <v>30</v>
      </c>
    </row>
    <row r="3" spans="1:19" x14ac:dyDescent="0.35">
      <c r="A3" s="5">
        <v>44108</v>
      </c>
      <c r="B3" t="str">
        <f t="shared" ref="B3:B59" ca="1" si="0">IF(AND($A$1&gt;=A3,$A$1&lt;A4),"x","")</f>
        <v/>
      </c>
      <c r="C3" s="3" cm="1">
        <f t="array" ref="C3">SUMPRODUCT(Tracker!$J$2:$J$5000*((Tracker!$E$2:$E$5000)&gt;=$A3)*((Tracker!$E$2:$E$5000)&lt;$A3+7)*((Tracker!$C$2:$C$5000)=C$2))</f>
        <v>0</v>
      </c>
      <c r="D3" s="3" cm="1">
        <f t="array" ref="D3">SUMPRODUCT(Tracker!$J$2:$J$5000*((Tracker!$E$2:$E$5000)&gt;=$A3)*((Tracker!$E$2:$E$5000)&lt;$A3+7)*((Tracker!$C$2:$C$5000)=D$2))</f>
        <v>0</v>
      </c>
      <c r="E3" s="3" cm="1">
        <f t="array" ref="E3">SUMPRODUCT(Tracker!$J$2:$J$5000*((Tracker!$E$2:$E$5000)&gt;=$A3)*((Tracker!$E$2:$E$5000)&lt;$A3+7)*((Tracker!$C$2:$C$5000)=E$2))</f>
        <v>6.1094892918029835</v>
      </c>
      <c r="F3" s="3" cm="1">
        <f t="array" ref="F3">SUMPRODUCT(Tracker!$J$2:$J$5000*((Tracker!$E$2:$E$5000)&gt;=$A3)*((Tracker!$E$2:$E$5000)&lt;$A3+7)*((Tracker!$C$2:$C$5000)=F$2))</f>
        <v>22.134846548763999</v>
      </c>
      <c r="G3" s="3" cm="1">
        <f t="array" ref="G3">SUMPRODUCT(Tracker!$J$2:$J$5000*((Tracker!$E$2:$E$5000)&gt;=$A3)*((Tracker!$E$2:$E$5000)&lt;$A3+7)*((Tracker!$C$2:$C$5000)=G$2))</f>
        <v>1.9193985843711583</v>
      </c>
      <c r="H3" s="3" cm="1">
        <f t="array" ref="H3">SUMPRODUCT(Tracker!$J$2:$J$5000*((Tracker!$E$2:$E$5000)&gt;=$A3)*((Tracker!$E$2:$E$5000)&lt;$A3+7)*((Tracker!$C$2:$C$5000)=H$2))</f>
        <v>9.1537538202242335</v>
      </c>
      <c r="I3" s="3" cm="1">
        <f t="array" ref="I3">SUMPRODUCT(Tracker!$J$2:$J$5000*((Tracker!$E$2:$E$5000)&gt;=$A3)*((Tracker!$E$2:$E$5000)&lt;$A3+7)*((Tracker!$C$2:$C$5000)=I$2))</f>
        <v>11.651934360564248</v>
      </c>
      <c r="J3" s="3" cm="1">
        <f t="array" ref="J3">SUMPRODUCT(Tracker!$J$2:$J$5000*((Tracker!$E$2:$E$5000)&gt;=$A3)*((Tracker!$E$2:$E$5000)&lt;$A3+7)*((Tracker!$C$2:$C$5000)=J$2))</f>
        <v>0</v>
      </c>
      <c r="K3" s="3" cm="1">
        <f t="array" ref="K3">SUMPRODUCT(Tracker!$J$2:$J$5000*((Tracker!$E$2:$E$5000)&gt;=$A3)*((Tracker!$E$2:$E$5000)&lt;$A3+7)*((Tracker!$C$2:$C$5000)=K$2))</f>
        <v>0</v>
      </c>
      <c r="L3" s="3" cm="1">
        <f t="array" ref="L3">SUMPRODUCT(Tracker!$J$2:$J$5000*((Tracker!$E$2:$E$5000)&gt;=$A3)*((Tracker!$E$2:$E$5000)&lt;$A3+7)*((Tracker!$C$2:$C$5000)=L$2))</f>
        <v>0</v>
      </c>
      <c r="M3" s="3" cm="1">
        <f t="array" ref="M3">SUMPRODUCT(Tracker!$J$2:$J$5000*((Tracker!$E$2:$E$5000)&gt;=$A3)*((Tracker!$E$2:$E$5000)&lt;$A3+7)*((Tracker!$C$2:$C$5000)=M$2))</f>
        <v>0</v>
      </c>
      <c r="O3" s="37">
        <f>MAX(SUM(H3:M3)/(40-SUM(C3:D3)),0)</f>
        <v>0.52014220451971194</v>
      </c>
      <c r="P3" s="37">
        <f>SUM(F3:M3,C3:D3)/(40)</f>
        <v>1.121498332848091</v>
      </c>
      <c r="Q3" s="37">
        <f>SUM(E3:M3,C3:D3)/(45)</f>
        <v>1.1326538356828137</v>
      </c>
    </row>
    <row r="4" spans="1:19" x14ac:dyDescent="0.35">
      <c r="A4" s="5">
        <f>A3+7</f>
        <v>44115</v>
      </c>
      <c r="B4" t="str">
        <f t="shared" ca="1" si="0"/>
        <v/>
      </c>
      <c r="C4" s="3" cm="1">
        <f t="array" ref="C4">SUMPRODUCT(Tracker!$J$2:$J$5000*((Tracker!$E$2:$E$5000)&gt;=$A4)*((Tracker!$E$2:$E$5000)&lt;$A4+7)*((Tracker!$C$2:$C$5000)=C$2))</f>
        <v>0</v>
      </c>
      <c r="D4" s="3" cm="1">
        <f t="array" ref="D4">SUMPRODUCT(Tracker!$J$2:$J$5000*((Tracker!$E$2:$E$5000)&gt;=$A4)*((Tracker!$E$2:$E$5000)&lt;$A4+7)*((Tracker!$C$2:$C$5000)=D$2))</f>
        <v>0</v>
      </c>
      <c r="E4" s="3" cm="1">
        <f t="array" ref="E4">SUMPRODUCT(Tracker!$J$2:$J$5000*((Tracker!$E$2:$E$5000)&gt;=$A4)*((Tracker!$E$2:$E$5000)&lt;$A4+7)*((Tracker!$C$2:$C$5000)=E$2))</f>
        <v>6.9487371003442497</v>
      </c>
      <c r="F4" s="3" cm="1">
        <f t="array" ref="F4">SUMPRODUCT(Tracker!$J$2:$J$5000*((Tracker!$E$2:$E$5000)&gt;=$A4)*((Tracker!$E$2:$E$5000)&lt;$A4+7)*((Tracker!$C$2:$C$5000)=F$2))</f>
        <v>16.948446003763017</v>
      </c>
      <c r="G4" s="3" cm="1">
        <f t="array" ref="G4">SUMPRODUCT(Tracker!$J$2:$J$5000*((Tracker!$E$2:$E$5000)&gt;=$A4)*((Tracker!$E$2:$E$5000)&lt;$A4+7)*((Tracker!$C$2:$C$5000)=G$2))</f>
        <v>2.7946979972482398</v>
      </c>
      <c r="H4" s="3" cm="1">
        <f t="array" ref="H4">SUMPRODUCT(Tracker!$J$2:$J$5000*((Tracker!$E$2:$E$5000)&gt;=$A4)*((Tracker!$E$2:$E$5000)&lt;$A4+7)*((Tracker!$C$2:$C$5000)=H$2))</f>
        <v>13.201594400422362</v>
      </c>
      <c r="I4" s="3" cm="1">
        <f t="array" ref="I4">SUMPRODUCT(Tracker!$J$2:$J$5000*((Tracker!$E$2:$E$5000)&gt;=$A4)*((Tracker!$E$2:$E$5000)&lt;$A4+7)*((Tracker!$C$2:$C$5000)=I$2))</f>
        <v>11.297566653534735</v>
      </c>
      <c r="J4" s="3" cm="1">
        <f t="array" ref="J4">SUMPRODUCT(Tracker!$J$2:$J$5000*((Tracker!$E$2:$E$5000)&gt;=$A4)*((Tracker!$E$2:$E$5000)&lt;$A4+7)*((Tracker!$C$2:$C$5000)=J$2))</f>
        <v>0</v>
      </c>
      <c r="K4" s="3" cm="1">
        <f t="array" ref="K4">SUMPRODUCT(Tracker!$J$2:$J$5000*((Tracker!$E$2:$E$5000)&gt;=$A4)*((Tracker!$E$2:$E$5000)&lt;$A4+7)*((Tracker!$C$2:$C$5000)=K$2))</f>
        <v>0</v>
      </c>
      <c r="L4" s="3" cm="1">
        <f t="array" ref="L4">SUMPRODUCT(Tracker!$J$2:$J$5000*((Tracker!$E$2:$E$5000)&gt;=$A4)*((Tracker!$E$2:$E$5000)&lt;$A4+7)*((Tracker!$C$2:$C$5000)=L$2))</f>
        <v>0</v>
      </c>
      <c r="M4" s="3" cm="1">
        <f t="array" ref="M4">SUMPRODUCT(Tracker!$J$2:$J$5000*((Tracker!$E$2:$E$5000)&gt;=$A4)*((Tracker!$E$2:$E$5000)&lt;$A4+7)*((Tracker!$C$2:$C$5000)=M$2))</f>
        <v>0</v>
      </c>
      <c r="O4" s="37">
        <f t="shared" ref="O4:O27" si="1">MAX(SUM(H4:M4)/(40-SUM(C4:D4)),0)</f>
        <v>0.61247902634892737</v>
      </c>
      <c r="P4" s="37">
        <f t="shared" ref="P4:P27" si="2">SUM(F4:M4,C4:D4)/(40)</f>
        <v>1.1060576263742088</v>
      </c>
      <c r="Q4" s="37">
        <f t="shared" ref="Q4:Q27" si="3">SUM(E4:M4,C4:D4)/(45)</f>
        <v>1.1375787145625025</v>
      </c>
    </row>
    <row r="5" spans="1:19" x14ac:dyDescent="0.35">
      <c r="A5" s="5">
        <f t="shared" ref="A5:A59" si="4">A4+7</f>
        <v>44122</v>
      </c>
      <c r="B5" t="str">
        <f t="shared" ca="1" si="0"/>
        <v/>
      </c>
      <c r="C5" s="3" cm="1">
        <f t="array" ref="C5">SUMPRODUCT(Tracker!$J$2:$J$5000*((Tracker!$E$2:$E$5000)&gt;=$A5)*((Tracker!$E$2:$E$5000)&lt;$A5+7)*((Tracker!$C$2:$C$5000)=C$2))</f>
        <v>0</v>
      </c>
      <c r="D5" s="3" cm="1">
        <f t="array" ref="D5">SUMPRODUCT(Tracker!$J$2:$J$5000*((Tracker!$E$2:$E$5000)&gt;=$A5)*((Tracker!$E$2:$E$5000)&lt;$A5+7)*((Tracker!$C$2:$C$5000)=D$2))</f>
        <v>8.0487302323771122</v>
      </c>
      <c r="E5" s="3" cm="1">
        <f t="array" ref="E5">SUMPRODUCT(Tracker!$J$2:$J$5000*((Tracker!$E$2:$E$5000)&gt;=$A5)*((Tracker!$E$2:$E$5000)&lt;$A5+7)*((Tracker!$C$2:$C$5000)=E$2))</f>
        <v>6.056110560752507</v>
      </c>
      <c r="F5" s="3" cm="1">
        <f t="array" ref="F5">SUMPRODUCT(Tracker!$J$2:$J$5000*((Tracker!$E$2:$E$5000)&gt;=$A5)*((Tracker!$E$2:$E$5000)&lt;$A5+7)*((Tracker!$C$2:$C$5000)=F$2))</f>
        <v>8.4643018245706116</v>
      </c>
      <c r="G5" s="3" cm="1">
        <f t="array" ref="G5">SUMPRODUCT(Tracker!$J$2:$J$5000*((Tracker!$E$2:$E$5000)&gt;=$A5)*((Tracker!$E$2:$E$5000)&lt;$A5+7)*((Tracker!$C$2:$C$5000)=G$2))</f>
        <v>2.8885998502998453</v>
      </c>
      <c r="H5" s="3" cm="1">
        <f t="array" ref="H5">SUMPRODUCT(Tracker!$J$2:$J$5000*((Tracker!$E$2:$E$5000)&gt;=$A5)*((Tracker!$E$2:$E$5000)&lt;$A5+7)*((Tracker!$C$2:$C$5000)=H$2))</f>
        <v>2.4618494656120764</v>
      </c>
      <c r="I5" s="3" cm="1">
        <f t="array" ref="I5">SUMPRODUCT(Tracker!$J$2:$J$5000*((Tracker!$E$2:$E$5000)&gt;=$A5)*((Tracker!$E$2:$E$5000)&lt;$A5+7)*((Tracker!$C$2:$C$5000)=I$2))</f>
        <v>18.488604071019989</v>
      </c>
      <c r="J5" s="3" cm="1">
        <f t="array" ref="J5">SUMPRODUCT(Tracker!$J$2:$J$5000*((Tracker!$E$2:$E$5000)&gt;=$A5)*((Tracker!$E$2:$E$5000)&lt;$A5+7)*((Tracker!$C$2:$C$5000)=J$2))</f>
        <v>0</v>
      </c>
      <c r="K5" s="3" cm="1">
        <f t="array" ref="K5">SUMPRODUCT(Tracker!$J$2:$J$5000*((Tracker!$E$2:$E$5000)&gt;=$A5)*((Tracker!$E$2:$E$5000)&lt;$A5+7)*((Tracker!$C$2:$C$5000)=K$2))</f>
        <v>0</v>
      </c>
      <c r="L5" s="3" cm="1">
        <f t="array" ref="L5">SUMPRODUCT(Tracker!$J$2:$J$5000*((Tracker!$E$2:$E$5000)&gt;=$A5)*((Tracker!$E$2:$E$5000)&lt;$A5+7)*((Tracker!$C$2:$C$5000)=L$2))</f>
        <v>0</v>
      </c>
      <c r="M5" s="3" cm="1">
        <f t="array" ref="M5">SUMPRODUCT(Tracker!$J$2:$J$5000*((Tracker!$E$2:$E$5000)&gt;=$A5)*((Tracker!$E$2:$E$5000)&lt;$A5+7)*((Tracker!$C$2:$C$5000)=M$2))</f>
        <v>0</v>
      </c>
      <c r="O5" s="37">
        <f t="shared" si="1"/>
        <v>0.65570018622113546</v>
      </c>
      <c r="P5" s="37">
        <f t="shared" si="2"/>
        <v>1.0088021360969908</v>
      </c>
      <c r="Q5" s="37">
        <f t="shared" si="3"/>
        <v>1.0312932445473808</v>
      </c>
    </row>
    <row r="6" spans="1:19" x14ac:dyDescent="0.35">
      <c r="A6" s="5">
        <f t="shared" si="4"/>
        <v>44129</v>
      </c>
      <c r="B6" t="str">
        <f t="shared" ca="1" si="0"/>
        <v/>
      </c>
      <c r="C6" s="3" cm="1">
        <f t="array" ref="C6">SUMPRODUCT(Tracker!$J$2:$J$5000*((Tracker!$E$2:$E$5000)&gt;=$A6)*((Tracker!$E$2:$E$5000)&lt;$A6+7)*((Tracker!$C$2:$C$5000)=C$2))</f>
        <v>0</v>
      </c>
      <c r="D6" s="3" cm="1">
        <f t="array" ref="D6">SUMPRODUCT(Tracker!$J$2:$J$5000*((Tracker!$E$2:$E$5000)&gt;=$A6)*((Tracker!$E$2:$E$5000)&lt;$A6+7)*((Tracker!$C$2:$C$5000)=D$2))</f>
        <v>8.0487302323771122</v>
      </c>
      <c r="E6" s="3" cm="1">
        <f t="array" ref="E6">SUMPRODUCT(Tracker!$J$2:$J$5000*((Tracker!$E$2:$E$5000)&gt;=$A6)*((Tracker!$E$2:$E$5000)&lt;$A6+7)*((Tracker!$C$2:$C$5000)=E$2))</f>
        <v>4.8982671796524802</v>
      </c>
      <c r="F6" s="3" cm="1">
        <f t="array" ref="F6">SUMPRODUCT(Tracker!$J$2:$J$5000*((Tracker!$E$2:$E$5000)&gt;=$A6)*((Tracker!$E$2:$E$5000)&lt;$A6+7)*((Tracker!$C$2:$C$5000)=F$2))</f>
        <v>6.7913956046136459</v>
      </c>
      <c r="G6" s="3" cm="1">
        <f t="array" ref="G6">SUMPRODUCT(Tracker!$J$2:$J$5000*((Tracker!$E$2:$E$5000)&gt;=$A6)*((Tracker!$E$2:$E$5000)&lt;$A6+7)*((Tracker!$C$2:$C$5000)=G$2))</f>
        <v>4.2303343585137725</v>
      </c>
      <c r="H6" s="3" cm="1">
        <f t="array" ref="H6">SUMPRODUCT(Tracker!$J$2:$J$5000*((Tracker!$E$2:$E$5000)&gt;=$A6)*((Tracker!$E$2:$E$5000)&lt;$A6+7)*((Tracker!$C$2:$C$5000)=H$2))</f>
        <v>5.873616781031366</v>
      </c>
      <c r="I6" s="3" cm="1">
        <f t="array" ref="I6">SUMPRODUCT(Tracker!$J$2:$J$5000*((Tracker!$E$2:$E$5000)&gt;=$A6)*((Tracker!$E$2:$E$5000)&lt;$A6+7)*((Tracker!$C$2:$C$5000)=I$2))</f>
        <v>18.268661338691835</v>
      </c>
      <c r="J6" s="3" cm="1">
        <f t="array" ref="J6">SUMPRODUCT(Tracker!$J$2:$J$5000*((Tracker!$E$2:$E$5000)&gt;=$A6)*((Tracker!$E$2:$E$5000)&lt;$A6+7)*((Tracker!$C$2:$C$5000)=J$2))</f>
        <v>0</v>
      </c>
      <c r="K6" s="3" cm="1">
        <f t="array" ref="K6">SUMPRODUCT(Tracker!$J$2:$J$5000*((Tracker!$E$2:$E$5000)&gt;=$A6)*((Tracker!$E$2:$E$5000)&lt;$A6+7)*((Tracker!$C$2:$C$5000)=K$2))</f>
        <v>0</v>
      </c>
      <c r="L6" s="3" cm="1">
        <f t="array" ref="L6">SUMPRODUCT(Tracker!$J$2:$J$5000*((Tracker!$E$2:$E$5000)&gt;=$A6)*((Tracker!$E$2:$E$5000)&lt;$A6+7)*((Tracker!$C$2:$C$5000)=L$2))</f>
        <v>0</v>
      </c>
      <c r="M6" s="3" cm="1">
        <f t="array" ref="M6">SUMPRODUCT(Tracker!$J$2:$J$5000*((Tracker!$E$2:$E$5000)&gt;=$A6)*((Tracker!$E$2:$E$5000)&lt;$A6+7)*((Tracker!$C$2:$C$5000)=M$2))</f>
        <v>0</v>
      </c>
      <c r="O6" s="37">
        <f t="shared" si="1"/>
        <v>0.7555968290245304</v>
      </c>
      <c r="P6" s="37">
        <f t="shared" si="2"/>
        <v>1.0803184578806933</v>
      </c>
      <c r="Q6" s="37">
        <f t="shared" si="3"/>
        <v>1.0691334554417824</v>
      </c>
    </row>
    <row r="7" spans="1:19" x14ac:dyDescent="0.35">
      <c r="A7" s="5">
        <f t="shared" si="4"/>
        <v>44136</v>
      </c>
      <c r="B7" t="str">
        <f t="shared" ca="1" si="0"/>
        <v/>
      </c>
      <c r="C7" s="3" cm="1">
        <f t="array" ref="C7">SUMPRODUCT(Tracker!$J$2:$J$5000*((Tracker!$E$2:$E$5000)&gt;=$A7)*((Tracker!$E$2:$E$5000)&lt;$A7+7)*((Tracker!$C$2:$C$5000)=C$2))</f>
        <v>0</v>
      </c>
      <c r="D7" s="3" cm="1">
        <f t="array" ref="D7">SUMPRODUCT(Tracker!$J$2:$J$5000*((Tracker!$E$2:$E$5000)&gt;=$A7)*((Tracker!$E$2:$E$5000)&lt;$A7+7)*((Tracker!$C$2:$C$5000)=D$2))</f>
        <v>0</v>
      </c>
      <c r="E7" s="3" cm="1">
        <f t="array" ref="E7">SUMPRODUCT(Tracker!$J$2:$J$5000*((Tracker!$E$2:$E$5000)&gt;=$A7)*((Tracker!$E$2:$E$5000)&lt;$A7+7)*((Tracker!$C$2:$C$5000)=E$2))</f>
        <v>6.9375583087284136</v>
      </c>
      <c r="F7" s="3" cm="1">
        <f t="array" ref="F7">SUMPRODUCT(Tracker!$J$2:$J$5000*((Tracker!$E$2:$E$5000)&gt;=$A7)*((Tracker!$E$2:$E$5000)&lt;$A7+7)*((Tracker!$C$2:$C$5000)=F$2))</f>
        <v>11.031790875107312</v>
      </c>
      <c r="G7" s="3" cm="1">
        <f t="array" ref="G7">SUMPRODUCT(Tracker!$J$2:$J$5000*((Tracker!$E$2:$E$5000)&gt;=$A7)*((Tracker!$E$2:$E$5000)&lt;$A7+7)*((Tracker!$C$2:$C$5000)=G$2))</f>
        <v>4.2208323853855676</v>
      </c>
      <c r="H7" s="3" cm="1">
        <f t="array" ref="H7">SUMPRODUCT(Tracker!$J$2:$J$5000*((Tracker!$E$2:$E$5000)&gt;=$A7)*((Tracker!$E$2:$E$5000)&lt;$A7+7)*((Tracker!$C$2:$C$5000)=H$2))</f>
        <v>6.5245019451447908</v>
      </c>
      <c r="I7" s="3" cm="1">
        <f t="array" ref="I7">SUMPRODUCT(Tracker!$J$2:$J$5000*((Tracker!$E$2:$E$5000)&gt;=$A7)*((Tracker!$E$2:$E$5000)&lt;$A7+7)*((Tracker!$C$2:$C$5000)=I$2))</f>
        <v>17.687643623978168</v>
      </c>
      <c r="J7" s="3" cm="1">
        <f t="array" ref="J7">SUMPRODUCT(Tracker!$J$2:$J$5000*((Tracker!$E$2:$E$5000)&gt;=$A7)*((Tracker!$E$2:$E$5000)&lt;$A7+7)*((Tracker!$C$2:$C$5000)=J$2))</f>
        <v>0</v>
      </c>
      <c r="K7" s="3" cm="1">
        <f t="array" ref="K7">SUMPRODUCT(Tracker!$J$2:$J$5000*((Tracker!$E$2:$E$5000)&gt;=$A7)*((Tracker!$E$2:$E$5000)&lt;$A7+7)*((Tracker!$C$2:$C$5000)=K$2))</f>
        <v>0</v>
      </c>
      <c r="L7" s="3" cm="1">
        <f t="array" ref="L7">SUMPRODUCT(Tracker!$J$2:$J$5000*((Tracker!$E$2:$E$5000)&gt;=$A7)*((Tracker!$E$2:$E$5000)&lt;$A7+7)*((Tracker!$C$2:$C$5000)=L$2))</f>
        <v>0</v>
      </c>
      <c r="M7" s="3" cm="1">
        <f t="array" ref="M7">SUMPRODUCT(Tracker!$J$2:$J$5000*((Tracker!$E$2:$E$5000)&gt;=$A7)*((Tracker!$E$2:$E$5000)&lt;$A7+7)*((Tracker!$C$2:$C$5000)=M$2))</f>
        <v>0</v>
      </c>
      <c r="O7" s="37">
        <f t="shared" si="1"/>
        <v>0.60530363922807395</v>
      </c>
      <c r="P7" s="37">
        <f t="shared" si="2"/>
        <v>0.98661922074039587</v>
      </c>
      <c r="Q7" s="37">
        <f t="shared" si="3"/>
        <v>1.0311628252965388</v>
      </c>
    </row>
    <row r="8" spans="1:19" x14ac:dyDescent="0.35">
      <c r="A8" s="5">
        <f t="shared" si="4"/>
        <v>44143</v>
      </c>
      <c r="B8" t="str">
        <f t="shared" ca="1" si="0"/>
        <v/>
      </c>
      <c r="C8" s="3" cm="1">
        <f t="array" ref="C8">SUMPRODUCT(Tracker!$J$2:$J$5000*((Tracker!$E$2:$E$5000)&gt;=$A8)*((Tracker!$E$2:$E$5000)&lt;$A8+7)*((Tracker!$C$2:$C$5000)=C$2))</f>
        <v>0</v>
      </c>
      <c r="D8" s="3" cm="1">
        <f t="array" ref="D8">SUMPRODUCT(Tracker!$J$2:$J$5000*((Tracker!$E$2:$E$5000)&gt;=$A8)*((Tracker!$E$2:$E$5000)&lt;$A8+7)*((Tracker!$C$2:$C$5000)=D$2))</f>
        <v>0</v>
      </c>
      <c r="E8" s="3" cm="1">
        <f t="array" ref="E8">SUMPRODUCT(Tracker!$J$2:$J$5000*((Tracker!$E$2:$E$5000)&gt;=$A8)*((Tracker!$E$2:$E$5000)&lt;$A8+7)*((Tracker!$C$2:$C$5000)=E$2))</f>
        <v>4.9038565760753023</v>
      </c>
      <c r="F8" s="3" cm="1">
        <f t="array" ref="F8">SUMPRODUCT(Tracker!$J$2:$J$5000*((Tracker!$E$2:$E$5000)&gt;=$A8)*((Tracker!$E$2:$E$5000)&lt;$A8+7)*((Tracker!$C$2:$C$5000)=F$2))</f>
        <v>27.216166446813631</v>
      </c>
      <c r="G8" s="3" cm="1">
        <f t="array" ref="G8">SUMPRODUCT(Tracker!$J$2:$J$5000*((Tracker!$E$2:$E$5000)&gt;=$A8)*((Tracker!$E$2:$E$5000)&lt;$A8+7)*((Tracker!$C$2:$C$5000)=G$2))</f>
        <v>1.048011749077894</v>
      </c>
      <c r="H8" s="3" cm="1">
        <f t="array" ref="H8">SUMPRODUCT(Tracker!$J$2:$J$5000*((Tracker!$E$2:$E$5000)&gt;=$A8)*((Tracker!$E$2:$E$5000)&lt;$A8+7)*((Tracker!$C$2:$C$5000)=H$2))</f>
        <v>12.969634465829071</v>
      </c>
      <c r="I8" s="3" cm="1">
        <f t="array" ref="I8">SUMPRODUCT(Tracker!$J$2:$J$5000*((Tracker!$E$2:$E$5000)&gt;=$A8)*((Tracker!$E$2:$E$5000)&lt;$A8+7)*((Tracker!$C$2:$C$5000)=I$2))</f>
        <v>12.955102035832486</v>
      </c>
      <c r="J8" s="3" cm="1">
        <f t="array" ref="J8">SUMPRODUCT(Tracker!$J$2:$J$5000*((Tracker!$E$2:$E$5000)&gt;=$A8)*((Tracker!$E$2:$E$5000)&lt;$A8+7)*((Tracker!$C$2:$C$5000)=J$2))</f>
        <v>0</v>
      </c>
      <c r="K8" s="3" cm="1">
        <f t="array" ref="K8">SUMPRODUCT(Tracker!$J$2:$J$5000*((Tracker!$E$2:$E$5000)&gt;=$A8)*((Tracker!$E$2:$E$5000)&lt;$A8+7)*((Tracker!$C$2:$C$5000)=K$2))</f>
        <v>0</v>
      </c>
      <c r="L8" s="3" cm="1">
        <f t="array" ref="L8">SUMPRODUCT(Tracker!$J$2:$J$5000*((Tracker!$E$2:$E$5000)&gt;=$A8)*((Tracker!$E$2:$E$5000)&lt;$A8+7)*((Tracker!$C$2:$C$5000)=L$2))</f>
        <v>0</v>
      </c>
      <c r="M8" s="3" cm="1">
        <f t="array" ref="M8">SUMPRODUCT(Tracker!$J$2:$J$5000*((Tracker!$E$2:$E$5000)&gt;=$A8)*((Tracker!$E$2:$E$5000)&lt;$A8+7)*((Tracker!$C$2:$C$5000)=M$2))</f>
        <v>0</v>
      </c>
      <c r="O8" s="37">
        <f t="shared" si="1"/>
        <v>0.6481184125415389</v>
      </c>
      <c r="P8" s="37">
        <f t="shared" si="2"/>
        <v>1.3547228674388267</v>
      </c>
      <c r="Q8" s="37">
        <f t="shared" si="3"/>
        <v>1.3131726949695195</v>
      </c>
    </row>
    <row r="9" spans="1:19" x14ac:dyDescent="0.35">
      <c r="A9" s="5">
        <f t="shared" si="4"/>
        <v>44150</v>
      </c>
      <c r="B9" t="str">
        <f t="shared" ca="1" si="0"/>
        <v/>
      </c>
      <c r="C9" s="3" cm="1">
        <f t="array" ref="C9">SUMPRODUCT(Tracker!$J$2:$J$5000*((Tracker!$E$2:$E$5000)&gt;=$A9)*((Tracker!$E$2:$E$5000)&lt;$A9+7)*((Tracker!$C$2:$C$5000)=C$2))</f>
        <v>0</v>
      </c>
      <c r="D9" s="3" cm="1">
        <f t="array" ref="D9">SUMPRODUCT(Tracker!$J$2:$J$5000*((Tracker!$E$2:$E$5000)&gt;=$A9)*((Tracker!$E$2:$E$5000)&lt;$A9+7)*((Tracker!$C$2:$C$5000)=D$2))</f>
        <v>0</v>
      </c>
      <c r="E9" s="3" cm="1">
        <f t="array" ref="E9">SUMPRODUCT(Tracker!$J$2:$J$5000*((Tracker!$E$2:$E$5000)&gt;=$A9)*((Tracker!$E$2:$E$5000)&lt;$A9+7)*((Tracker!$C$2:$C$5000)=E$2))</f>
        <v>6.4635775284403705</v>
      </c>
      <c r="F9" s="3" cm="1">
        <f t="array" ref="F9">SUMPRODUCT(Tracker!$J$2:$J$5000*((Tracker!$E$2:$E$5000)&gt;=$A9)*((Tracker!$E$2:$E$5000)&lt;$A9+7)*((Tracker!$C$2:$C$5000)=F$2))</f>
        <v>16.411025579390483</v>
      </c>
      <c r="G9" s="3" cm="1">
        <f t="array" ref="G9">SUMPRODUCT(Tracker!$J$2:$J$5000*((Tracker!$E$2:$E$5000)&gt;=$A9)*((Tracker!$E$2:$E$5000)&lt;$A9+7)*((Tracker!$C$2:$C$5000)=G$2))</f>
        <v>3.1202803137982662</v>
      </c>
      <c r="H9" s="3" cm="1">
        <f t="array" ref="H9">SUMPRODUCT(Tracker!$J$2:$J$5000*((Tracker!$E$2:$E$5000)&gt;=$A9)*((Tracker!$E$2:$E$5000)&lt;$A9+7)*((Tracker!$C$2:$C$5000)=H$2))</f>
        <v>26.663654652890063</v>
      </c>
      <c r="I9" s="3" cm="1">
        <f t="array" ref="I9">SUMPRODUCT(Tracker!$J$2:$J$5000*((Tracker!$E$2:$E$5000)&gt;=$A9)*((Tracker!$E$2:$E$5000)&lt;$A9+7)*((Tracker!$C$2:$C$5000)=I$2))</f>
        <v>2.9654540449206732</v>
      </c>
      <c r="J9" s="3" cm="1">
        <f t="array" ref="J9">SUMPRODUCT(Tracker!$J$2:$J$5000*((Tracker!$E$2:$E$5000)&gt;=$A9)*((Tracker!$E$2:$E$5000)&lt;$A9+7)*((Tracker!$C$2:$C$5000)=J$2))</f>
        <v>0</v>
      </c>
      <c r="K9" s="3" cm="1">
        <f t="array" ref="K9">SUMPRODUCT(Tracker!$J$2:$J$5000*((Tracker!$E$2:$E$5000)&gt;=$A9)*((Tracker!$E$2:$E$5000)&lt;$A9+7)*((Tracker!$C$2:$C$5000)=K$2))</f>
        <v>0</v>
      </c>
      <c r="L9" s="3" cm="1">
        <f t="array" ref="L9">SUMPRODUCT(Tracker!$J$2:$J$5000*((Tracker!$E$2:$E$5000)&gt;=$A9)*((Tracker!$E$2:$E$5000)&lt;$A9+7)*((Tracker!$C$2:$C$5000)=L$2))</f>
        <v>0</v>
      </c>
      <c r="M9" s="3" cm="1">
        <f t="array" ref="M9">SUMPRODUCT(Tracker!$J$2:$J$5000*((Tracker!$E$2:$E$5000)&gt;=$A9)*((Tracker!$E$2:$E$5000)&lt;$A9+7)*((Tracker!$C$2:$C$5000)=M$2))</f>
        <v>0</v>
      </c>
      <c r="O9" s="37">
        <f t="shared" si="1"/>
        <v>0.74072771744526844</v>
      </c>
      <c r="P9" s="37">
        <f t="shared" si="2"/>
        <v>1.2290103647749873</v>
      </c>
      <c r="Q9" s="37">
        <f t="shared" si="3"/>
        <v>1.2360887137653302</v>
      </c>
    </row>
    <row r="10" spans="1:19" x14ac:dyDescent="0.35">
      <c r="A10" s="5">
        <f t="shared" si="4"/>
        <v>44157</v>
      </c>
      <c r="B10" t="str">
        <f t="shared" ca="1" si="0"/>
        <v/>
      </c>
      <c r="C10" s="3" cm="1">
        <f t="array" ref="C10">SUMPRODUCT(Tracker!$J$2:$J$5000*((Tracker!$E$2:$E$5000)&gt;=$A10)*((Tracker!$E$2:$E$5000)&lt;$A10+7)*((Tracker!$C$2:$C$5000)=C$2))</f>
        <v>16.097460464754224</v>
      </c>
      <c r="D10" s="3" cm="1">
        <f t="array" ref="D10">SUMPRODUCT(Tracker!$J$2:$J$5000*((Tracker!$E$2:$E$5000)&gt;=$A10)*((Tracker!$E$2:$E$5000)&lt;$A10+7)*((Tracker!$C$2:$C$5000)=D$2))</f>
        <v>8.0487302323771122</v>
      </c>
      <c r="E10" s="3" cm="1">
        <f t="array" ref="E10">SUMPRODUCT(Tracker!$J$2:$J$5000*((Tracker!$E$2:$E$5000)&gt;=$A10)*((Tracker!$E$2:$E$5000)&lt;$A10+7)*((Tracker!$C$2:$C$5000)=E$2))</f>
        <v>1.756467691163613</v>
      </c>
      <c r="F10" s="3" cm="1">
        <f t="array" ref="F10">SUMPRODUCT(Tracker!$J$2:$J$5000*((Tracker!$E$2:$E$5000)&gt;=$A10)*((Tracker!$E$2:$E$5000)&lt;$A10+7)*((Tracker!$C$2:$C$5000)=F$2))</f>
        <v>11.264868687755362</v>
      </c>
      <c r="G10" s="3" cm="1">
        <f t="array" ref="G10">SUMPRODUCT(Tracker!$J$2:$J$5000*((Tracker!$E$2:$E$5000)&gt;=$A10)*((Tracker!$E$2:$E$5000)&lt;$A10+7)*((Tracker!$C$2:$C$5000)=G$2))</f>
        <v>0.42339674665839</v>
      </c>
      <c r="H10" s="3" cm="1">
        <f t="array" ref="H10">SUMPRODUCT(Tracker!$J$2:$J$5000*((Tracker!$E$2:$E$5000)&gt;=$A10)*((Tracker!$E$2:$E$5000)&lt;$A10+7)*((Tracker!$C$2:$C$5000)=H$2))</f>
        <v>12.611913122878418</v>
      </c>
      <c r="I10" s="3" cm="1">
        <f t="array" ref="I10">SUMPRODUCT(Tracker!$J$2:$J$5000*((Tracker!$E$2:$E$5000)&gt;=$A10)*((Tracker!$E$2:$E$5000)&lt;$A10+7)*((Tracker!$C$2:$C$5000)=I$2))</f>
        <v>1.4389899987678516</v>
      </c>
      <c r="J10" s="3" cm="1">
        <f t="array" ref="J10">SUMPRODUCT(Tracker!$J$2:$J$5000*((Tracker!$E$2:$E$5000)&gt;=$A10)*((Tracker!$E$2:$E$5000)&lt;$A10+7)*((Tracker!$C$2:$C$5000)=J$2))</f>
        <v>0</v>
      </c>
      <c r="K10" s="3" cm="1">
        <f t="array" ref="K10">SUMPRODUCT(Tracker!$J$2:$J$5000*((Tracker!$E$2:$E$5000)&gt;=$A10)*((Tracker!$E$2:$E$5000)&lt;$A10+7)*((Tracker!$C$2:$C$5000)=K$2))</f>
        <v>0</v>
      </c>
      <c r="L10" s="3" cm="1">
        <f t="array" ref="L10">SUMPRODUCT(Tracker!$J$2:$J$5000*((Tracker!$E$2:$E$5000)&gt;=$A10)*((Tracker!$E$2:$E$5000)&lt;$A10+7)*((Tracker!$C$2:$C$5000)=L$2))</f>
        <v>0</v>
      </c>
      <c r="M10" s="3" cm="1">
        <f t="array" ref="M10">SUMPRODUCT(Tracker!$J$2:$J$5000*((Tracker!$E$2:$E$5000)&gt;=$A10)*((Tracker!$E$2:$E$5000)&lt;$A10+7)*((Tracker!$C$2:$C$5000)=M$2))</f>
        <v>0</v>
      </c>
      <c r="O10" s="37">
        <f t="shared" si="1"/>
        <v>0.88627930696150325</v>
      </c>
      <c r="P10" s="37">
        <f t="shared" si="2"/>
        <v>1.2471339813297839</v>
      </c>
      <c r="Q10" s="37">
        <f t="shared" si="3"/>
        <v>1.1475961543189994</v>
      </c>
      <c r="S10" s="7">
        <v>0.161</v>
      </c>
    </row>
    <row r="11" spans="1:19" x14ac:dyDescent="0.35">
      <c r="A11" s="5">
        <f t="shared" si="4"/>
        <v>44164</v>
      </c>
      <c r="B11" t="str">
        <f t="shared" ca="1" si="0"/>
        <v/>
      </c>
      <c r="C11" s="3" cm="1">
        <f t="array" ref="C11">SUMPRODUCT(Tracker!$J$2:$J$5000*((Tracker!$E$2:$E$5000)&gt;=$A11)*((Tracker!$E$2:$E$5000)&lt;$A11+7)*((Tracker!$C$2:$C$5000)=C$2))</f>
        <v>0</v>
      </c>
      <c r="D11" s="3" cm="1">
        <f t="array" ref="D11">SUMPRODUCT(Tracker!$J$2:$J$5000*((Tracker!$E$2:$E$5000)&gt;=$A11)*((Tracker!$E$2:$E$5000)&lt;$A11+7)*((Tracker!$C$2:$C$5000)=D$2))</f>
        <v>0</v>
      </c>
      <c r="E11" s="3" cm="1">
        <f t="array" ref="E11">SUMPRODUCT(Tracker!$J$2:$J$5000*((Tracker!$E$2:$E$5000)&gt;=$A11)*((Tracker!$E$2:$E$5000)&lt;$A11+7)*((Tracker!$C$2:$C$5000)=E$2))</f>
        <v>5.1746628118981661</v>
      </c>
      <c r="F11" s="3" cm="1">
        <f t="array" ref="F11">SUMPRODUCT(Tracker!$J$2:$J$5000*((Tracker!$E$2:$E$5000)&gt;=$A11)*((Tracker!$E$2:$E$5000)&lt;$A11+7)*((Tracker!$C$2:$C$5000)=F$2))</f>
        <v>11.980590844224469</v>
      </c>
      <c r="G11" s="3" cm="1">
        <f t="array" ref="G11">SUMPRODUCT(Tracker!$J$2:$J$5000*((Tracker!$E$2:$E$5000)&gt;=$A11)*((Tracker!$E$2:$E$5000)&lt;$A11+7)*((Tracker!$C$2:$C$5000)=G$2))</f>
        <v>1.950978671920089</v>
      </c>
      <c r="H11" s="3" cm="1">
        <f t="array" ref="H11">SUMPRODUCT(Tracker!$J$2:$J$5000*((Tracker!$E$2:$E$5000)&gt;=$A11)*((Tracker!$E$2:$E$5000)&lt;$A11+7)*((Tracker!$C$2:$C$5000)=H$2))</f>
        <v>31.65079322942853</v>
      </c>
      <c r="I11" s="3" cm="1">
        <f t="array" ref="I11">SUMPRODUCT(Tracker!$J$2:$J$5000*((Tracker!$E$2:$E$5000)&gt;=$A11)*((Tracker!$E$2:$E$5000)&lt;$A11+7)*((Tracker!$C$2:$C$5000)=I$2))</f>
        <v>2.9145905414259561</v>
      </c>
      <c r="J11" s="3" cm="1">
        <f t="array" ref="J11">SUMPRODUCT(Tracker!$J$2:$J$5000*((Tracker!$E$2:$E$5000)&gt;=$A11)*((Tracker!$E$2:$E$5000)&lt;$A11+7)*((Tracker!$C$2:$C$5000)=J$2))</f>
        <v>0</v>
      </c>
      <c r="K11" s="3" cm="1">
        <f t="array" ref="K11">SUMPRODUCT(Tracker!$J$2:$J$5000*((Tracker!$E$2:$E$5000)&gt;=$A11)*((Tracker!$E$2:$E$5000)&lt;$A11+7)*((Tracker!$C$2:$C$5000)=K$2))</f>
        <v>0</v>
      </c>
      <c r="L11" s="3" cm="1">
        <f t="array" ref="L11">SUMPRODUCT(Tracker!$J$2:$J$5000*((Tracker!$E$2:$E$5000)&gt;=$A11)*((Tracker!$E$2:$E$5000)&lt;$A11+7)*((Tracker!$C$2:$C$5000)=L$2))</f>
        <v>0</v>
      </c>
      <c r="M11" s="3" cm="1">
        <f t="array" ref="M11">SUMPRODUCT(Tracker!$J$2:$J$5000*((Tracker!$E$2:$E$5000)&gt;=$A11)*((Tracker!$E$2:$E$5000)&lt;$A11+7)*((Tracker!$C$2:$C$5000)=M$2))</f>
        <v>0</v>
      </c>
      <c r="O11" s="37">
        <f t="shared" si="1"/>
        <v>0.86413459427136219</v>
      </c>
      <c r="P11" s="37">
        <f t="shared" si="2"/>
        <v>1.2124238321749761</v>
      </c>
      <c r="Q11" s="37">
        <f t="shared" si="3"/>
        <v>1.1927025799754936</v>
      </c>
    </row>
    <row r="12" spans="1:19" x14ac:dyDescent="0.35">
      <c r="A12" s="5">
        <f t="shared" si="4"/>
        <v>44171</v>
      </c>
      <c r="B12" t="str">
        <f t="shared" ca="1" si="0"/>
        <v/>
      </c>
      <c r="C12" s="3" cm="1">
        <f t="array" ref="C12">SUMPRODUCT(Tracker!$J$2:$J$5000*((Tracker!$E$2:$E$5000)&gt;=$A12)*((Tracker!$E$2:$E$5000)&lt;$A12+7)*((Tracker!$C$2:$C$5000)=C$2))</f>
        <v>0</v>
      </c>
      <c r="D12" s="3" cm="1">
        <f t="array" ref="D12">SUMPRODUCT(Tracker!$J$2:$J$5000*((Tracker!$E$2:$E$5000)&gt;=$A12)*((Tracker!$E$2:$E$5000)&lt;$A12+7)*((Tracker!$C$2:$C$5000)=D$2))</f>
        <v>0</v>
      </c>
      <c r="E12" s="3" cm="1">
        <f t="array" ref="E12">SUMPRODUCT(Tracker!$J$2:$J$5000*((Tracker!$E$2:$E$5000)&gt;=$A12)*((Tracker!$E$2:$E$5000)&lt;$A12+7)*((Tracker!$C$2:$C$5000)=E$2))</f>
        <v>7.0493462282248052</v>
      </c>
      <c r="F12" s="3" cm="1">
        <f t="array" ref="F12">SUMPRODUCT(Tracker!$J$2:$J$5000*((Tracker!$E$2:$E$5000)&gt;=$A12)*((Tracker!$E$2:$E$5000)&lt;$A12+7)*((Tracker!$C$2:$C$5000)=F$2))</f>
        <v>7.711130714440376</v>
      </c>
      <c r="G12" s="3" cm="1">
        <f t="array" ref="G12">SUMPRODUCT(Tracker!$J$2:$J$5000*((Tracker!$E$2:$E$5000)&gt;=$A12)*((Tracker!$E$2:$E$5000)&lt;$A12+7)*((Tracker!$C$2:$C$5000)=G$2))</f>
        <v>3.8946911294567883</v>
      </c>
      <c r="H12" s="3" cm="1">
        <f t="array" ref="H12">SUMPRODUCT(Tracker!$J$2:$J$5000*((Tracker!$E$2:$E$5000)&gt;=$A12)*((Tracker!$E$2:$E$5000)&lt;$A12+7)*((Tracker!$C$2:$C$5000)=H$2))</f>
        <v>26.083475349177085</v>
      </c>
      <c r="I12" s="3" cm="1">
        <f t="array" ref="I12">SUMPRODUCT(Tracker!$J$2:$J$5000*((Tracker!$E$2:$E$5000)&gt;=$A12)*((Tracker!$E$2:$E$5000)&lt;$A12+7)*((Tracker!$C$2:$C$5000)=I$2))</f>
        <v>7.5686011161118065</v>
      </c>
      <c r="J12" s="3" cm="1">
        <f t="array" ref="J12">SUMPRODUCT(Tracker!$J$2:$J$5000*((Tracker!$E$2:$E$5000)&gt;=$A12)*((Tracker!$E$2:$E$5000)&lt;$A12+7)*((Tracker!$C$2:$C$5000)=J$2))</f>
        <v>0</v>
      </c>
      <c r="K12" s="3" cm="1">
        <f t="array" ref="K12">SUMPRODUCT(Tracker!$J$2:$J$5000*((Tracker!$E$2:$E$5000)&gt;=$A12)*((Tracker!$E$2:$E$5000)&lt;$A12+7)*((Tracker!$C$2:$C$5000)=K$2))</f>
        <v>0</v>
      </c>
      <c r="L12" s="3" cm="1">
        <f t="array" ref="L12">SUMPRODUCT(Tracker!$J$2:$J$5000*((Tracker!$E$2:$E$5000)&gt;=$A12)*((Tracker!$E$2:$E$5000)&lt;$A12+7)*((Tracker!$C$2:$C$5000)=L$2))</f>
        <v>0</v>
      </c>
      <c r="M12" s="3" cm="1">
        <f t="array" ref="M12">SUMPRODUCT(Tracker!$J$2:$J$5000*((Tracker!$E$2:$E$5000)&gt;=$A12)*((Tracker!$E$2:$E$5000)&lt;$A12+7)*((Tracker!$C$2:$C$5000)=M$2))</f>
        <v>0</v>
      </c>
      <c r="O12" s="37">
        <f t="shared" si="1"/>
        <v>0.84130191163222234</v>
      </c>
      <c r="P12" s="37">
        <f t="shared" si="2"/>
        <v>1.1314474577296516</v>
      </c>
      <c r="Q12" s="37">
        <f t="shared" si="3"/>
        <v>1.1623832119424637</v>
      </c>
    </row>
    <row r="13" spans="1:19" x14ac:dyDescent="0.35">
      <c r="A13" s="5">
        <f t="shared" si="4"/>
        <v>44178</v>
      </c>
      <c r="B13" t="str">
        <f t="shared" ca="1" si="0"/>
        <v/>
      </c>
      <c r="C13" s="3" cm="1">
        <f t="array" ref="C13">SUMPRODUCT(Tracker!$J$2:$J$5000*((Tracker!$E$2:$E$5000)&gt;=$A13)*((Tracker!$E$2:$E$5000)&lt;$A13+7)*((Tracker!$C$2:$C$5000)=C$2))</f>
        <v>0</v>
      </c>
      <c r="D13" s="3" cm="1">
        <f t="array" ref="D13">SUMPRODUCT(Tracker!$J$2:$J$5000*((Tracker!$E$2:$E$5000)&gt;=$A13)*((Tracker!$E$2:$E$5000)&lt;$A13+7)*((Tracker!$C$2:$C$5000)=D$2))</f>
        <v>0</v>
      </c>
      <c r="E13" s="3" cm="1">
        <f t="array" ref="E13">SUMPRODUCT(Tracker!$J$2:$J$5000*((Tracker!$E$2:$E$5000)&gt;=$A13)*((Tracker!$E$2:$E$5000)&lt;$A13+7)*((Tracker!$C$2:$C$5000)=E$2))</f>
        <v>6.6896685960430302</v>
      </c>
      <c r="F13" s="3" cm="1">
        <f t="array" ref="F13">SUMPRODUCT(Tracker!$J$2:$J$5000*((Tracker!$E$2:$E$5000)&gt;=$A13)*((Tracker!$E$2:$E$5000)&lt;$A13+7)*((Tracker!$C$2:$C$5000)=F$2))</f>
        <v>12.808100921946838</v>
      </c>
      <c r="G13" s="3" cm="1">
        <f t="array" ref="G13">SUMPRODUCT(Tracker!$J$2:$J$5000*((Tracker!$E$2:$E$5000)&gt;=$A13)*((Tracker!$E$2:$E$5000)&lt;$A13+7)*((Tracker!$C$2:$C$5000)=G$2))</f>
        <v>1.1243070041442831</v>
      </c>
      <c r="H13" s="3" cm="1">
        <f t="array" ref="H13">SUMPRODUCT(Tracker!$J$2:$J$5000*((Tracker!$E$2:$E$5000)&gt;=$A13)*((Tracker!$E$2:$E$5000)&lt;$A13+7)*((Tracker!$C$2:$C$5000)=H$2))</f>
        <v>28.939097762602692</v>
      </c>
      <c r="I13" s="3" cm="1">
        <f t="array" ref="I13">SUMPRODUCT(Tracker!$J$2:$J$5000*((Tracker!$E$2:$E$5000)&gt;=$A13)*((Tracker!$E$2:$E$5000)&lt;$A13+7)*((Tracker!$C$2:$C$5000)=I$2))</f>
        <v>7.7443876204769362</v>
      </c>
      <c r="J13" s="3" cm="1">
        <f t="array" ref="J13">SUMPRODUCT(Tracker!$J$2:$J$5000*((Tracker!$E$2:$E$5000)&gt;=$A13)*((Tracker!$E$2:$E$5000)&lt;$A13+7)*((Tracker!$C$2:$C$5000)=J$2))</f>
        <v>0</v>
      </c>
      <c r="K13" s="3" cm="1">
        <f t="array" ref="K13">SUMPRODUCT(Tracker!$J$2:$J$5000*((Tracker!$E$2:$E$5000)&gt;=$A13)*((Tracker!$E$2:$E$5000)&lt;$A13+7)*((Tracker!$C$2:$C$5000)=K$2))</f>
        <v>0</v>
      </c>
      <c r="L13" s="3" cm="1">
        <f t="array" ref="L13">SUMPRODUCT(Tracker!$J$2:$J$5000*((Tracker!$E$2:$E$5000)&gt;=$A13)*((Tracker!$E$2:$E$5000)&lt;$A13+7)*((Tracker!$C$2:$C$5000)=L$2))</f>
        <v>0</v>
      </c>
      <c r="M13" s="3" cm="1">
        <f t="array" ref="M13">SUMPRODUCT(Tracker!$J$2:$J$5000*((Tracker!$E$2:$E$5000)&gt;=$A13)*((Tracker!$E$2:$E$5000)&lt;$A13+7)*((Tracker!$C$2:$C$5000)=M$2))</f>
        <v>0</v>
      </c>
      <c r="O13" s="37">
        <f t="shared" si="1"/>
        <v>0.91708713457699065</v>
      </c>
      <c r="P13" s="37">
        <f t="shared" si="2"/>
        <v>1.2653973327292687</v>
      </c>
      <c r="Q13" s="37">
        <f t="shared" si="3"/>
        <v>1.2734569312269728</v>
      </c>
    </row>
    <row r="14" spans="1:19" x14ac:dyDescent="0.35">
      <c r="A14" s="5">
        <f t="shared" si="4"/>
        <v>44185</v>
      </c>
      <c r="B14" t="str">
        <f t="shared" ca="1" si="0"/>
        <v/>
      </c>
      <c r="C14" s="3" cm="1">
        <f t="array" ref="C14">SUMPRODUCT(Tracker!$J$2:$J$5000*((Tracker!$E$2:$E$5000)&gt;=$A14)*((Tracker!$E$2:$E$5000)&lt;$A14+7)*((Tracker!$C$2:$C$5000)=C$2))</f>
        <v>16.097460464754224</v>
      </c>
      <c r="D14" s="3" cm="1">
        <f t="array" ref="D14">SUMPRODUCT(Tracker!$J$2:$J$5000*((Tracker!$E$2:$E$5000)&gt;=$A14)*((Tracker!$E$2:$E$5000)&lt;$A14+7)*((Tracker!$C$2:$C$5000)=D$2))</f>
        <v>24.146190697131338</v>
      </c>
      <c r="E14" s="3" cm="1">
        <f t="array" ref="E14">SUMPRODUCT(Tracker!$J$2:$J$5000*((Tracker!$E$2:$E$5000)&gt;=$A14)*((Tracker!$E$2:$E$5000)&lt;$A14+7)*((Tracker!$C$2:$C$5000)=E$2))</f>
        <v>0</v>
      </c>
      <c r="F14" s="3" cm="1">
        <f t="array" ref="F14">SUMPRODUCT(Tracker!$J$2:$J$5000*((Tracker!$E$2:$E$5000)&gt;=$A14)*((Tracker!$E$2:$E$5000)&lt;$A14+7)*((Tracker!$C$2:$C$5000)=F$2))</f>
        <v>2.3291013109795227</v>
      </c>
      <c r="G14" s="3" cm="1">
        <f t="array" ref="G14">SUMPRODUCT(Tracker!$J$2:$J$5000*((Tracker!$E$2:$E$5000)&gt;=$A14)*((Tracker!$E$2:$E$5000)&lt;$A14+7)*((Tracker!$C$2:$C$5000)=G$2))</f>
        <v>0</v>
      </c>
      <c r="H14" s="3" cm="1">
        <f t="array" ref="H14">SUMPRODUCT(Tracker!$J$2:$J$5000*((Tracker!$E$2:$E$5000)&gt;=$A14)*((Tracker!$E$2:$E$5000)&lt;$A14+7)*((Tracker!$C$2:$C$5000)=H$2))</f>
        <v>9.7255490378237955E-2</v>
      </c>
      <c r="I14" s="3" cm="1">
        <f t="array" ref="I14">SUMPRODUCT(Tracker!$J$2:$J$5000*((Tracker!$E$2:$E$5000)&gt;=$A14)*((Tracker!$E$2:$E$5000)&lt;$A14+7)*((Tracker!$C$2:$C$5000)=I$2))</f>
        <v>0</v>
      </c>
      <c r="J14" s="3" cm="1">
        <f t="array" ref="J14">SUMPRODUCT(Tracker!$J$2:$J$5000*((Tracker!$E$2:$E$5000)&gt;=$A14)*((Tracker!$E$2:$E$5000)&lt;$A14+7)*((Tracker!$C$2:$C$5000)=J$2))</f>
        <v>0</v>
      </c>
      <c r="K14" s="3" cm="1">
        <f t="array" ref="K14">SUMPRODUCT(Tracker!$J$2:$J$5000*((Tracker!$E$2:$E$5000)&gt;=$A14)*((Tracker!$E$2:$E$5000)&lt;$A14+7)*((Tracker!$C$2:$C$5000)=K$2))</f>
        <v>0</v>
      </c>
      <c r="L14" s="3" cm="1">
        <f t="array" ref="L14">SUMPRODUCT(Tracker!$J$2:$J$5000*((Tracker!$E$2:$E$5000)&gt;=$A14)*((Tracker!$E$2:$E$5000)&lt;$A14+7)*((Tracker!$C$2:$C$5000)=L$2))</f>
        <v>0</v>
      </c>
      <c r="M14" s="3" cm="1">
        <f t="array" ref="M14">SUMPRODUCT(Tracker!$J$2:$J$5000*((Tracker!$E$2:$E$5000)&gt;=$A14)*((Tracker!$E$2:$E$5000)&lt;$A14+7)*((Tracker!$C$2:$C$5000)=M$2))</f>
        <v>0</v>
      </c>
      <c r="O14" s="37">
        <f t="shared" si="1"/>
        <v>0</v>
      </c>
      <c r="P14" s="37">
        <f t="shared" si="2"/>
        <v>1.066750199081083</v>
      </c>
      <c r="Q14" s="37">
        <f t="shared" si="3"/>
        <v>0.94822239918318496</v>
      </c>
      <c r="S14" s="7">
        <v>0.161</v>
      </c>
    </row>
    <row r="15" spans="1:19" x14ac:dyDescent="0.35">
      <c r="A15" s="5">
        <f t="shared" si="4"/>
        <v>44192</v>
      </c>
      <c r="B15" t="str">
        <f t="shared" ca="1" si="0"/>
        <v/>
      </c>
      <c r="C15" s="3" cm="1">
        <f t="array" ref="C15">SUMPRODUCT(Tracker!$J$2:$J$5000*((Tracker!$E$2:$E$5000)&gt;=$A15)*((Tracker!$E$2:$E$5000)&lt;$A15+7)*((Tracker!$C$2:$C$5000)=C$2))</f>
        <v>8.0487302323771122</v>
      </c>
      <c r="D15" s="3" cm="1">
        <f t="array" ref="D15">SUMPRODUCT(Tracker!$J$2:$J$5000*((Tracker!$E$2:$E$5000)&gt;=$A15)*((Tracker!$E$2:$E$5000)&lt;$A15+7)*((Tracker!$C$2:$C$5000)=D$2))</f>
        <v>24.146190697131338</v>
      </c>
      <c r="E15" s="3" cm="1">
        <f t="array" ref="E15">SUMPRODUCT(Tracker!$J$2:$J$5000*((Tracker!$E$2:$E$5000)&gt;=$A15)*((Tracker!$E$2:$E$5000)&lt;$A15+7)*((Tracker!$C$2:$C$5000)=E$2))</f>
        <v>1.8573562889092328</v>
      </c>
      <c r="F15" s="3" cm="1">
        <f t="array" ref="F15">SUMPRODUCT(Tracker!$J$2:$J$5000*((Tracker!$E$2:$E$5000)&gt;=$A15)*((Tracker!$E$2:$E$5000)&lt;$A15+7)*((Tracker!$C$2:$C$5000)=F$2))</f>
        <v>3.0478976357886354</v>
      </c>
      <c r="G15" s="3" cm="1">
        <f t="array" ref="G15">SUMPRODUCT(Tracker!$J$2:$J$5000*((Tracker!$E$2:$E$5000)&gt;=$A15)*((Tracker!$E$2:$E$5000)&lt;$A15+7)*((Tracker!$C$2:$C$5000)=G$2))</f>
        <v>0.79034059357492892</v>
      </c>
      <c r="H15" s="3" cm="1">
        <f t="array" ref="H15">SUMPRODUCT(Tracker!$J$2:$J$5000*((Tracker!$E$2:$E$5000)&gt;=$A15)*((Tracker!$E$2:$E$5000)&lt;$A15+7)*((Tracker!$C$2:$C$5000)=H$2))</f>
        <v>2.6795564397224689</v>
      </c>
      <c r="I15" s="3" cm="1">
        <f t="array" ref="I15">SUMPRODUCT(Tracker!$J$2:$J$5000*((Tracker!$E$2:$E$5000)&gt;=$A15)*((Tracker!$E$2:$E$5000)&lt;$A15+7)*((Tracker!$C$2:$C$5000)=I$2))</f>
        <v>1.9286210879856736</v>
      </c>
      <c r="J15" s="3" cm="1">
        <f t="array" ref="J15">SUMPRODUCT(Tracker!$J$2:$J$5000*((Tracker!$E$2:$E$5000)&gt;=$A15)*((Tracker!$E$2:$E$5000)&lt;$A15+7)*((Tracker!$C$2:$C$5000)=J$2))</f>
        <v>0</v>
      </c>
      <c r="K15" s="3" cm="1">
        <f t="array" ref="K15">SUMPRODUCT(Tracker!$J$2:$J$5000*((Tracker!$E$2:$E$5000)&gt;=$A15)*((Tracker!$E$2:$E$5000)&lt;$A15+7)*((Tracker!$C$2:$C$5000)=K$2))</f>
        <v>0</v>
      </c>
      <c r="L15" s="3" cm="1">
        <f t="array" ref="L15">SUMPRODUCT(Tracker!$J$2:$J$5000*((Tracker!$E$2:$E$5000)&gt;=$A15)*((Tracker!$E$2:$E$5000)&lt;$A15+7)*((Tracker!$C$2:$C$5000)=L$2))</f>
        <v>0</v>
      </c>
      <c r="M15" s="3" cm="1">
        <f t="array" ref="M15">SUMPRODUCT(Tracker!$J$2:$J$5000*((Tracker!$E$2:$E$5000)&gt;=$A15)*((Tracker!$E$2:$E$5000)&lt;$A15+7)*((Tracker!$C$2:$C$5000)=M$2))</f>
        <v>0</v>
      </c>
      <c r="O15" s="37">
        <f t="shared" si="1"/>
        <v>0.59040753925609202</v>
      </c>
      <c r="P15" s="37">
        <f t="shared" si="2"/>
        <v>1.016033417164504</v>
      </c>
      <c r="Q15" s="37">
        <f t="shared" si="3"/>
        <v>0.94441539945531983</v>
      </c>
      <c r="S15" s="7">
        <v>8.0500000000000002E-2</v>
      </c>
    </row>
    <row r="16" spans="1:19" x14ac:dyDescent="0.35">
      <c r="A16" s="5">
        <f t="shared" si="4"/>
        <v>44199</v>
      </c>
      <c r="B16" t="str">
        <f t="shared" ca="1" si="0"/>
        <v/>
      </c>
      <c r="C16" s="3" cm="1">
        <f t="array" ref="C16">SUMPRODUCT(Tracker!$J$2:$J$5000*((Tracker!$E$2:$E$5000)&gt;=$A16)*((Tracker!$E$2:$E$5000)&lt;$A16+7)*((Tracker!$C$2:$C$5000)=C$2))</f>
        <v>0</v>
      </c>
      <c r="D16" s="3" cm="1">
        <f t="array" ref="D16">SUMPRODUCT(Tracker!$J$2:$J$5000*((Tracker!$E$2:$E$5000)&gt;=$A16)*((Tracker!$E$2:$E$5000)&lt;$A16+7)*((Tracker!$C$2:$C$5000)=D$2))</f>
        <v>0</v>
      </c>
      <c r="E16" s="3" cm="1">
        <f t="array" ref="E16">SUMPRODUCT(Tracker!$J$2:$J$5000*((Tracker!$E$2:$E$5000)&gt;=$A16)*((Tracker!$E$2:$E$5000)&lt;$A16+7)*((Tracker!$C$2:$C$5000)=E$2))</f>
        <v>9.243463626002649</v>
      </c>
      <c r="F16" s="3" cm="1">
        <f t="array" ref="F16">SUMPRODUCT(Tracker!$J$2:$J$5000*((Tracker!$E$2:$E$5000)&gt;=$A16)*((Tracker!$E$2:$E$5000)&lt;$A16+7)*((Tracker!$C$2:$C$5000)=F$2))</f>
        <v>21.178221423600782</v>
      </c>
      <c r="G16" s="3" cm="1">
        <f t="array" ref="G16">SUMPRODUCT(Tracker!$J$2:$J$5000*((Tracker!$E$2:$E$5000)&gt;=$A16)*((Tracker!$E$2:$E$5000)&lt;$A16+7)*((Tracker!$C$2:$C$5000)=G$2))</f>
        <v>3.2133437576060571</v>
      </c>
      <c r="H16" s="3" cm="1">
        <f t="array" ref="H16">SUMPRODUCT(Tracker!$J$2:$J$5000*((Tracker!$E$2:$E$5000)&gt;=$A16)*((Tracker!$E$2:$E$5000)&lt;$A16+7)*((Tracker!$C$2:$C$5000)=H$2))</f>
        <v>16.463006962872509</v>
      </c>
      <c r="I16" s="3" cm="1">
        <f t="array" ref="I16">SUMPRODUCT(Tracker!$J$2:$J$5000*((Tracker!$E$2:$E$5000)&gt;=$A16)*((Tracker!$E$2:$E$5000)&lt;$A16+7)*((Tracker!$C$2:$C$5000)=I$2))</f>
        <v>11.305391807648254</v>
      </c>
      <c r="J16" s="3" cm="1">
        <f t="array" ref="J16">SUMPRODUCT(Tracker!$J$2:$J$5000*((Tracker!$E$2:$E$5000)&gt;=$A16)*((Tracker!$E$2:$E$5000)&lt;$A16+7)*((Tracker!$C$2:$C$5000)=J$2))</f>
        <v>0</v>
      </c>
      <c r="K16" s="3" cm="1">
        <f t="array" ref="K16">SUMPRODUCT(Tracker!$J$2:$J$5000*((Tracker!$E$2:$E$5000)&gt;=$A16)*((Tracker!$E$2:$E$5000)&lt;$A16+7)*((Tracker!$C$2:$C$5000)=K$2))</f>
        <v>0</v>
      </c>
      <c r="L16" s="3" cm="1">
        <f t="array" ref="L16">SUMPRODUCT(Tracker!$J$2:$J$5000*((Tracker!$E$2:$E$5000)&gt;=$A16)*((Tracker!$E$2:$E$5000)&lt;$A16+7)*((Tracker!$C$2:$C$5000)=L$2))</f>
        <v>0</v>
      </c>
      <c r="M16" s="3" cm="1">
        <f t="array" ref="M16">SUMPRODUCT(Tracker!$J$2:$J$5000*((Tracker!$E$2:$E$5000)&gt;=$A16)*((Tracker!$E$2:$E$5000)&lt;$A16+7)*((Tracker!$C$2:$C$5000)=M$2))</f>
        <v>1.5546904960237469</v>
      </c>
      <c r="O16" s="37">
        <f t="shared" si="1"/>
        <v>0.73307723166361272</v>
      </c>
      <c r="P16" s="37">
        <f t="shared" si="2"/>
        <v>1.3428663611937837</v>
      </c>
      <c r="Q16" s="37">
        <f t="shared" si="3"/>
        <v>1.3990692905278665</v>
      </c>
    </row>
    <row r="17" spans="1:17" x14ac:dyDescent="0.35">
      <c r="A17" s="5">
        <f t="shared" si="4"/>
        <v>44206</v>
      </c>
      <c r="B17" t="str">
        <f t="shared" ca="1" si="0"/>
        <v/>
      </c>
      <c r="C17" s="3" cm="1">
        <f t="array" ref="C17">SUMPRODUCT(Tracker!$J$2:$J$5000*((Tracker!$E$2:$E$5000)&gt;=$A17)*((Tracker!$E$2:$E$5000)&lt;$A17+7)*((Tracker!$C$2:$C$5000)=C$2))</f>
        <v>0</v>
      </c>
      <c r="D17" s="3" cm="1">
        <f t="array" ref="D17">SUMPRODUCT(Tracker!$J$2:$J$5000*((Tracker!$E$2:$E$5000)&gt;=$A17)*((Tracker!$E$2:$E$5000)&lt;$A17+7)*((Tracker!$C$2:$C$5000)=D$2))</f>
        <v>0</v>
      </c>
      <c r="E17" s="3" cm="1">
        <f t="array" ref="E17">SUMPRODUCT(Tracker!$J$2:$J$5000*((Tracker!$E$2:$E$5000)&gt;=$A17)*((Tracker!$E$2:$E$5000)&lt;$A17+7)*((Tracker!$C$2:$C$5000)=E$2))</f>
        <v>5.0150855561929406</v>
      </c>
      <c r="F17" s="3" cm="1">
        <f t="array" ref="F17">SUMPRODUCT(Tracker!$J$2:$J$5000*((Tracker!$E$2:$E$5000)&gt;=$A17)*((Tracker!$E$2:$E$5000)&lt;$A17+7)*((Tracker!$C$2:$C$5000)=F$2))</f>
        <v>24.268039530013112</v>
      </c>
      <c r="G17" s="3" cm="1">
        <f t="array" ref="G17">SUMPRODUCT(Tracker!$J$2:$J$5000*((Tracker!$E$2:$E$5000)&gt;=$A17)*((Tracker!$E$2:$E$5000)&lt;$A17+7)*((Tracker!$C$2:$C$5000)=G$2))</f>
        <v>3.1487862335342545</v>
      </c>
      <c r="H17" s="3" cm="1">
        <f t="array" ref="H17">SUMPRODUCT(Tracker!$J$2:$J$5000*((Tracker!$E$2:$E$5000)&gt;=$A17)*((Tracker!$E$2:$E$5000)&lt;$A17+7)*((Tracker!$C$2:$C$5000)=H$2))</f>
        <v>24.374517524357238</v>
      </c>
      <c r="I17" s="3" cm="1">
        <f t="array" ref="I17">SUMPRODUCT(Tracker!$J$2:$J$5000*((Tracker!$E$2:$E$5000)&gt;=$A17)*((Tracker!$E$2:$E$5000)&lt;$A17+7)*((Tracker!$C$2:$C$5000)=I$2))</f>
        <v>2.9106779636664517</v>
      </c>
      <c r="J17" s="3" cm="1">
        <f t="array" ref="J17">SUMPRODUCT(Tracker!$J$2:$J$5000*((Tracker!$E$2:$E$5000)&gt;=$A17)*((Tracker!$E$2:$E$5000)&lt;$A17+7)*((Tracker!$C$2:$C$5000)=J$2))</f>
        <v>0</v>
      </c>
      <c r="K17" s="3" cm="1">
        <f t="array" ref="K17">SUMPRODUCT(Tracker!$J$2:$J$5000*((Tracker!$E$2:$E$5000)&gt;=$A17)*((Tracker!$E$2:$E$5000)&lt;$A17+7)*((Tracker!$C$2:$C$5000)=K$2))</f>
        <v>0</v>
      </c>
      <c r="L17" s="3" cm="1">
        <f t="array" ref="L17">SUMPRODUCT(Tracker!$J$2:$J$5000*((Tracker!$E$2:$E$5000)&gt;=$A17)*((Tracker!$E$2:$E$5000)&lt;$A17+7)*((Tracker!$C$2:$C$5000)=L$2))</f>
        <v>0</v>
      </c>
      <c r="M17" s="3" cm="1">
        <f t="array" ref="M17">SUMPRODUCT(Tracker!$J$2:$J$5000*((Tracker!$E$2:$E$5000)&gt;=$A17)*((Tracker!$E$2:$E$5000)&lt;$A17+7)*((Tracker!$C$2:$C$5000)=M$2))</f>
        <v>3.510699624285158</v>
      </c>
      <c r="O17" s="37">
        <f t="shared" si="1"/>
        <v>0.76989737780772116</v>
      </c>
      <c r="P17" s="37">
        <f t="shared" si="2"/>
        <v>1.4553180218964052</v>
      </c>
      <c r="Q17" s="37">
        <f t="shared" si="3"/>
        <v>1.4050623651566478</v>
      </c>
    </row>
    <row r="18" spans="1:17" x14ac:dyDescent="0.35">
      <c r="A18" s="5">
        <f t="shared" si="4"/>
        <v>44213</v>
      </c>
      <c r="B18" t="str">
        <f t="shared" ca="1" si="0"/>
        <v/>
      </c>
      <c r="C18" s="3" cm="1">
        <f t="array" ref="C18">SUMPRODUCT(Tracker!$J$2:$J$5000*((Tracker!$E$2:$E$5000)&gt;=$A18)*((Tracker!$E$2:$E$5000)&lt;$A18+7)*((Tracker!$C$2:$C$5000)=C$2))</f>
        <v>0</v>
      </c>
      <c r="D18" s="3" cm="1">
        <f t="array" ref="D18">SUMPRODUCT(Tracker!$J$2:$J$5000*((Tracker!$E$2:$E$5000)&gt;=$A18)*((Tracker!$E$2:$E$5000)&lt;$A18+7)*((Tracker!$C$2:$C$5000)=D$2))</f>
        <v>0</v>
      </c>
      <c r="E18" s="3" cm="1">
        <f t="array" ref="E18">SUMPRODUCT(Tracker!$J$2:$J$5000*((Tracker!$E$2:$E$5000)&gt;=$A18)*((Tracker!$E$2:$E$5000)&lt;$A18+7)*((Tracker!$C$2:$C$5000)=E$2))</f>
        <v>6.342287635640087</v>
      </c>
      <c r="F18" s="3" cm="1">
        <f t="array" ref="F18">SUMPRODUCT(Tracker!$J$2:$J$5000*((Tracker!$E$2:$E$5000)&gt;=$A18)*((Tracker!$E$2:$E$5000)&lt;$A18+7)*((Tracker!$C$2:$C$5000)=F$2))</f>
        <v>13.115517701484272</v>
      </c>
      <c r="G18" s="3" cm="1">
        <f t="array" ref="G18">SUMPRODUCT(Tracker!$J$2:$J$5000*((Tracker!$E$2:$E$5000)&gt;=$A18)*((Tracker!$E$2:$E$5000)&lt;$A18+7)*((Tracker!$C$2:$C$5000)=G$2))</f>
        <v>3.576933966668904</v>
      </c>
      <c r="H18" s="3" cm="1">
        <f t="array" ref="H18">SUMPRODUCT(Tracker!$J$2:$J$5000*((Tracker!$E$2:$E$5000)&gt;=$A18)*((Tracker!$E$2:$E$5000)&lt;$A18+7)*((Tracker!$C$2:$C$5000)=H$2))</f>
        <v>13.52689724658026</v>
      </c>
      <c r="I18" s="3" cm="1">
        <f t="array" ref="I18">SUMPRODUCT(Tracker!$J$2:$J$5000*((Tracker!$E$2:$E$5000)&gt;=$A18)*((Tracker!$E$2:$E$5000)&lt;$A18+7)*((Tracker!$C$2:$C$5000)=I$2))</f>
        <v>1.286120018418637</v>
      </c>
      <c r="J18" s="3" cm="1">
        <f t="array" ref="J18">SUMPRODUCT(Tracker!$J$2:$J$5000*((Tracker!$E$2:$E$5000)&gt;=$A18)*((Tracker!$E$2:$E$5000)&lt;$A18+7)*((Tracker!$C$2:$C$5000)=J$2))</f>
        <v>0</v>
      </c>
      <c r="K18" s="3" cm="1">
        <f t="array" ref="K18">SUMPRODUCT(Tracker!$J$2:$J$5000*((Tracker!$E$2:$E$5000)&gt;=$A18)*((Tracker!$E$2:$E$5000)&lt;$A18+7)*((Tracker!$C$2:$C$5000)=K$2))</f>
        <v>0</v>
      </c>
      <c r="L18" s="3" cm="1">
        <f t="array" ref="L18">SUMPRODUCT(Tracker!$J$2:$J$5000*((Tracker!$E$2:$E$5000)&gt;=$A18)*((Tracker!$E$2:$E$5000)&lt;$A18+7)*((Tracker!$C$2:$C$5000)=L$2))</f>
        <v>0</v>
      </c>
      <c r="M18" s="3" cm="1">
        <f t="array" ref="M18">SUMPRODUCT(Tracker!$J$2:$J$5000*((Tracker!$E$2:$E$5000)&gt;=$A18)*((Tracker!$E$2:$E$5000)&lt;$A18+7)*((Tracker!$C$2:$C$5000)=M$2))</f>
        <v>15.905464711904877</v>
      </c>
      <c r="O18" s="37">
        <f t="shared" si="1"/>
        <v>0.76796204942259438</v>
      </c>
      <c r="P18" s="37">
        <f t="shared" si="2"/>
        <v>1.1852733411264238</v>
      </c>
      <c r="Q18" s="37">
        <f t="shared" si="3"/>
        <v>1.1945160284599341</v>
      </c>
    </row>
    <row r="19" spans="1:17" x14ac:dyDescent="0.35">
      <c r="A19" s="5">
        <f t="shared" si="4"/>
        <v>44220</v>
      </c>
      <c r="B19" t="str">
        <f t="shared" ca="1" si="0"/>
        <v/>
      </c>
      <c r="C19" s="3" cm="1">
        <f t="array" ref="C19">SUMPRODUCT(Tracker!$J$2:$J$5000*((Tracker!$E$2:$E$5000)&gt;=$A19)*((Tracker!$E$2:$E$5000)&lt;$A19+7)*((Tracker!$C$2:$C$5000)=C$2))</f>
        <v>0</v>
      </c>
      <c r="D19" s="3" cm="1">
        <f t="array" ref="D19">SUMPRODUCT(Tracker!$J$2:$J$5000*((Tracker!$E$2:$E$5000)&gt;=$A19)*((Tracker!$E$2:$E$5000)&lt;$A19+7)*((Tracker!$C$2:$C$5000)=D$2))</f>
        <v>0</v>
      </c>
      <c r="E19" s="3" cm="1">
        <f t="array" ref="E19">SUMPRODUCT(Tracker!$J$2:$J$5000*((Tracker!$E$2:$E$5000)&gt;=$A19)*((Tracker!$E$2:$E$5000)&lt;$A19+7)*((Tracker!$C$2:$C$5000)=E$2))</f>
        <v>7.671725472075182</v>
      </c>
      <c r="F19" s="3" cm="1">
        <f t="array" ref="F19">SUMPRODUCT(Tracker!$J$2:$J$5000*((Tracker!$E$2:$E$5000)&gt;=$A19)*((Tracker!$E$2:$E$5000)&lt;$A19+7)*((Tracker!$C$2:$C$5000)=F$2))</f>
        <v>19.5092277803492</v>
      </c>
      <c r="G19" s="3" cm="1">
        <f t="array" ref="G19">SUMPRODUCT(Tracker!$J$2:$J$5000*((Tracker!$E$2:$E$5000)&gt;=$A19)*((Tracker!$E$2:$E$5000)&lt;$A19+7)*((Tracker!$C$2:$C$5000)=G$2))</f>
        <v>2.7821218563070915</v>
      </c>
      <c r="H19" s="3" cm="1">
        <f t="array" ref="H19">SUMPRODUCT(Tracker!$J$2:$J$5000*((Tracker!$E$2:$E$5000)&gt;=$A19)*((Tracker!$E$2:$E$5000)&lt;$A19+7)*((Tracker!$C$2:$C$5000)=H$2))</f>
        <v>16.008589068922372</v>
      </c>
      <c r="I19" s="3" cm="1">
        <f t="array" ref="I19">SUMPRODUCT(Tracker!$J$2:$J$5000*((Tracker!$E$2:$E$5000)&gt;=$A19)*((Tracker!$E$2:$E$5000)&lt;$A19+7)*((Tracker!$C$2:$C$5000)=I$2))</f>
        <v>0</v>
      </c>
      <c r="J19" s="3" cm="1">
        <f t="array" ref="J19">SUMPRODUCT(Tracker!$J$2:$J$5000*((Tracker!$E$2:$E$5000)&gt;=$A19)*((Tracker!$E$2:$E$5000)&lt;$A19+7)*((Tracker!$C$2:$C$5000)=J$2))</f>
        <v>0</v>
      </c>
      <c r="K19" s="3" cm="1">
        <f t="array" ref="K19">SUMPRODUCT(Tracker!$J$2:$J$5000*((Tracker!$E$2:$E$5000)&gt;=$A19)*((Tracker!$E$2:$E$5000)&lt;$A19+7)*((Tracker!$C$2:$C$5000)=K$2))</f>
        <v>0</v>
      </c>
      <c r="L19" s="3" cm="1">
        <f t="array" ref="L19">SUMPRODUCT(Tracker!$J$2:$J$5000*((Tracker!$E$2:$E$5000)&gt;=$A19)*((Tracker!$E$2:$E$5000)&lt;$A19+7)*((Tracker!$C$2:$C$5000)=L$2))</f>
        <v>0</v>
      </c>
      <c r="M19" s="3" cm="1">
        <f t="array" ref="M19">SUMPRODUCT(Tracker!$J$2:$J$5000*((Tracker!$E$2:$E$5000)&gt;=$A19)*((Tracker!$E$2:$E$5000)&lt;$A19+7)*((Tracker!$C$2:$C$5000)=M$2))</f>
        <v>11.070637176863949</v>
      </c>
      <c r="O19" s="37">
        <f t="shared" si="1"/>
        <v>0.67698065614465808</v>
      </c>
      <c r="P19" s="37">
        <f t="shared" si="2"/>
        <v>1.2342643970610654</v>
      </c>
      <c r="Q19" s="37">
        <f t="shared" si="3"/>
        <v>1.2676066967670621</v>
      </c>
    </row>
    <row r="20" spans="1:17" x14ac:dyDescent="0.35">
      <c r="A20" s="5">
        <f t="shared" si="4"/>
        <v>44227</v>
      </c>
      <c r="B20" t="str">
        <f t="shared" ca="1" si="0"/>
        <v/>
      </c>
      <c r="C20" s="3" cm="1">
        <f t="array" ref="C20">SUMPRODUCT(Tracker!$J$2:$J$5000*((Tracker!$E$2:$E$5000)&gt;=$A20)*((Tracker!$E$2:$E$5000)&lt;$A20+7)*((Tracker!$C$2:$C$5000)=C$2))</f>
        <v>0</v>
      </c>
      <c r="D20" s="3" cm="1">
        <f t="array" ref="D20">SUMPRODUCT(Tracker!$J$2:$J$5000*((Tracker!$E$2:$E$5000)&gt;=$A20)*((Tracker!$E$2:$E$5000)&lt;$A20+7)*((Tracker!$C$2:$C$5000)=D$2))</f>
        <v>0</v>
      </c>
      <c r="E20" s="3" cm="1">
        <f t="array" ref="E20">SUMPRODUCT(Tracker!$J$2:$J$5000*((Tracker!$E$2:$E$5000)&gt;=$A20)*((Tracker!$E$2:$E$5000)&lt;$A20+7)*((Tracker!$C$2:$C$5000)=E$2))</f>
        <v>4.9784750123026882</v>
      </c>
      <c r="F20" s="3" cm="1">
        <f t="array" ref="F20">SUMPRODUCT(Tracker!$J$2:$J$5000*((Tracker!$E$2:$E$5000)&gt;=$A20)*((Tracker!$E$2:$E$5000)&lt;$A20+7)*((Tracker!$C$2:$C$5000)=F$2))</f>
        <v>14.260226001385965</v>
      </c>
      <c r="G20" s="3" cm="1">
        <f t="array" ref="G20">SUMPRODUCT(Tracker!$J$2:$J$5000*((Tracker!$E$2:$E$5000)&gt;=$A20)*((Tracker!$E$2:$E$5000)&lt;$A20+7)*((Tracker!$C$2:$C$5000)=G$2))</f>
        <v>5.5002451284481921</v>
      </c>
      <c r="H20" s="3" cm="1">
        <f t="array" ref="H20">SUMPRODUCT(Tracker!$J$2:$J$5000*((Tracker!$E$2:$E$5000)&gt;=$A20)*((Tracker!$E$2:$E$5000)&lt;$A20+7)*((Tracker!$C$2:$C$5000)=H$2))</f>
        <v>17.127027206954459</v>
      </c>
      <c r="I20" s="3" cm="1">
        <f t="array" ref="I20">SUMPRODUCT(Tracker!$J$2:$J$5000*((Tracker!$E$2:$E$5000)&gt;=$A20)*((Tracker!$E$2:$E$5000)&lt;$A20+7)*((Tracker!$C$2:$C$5000)=I$2))</f>
        <v>0</v>
      </c>
      <c r="J20" s="3" cm="1">
        <f t="array" ref="J20">SUMPRODUCT(Tracker!$J$2:$J$5000*((Tracker!$E$2:$E$5000)&gt;=$A20)*((Tracker!$E$2:$E$5000)&lt;$A20+7)*((Tracker!$C$2:$C$5000)=J$2))</f>
        <v>0</v>
      </c>
      <c r="K20" s="3" cm="1">
        <f t="array" ref="K20">SUMPRODUCT(Tracker!$J$2:$J$5000*((Tracker!$E$2:$E$5000)&gt;=$A20)*((Tracker!$E$2:$E$5000)&lt;$A20+7)*((Tracker!$C$2:$C$5000)=K$2))</f>
        <v>0</v>
      </c>
      <c r="L20" s="3" cm="1">
        <f t="array" ref="L20">SUMPRODUCT(Tracker!$J$2:$J$5000*((Tracker!$E$2:$E$5000)&gt;=$A20)*((Tracker!$E$2:$E$5000)&lt;$A20+7)*((Tracker!$C$2:$C$5000)=L$2))</f>
        <v>0</v>
      </c>
      <c r="M20" s="3" cm="1">
        <f t="array" ref="M20">SUMPRODUCT(Tracker!$J$2:$J$5000*((Tracker!$E$2:$E$5000)&gt;=$A20)*((Tracker!$E$2:$E$5000)&lt;$A20+7)*((Tracker!$C$2:$C$5000)=M$2))</f>
        <v>11.883055885210977</v>
      </c>
      <c r="O20" s="37">
        <f t="shared" si="1"/>
        <v>0.72525207730413599</v>
      </c>
      <c r="P20" s="37">
        <f t="shared" si="2"/>
        <v>1.2192638555499899</v>
      </c>
      <c r="Q20" s="37">
        <f t="shared" si="3"/>
        <v>1.194422871873384</v>
      </c>
    </row>
    <row r="21" spans="1:17" x14ac:dyDescent="0.35">
      <c r="A21" s="5">
        <f t="shared" si="4"/>
        <v>44234</v>
      </c>
      <c r="B21" t="str">
        <f t="shared" ca="1" si="0"/>
        <v/>
      </c>
      <c r="C21" s="3" cm="1">
        <f t="array" ref="C21">SUMPRODUCT(Tracker!$J$2:$J$5000*((Tracker!$E$2:$E$5000)&gt;=$A21)*((Tracker!$E$2:$E$5000)&lt;$A21+7)*((Tracker!$C$2:$C$5000)=C$2))</f>
        <v>0</v>
      </c>
      <c r="D21" s="3" cm="1">
        <f t="array" ref="D21">SUMPRODUCT(Tracker!$J$2:$J$5000*((Tracker!$E$2:$E$5000)&gt;=$A21)*((Tracker!$E$2:$E$5000)&lt;$A21+7)*((Tracker!$C$2:$C$5000)=D$2))</f>
        <v>0</v>
      </c>
      <c r="E21" s="3" cm="1">
        <f t="array" ref="E21">SUMPRODUCT(Tracker!$J$2:$J$5000*((Tracker!$E$2:$E$5000)&gt;=$A21)*((Tracker!$E$2:$E$5000)&lt;$A21+7)*((Tracker!$C$2:$C$5000)=E$2))</f>
        <v>6.9230258790832018</v>
      </c>
      <c r="F21" s="3" cm="1">
        <f t="array" ref="F21">SUMPRODUCT(Tracker!$J$2:$J$5000*((Tracker!$E$2:$E$5000)&gt;=$A21)*((Tracker!$E$2:$E$5000)&lt;$A21+7)*((Tracker!$C$2:$C$5000)=F$2))</f>
        <v>8.3631337564328714</v>
      </c>
      <c r="G21" s="3" cm="1">
        <f t="array" ref="G21">SUMPRODUCT(Tracker!$J$2:$J$5000*((Tracker!$E$2:$E$5000)&gt;=$A21)*((Tracker!$E$2:$E$5000)&lt;$A21+7)*((Tracker!$C$2:$C$5000)=G$2))</f>
        <v>2.1860127732722026</v>
      </c>
      <c r="H21" s="3" cm="1">
        <f t="array" ref="H21">SUMPRODUCT(Tracker!$J$2:$J$5000*((Tracker!$E$2:$E$5000)&gt;=$A21)*((Tracker!$E$2:$E$5000)&lt;$A21+7)*((Tracker!$C$2:$C$5000)=H$2))</f>
        <v>28.061562591332166</v>
      </c>
      <c r="I21" s="3" cm="1">
        <f t="array" ref="I21">SUMPRODUCT(Tracker!$J$2:$J$5000*((Tracker!$E$2:$E$5000)&gt;=$A21)*((Tracker!$E$2:$E$5000)&lt;$A21+7)*((Tracker!$C$2:$C$5000)=I$2))</f>
        <v>0.95969929244910901</v>
      </c>
      <c r="J21" s="3" cm="1">
        <f t="array" ref="J21">SUMPRODUCT(Tracker!$J$2:$J$5000*((Tracker!$E$2:$E$5000)&gt;=$A21)*((Tracker!$E$2:$E$5000)&lt;$A21+7)*((Tracker!$C$2:$C$5000)=J$2))</f>
        <v>0</v>
      </c>
      <c r="K21" s="3" cm="1">
        <f t="array" ref="K21">SUMPRODUCT(Tracker!$J$2:$J$5000*((Tracker!$E$2:$E$5000)&gt;=$A21)*((Tracker!$E$2:$E$5000)&lt;$A21+7)*((Tracker!$C$2:$C$5000)=K$2))</f>
        <v>0</v>
      </c>
      <c r="L21" s="3" cm="1">
        <f t="array" ref="L21">SUMPRODUCT(Tracker!$J$2:$J$5000*((Tracker!$E$2:$E$5000)&gt;=$A21)*((Tracker!$E$2:$E$5000)&lt;$A21+7)*((Tracker!$C$2:$C$5000)=L$2))</f>
        <v>0</v>
      </c>
      <c r="M21" s="3" cm="1">
        <f t="array" ref="M21">SUMPRODUCT(Tracker!$J$2:$J$5000*((Tracker!$E$2:$E$5000)&gt;=$A21)*((Tracker!$E$2:$E$5000)&lt;$A21+7)*((Tracker!$C$2:$C$5000)=M$2))</f>
        <v>0.18137590008520257</v>
      </c>
      <c r="O21" s="37">
        <f t="shared" si="1"/>
        <v>0.73006594459666196</v>
      </c>
      <c r="P21" s="37">
        <f t="shared" si="2"/>
        <v>0.99379460783928875</v>
      </c>
      <c r="Q21" s="37">
        <f t="shared" si="3"/>
        <v>1.0372180042812167</v>
      </c>
    </row>
    <row r="22" spans="1:17" x14ac:dyDescent="0.35">
      <c r="A22" s="5">
        <f t="shared" si="4"/>
        <v>44241</v>
      </c>
      <c r="B22" t="str">
        <f t="shared" ca="1" si="0"/>
        <v/>
      </c>
      <c r="C22" s="3" cm="1">
        <f t="array" ref="C22">SUMPRODUCT(Tracker!$J$2:$J$5000*((Tracker!$E$2:$E$5000)&gt;=$A22)*((Tracker!$E$2:$E$5000)&lt;$A22+7)*((Tracker!$C$2:$C$5000)=C$2))</f>
        <v>0</v>
      </c>
      <c r="D22" s="3" cm="1">
        <f t="array" ref="D22">SUMPRODUCT(Tracker!$J$2:$J$5000*((Tracker!$E$2:$E$5000)&gt;=$A22)*((Tracker!$E$2:$E$5000)&lt;$A22+7)*((Tracker!$C$2:$C$5000)=D$2))</f>
        <v>0</v>
      </c>
      <c r="E22" s="3" cm="1">
        <f t="array" ref="E22">SUMPRODUCT(Tracker!$J$2:$J$5000*((Tracker!$E$2:$E$5000)&gt;=$A22)*((Tracker!$E$2:$E$5000)&lt;$A22+7)*((Tracker!$C$2:$C$5000)=E$2))</f>
        <v>2.7077828895933949</v>
      </c>
      <c r="F22" s="3" cm="1">
        <f t="array" ref="F22">SUMPRODUCT(Tracker!$J$2:$J$5000*((Tracker!$E$2:$E$5000)&gt;=$A22)*((Tracker!$E$2:$E$5000)&lt;$A22+7)*((Tracker!$C$2:$C$5000)=F$2))</f>
        <v>19.754602263897649</v>
      </c>
      <c r="G22" s="3" cm="1">
        <f t="array" ref="G22">SUMPRODUCT(Tracker!$J$2:$J$5000*((Tracker!$E$2:$E$5000)&gt;=$A22)*((Tracker!$E$2:$E$5000)&lt;$A22+7)*((Tracker!$C$2:$C$5000)=G$2))</f>
        <v>2.6211472516279257</v>
      </c>
      <c r="H22" s="3" cm="1">
        <f t="array" ref="H22">SUMPRODUCT(Tracker!$J$2:$J$5000*((Tracker!$E$2:$E$5000)&gt;=$A22)*((Tracker!$E$2:$E$5000)&lt;$A22+7)*((Tracker!$C$2:$C$5000)=H$2))</f>
        <v>7.5356236801159957</v>
      </c>
      <c r="I22" s="3" cm="1">
        <f t="array" ref="I22">SUMPRODUCT(Tracker!$J$2:$J$5000*((Tracker!$E$2:$E$5000)&gt;=$A22)*((Tracker!$E$2:$E$5000)&lt;$A22+7)*((Tracker!$C$2:$C$5000)=I$2))</f>
        <v>0</v>
      </c>
      <c r="J22" s="3" cm="1">
        <f t="array" ref="J22">SUMPRODUCT(Tracker!$J$2:$J$5000*((Tracker!$E$2:$E$5000)&gt;=$A22)*((Tracker!$E$2:$E$5000)&lt;$A22+7)*((Tracker!$C$2:$C$5000)=J$2))</f>
        <v>0</v>
      </c>
      <c r="K22" s="3" cm="1">
        <f t="array" ref="K22">SUMPRODUCT(Tracker!$J$2:$J$5000*((Tracker!$E$2:$E$5000)&gt;=$A22)*((Tracker!$E$2:$E$5000)&lt;$A22+7)*((Tracker!$C$2:$C$5000)=K$2))</f>
        <v>0</v>
      </c>
      <c r="L22" s="3" cm="1">
        <f t="array" ref="L22">SUMPRODUCT(Tracker!$J$2:$J$5000*((Tracker!$E$2:$E$5000)&gt;=$A22)*((Tracker!$E$2:$E$5000)&lt;$A22+7)*((Tracker!$C$2:$C$5000)=L$2))</f>
        <v>0</v>
      </c>
      <c r="M22" s="3" cm="1">
        <f t="array" ref="M22">SUMPRODUCT(Tracker!$J$2:$J$5000*((Tracker!$E$2:$E$5000)&gt;=$A22)*((Tracker!$E$2:$E$5000)&lt;$A22+7)*((Tracker!$C$2:$C$5000)=M$2))</f>
        <v>9.1288810083826899</v>
      </c>
      <c r="O22" s="37">
        <f t="shared" si="1"/>
        <v>0.41661261721246712</v>
      </c>
      <c r="P22" s="37">
        <f t="shared" si="2"/>
        <v>0.9760063551006064</v>
      </c>
      <c r="Q22" s="37">
        <f t="shared" si="3"/>
        <v>0.92773415763594791</v>
      </c>
    </row>
    <row r="23" spans="1:17" x14ac:dyDescent="0.35">
      <c r="A23" s="5">
        <f t="shared" si="4"/>
        <v>44248</v>
      </c>
      <c r="B23" t="str">
        <f t="shared" ca="1" si="0"/>
        <v/>
      </c>
      <c r="C23" s="3" cm="1">
        <f t="array" ref="C23">SUMPRODUCT(Tracker!$J$2:$J$5000*((Tracker!$E$2:$E$5000)&gt;=$A23)*((Tracker!$E$2:$E$5000)&lt;$A23+7)*((Tracker!$C$2:$C$5000)=C$2))</f>
        <v>0</v>
      </c>
      <c r="D23" s="3" cm="1">
        <f t="array" ref="D23">SUMPRODUCT(Tracker!$J$2:$J$5000*((Tracker!$E$2:$E$5000)&gt;=$A23)*((Tracker!$E$2:$E$5000)&lt;$A23+7)*((Tracker!$C$2:$C$5000)=D$2))</f>
        <v>0</v>
      </c>
      <c r="E23" s="3" cm="1">
        <f t="array" ref="E23">SUMPRODUCT(Tracker!$J$2:$J$5000*((Tracker!$E$2:$E$5000)&gt;=$A23)*((Tracker!$E$2:$E$5000)&lt;$A23+7)*((Tracker!$C$2:$C$5000)=E$2))</f>
        <v>7.3494967935545343</v>
      </c>
      <c r="F23" s="3" cm="1">
        <f t="array" ref="F23">SUMPRODUCT(Tracker!$J$2:$J$5000*((Tracker!$E$2:$E$5000)&gt;=$A23)*((Tracker!$E$2:$E$5000)&lt;$A23+7)*((Tracker!$C$2:$C$5000)=F$2))</f>
        <v>11.788874561942935</v>
      </c>
      <c r="G23" s="3" cm="1">
        <f t="array" ref="G23">SUMPRODUCT(Tracker!$J$2:$J$5000*((Tracker!$E$2:$E$5000)&gt;=$A23)*((Tracker!$E$2:$E$5000)&lt;$A23+7)*((Tracker!$C$2:$C$5000)=G$2))</f>
        <v>4.8974287705843524</v>
      </c>
      <c r="H23" s="3" cm="1">
        <f t="array" ref="H23">SUMPRODUCT(Tracker!$J$2:$J$5000*((Tracker!$E$2:$E$5000)&gt;=$A23)*((Tracker!$E$2:$E$5000)&lt;$A23+7)*((Tracker!$C$2:$C$5000)=H$2))</f>
        <v>9.9519195682640529</v>
      </c>
      <c r="I23" s="3" cm="1">
        <f t="array" ref="I23">SUMPRODUCT(Tracker!$J$2:$J$5000*((Tracker!$E$2:$E$5000)&gt;=$A23)*((Tracker!$E$2:$E$5000)&lt;$A23+7)*((Tracker!$C$2:$C$5000)=I$2))</f>
        <v>10.762661457596392</v>
      </c>
      <c r="J23" s="3" cm="1">
        <f t="array" ref="J23">SUMPRODUCT(Tracker!$J$2:$J$5000*((Tracker!$E$2:$E$5000)&gt;=$A23)*((Tracker!$E$2:$E$5000)&lt;$A23+7)*((Tracker!$C$2:$C$5000)=J$2))</f>
        <v>0</v>
      </c>
      <c r="K23" s="3" cm="1">
        <f t="array" ref="K23">SUMPRODUCT(Tracker!$J$2:$J$5000*((Tracker!$E$2:$E$5000)&gt;=$A23)*((Tracker!$E$2:$E$5000)&lt;$A23+7)*((Tracker!$C$2:$C$5000)=K$2))</f>
        <v>0</v>
      </c>
      <c r="L23" s="3" cm="1">
        <f t="array" ref="L23">SUMPRODUCT(Tracker!$J$2:$J$5000*((Tracker!$E$2:$E$5000)&gt;=$A23)*((Tracker!$E$2:$E$5000)&lt;$A23+7)*((Tracker!$C$2:$C$5000)=L$2))</f>
        <v>0</v>
      </c>
      <c r="M23" s="3" cm="1">
        <f t="array" ref="M23">SUMPRODUCT(Tracker!$J$2:$J$5000*((Tracker!$E$2:$E$5000)&gt;=$A23)*((Tracker!$E$2:$E$5000)&lt;$A23+7)*((Tracker!$C$2:$C$5000)=M$2))</f>
        <v>9.0713102298833324</v>
      </c>
      <c r="O23" s="37">
        <f t="shared" si="1"/>
        <v>0.74464728139359448</v>
      </c>
      <c r="P23" s="37">
        <f t="shared" si="2"/>
        <v>1.1618048647067767</v>
      </c>
      <c r="Q23" s="37">
        <f t="shared" si="3"/>
        <v>1.196037586262791</v>
      </c>
    </row>
    <row r="24" spans="1:17" x14ac:dyDescent="0.35">
      <c r="A24" s="5">
        <f t="shared" si="4"/>
        <v>44255</v>
      </c>
      <c r="B24" t="str">
        <f t="shared" ca="1" si="0"/>
        <v/>
      </c>
      <c r="C24" s="3" cm="1">
        <f t="array" ref="C24">SUMPRODUCT(Tracker!$J$2:$J$5000*((Tracker!$E$2:$E$5000)&gt;=$A24)*((Tracker!$E$2:$E$5000)&lt;$A24+7)*((Tracker!$C$2:$C$5000)=C$2))</f>
        <v>0</v>
      </c>
      <c r="D24" s="3" cm="1">
        <f t="array" ref="D24">SUMPRODUCT(Tracker!$J$2:$J$5000*((Tracker!$E$2:$E$5000)&gt;=$A24)*((Tracker!$E$2:$E$5000)&lt;$A24+7)*((Tracker!$C$2:$C$5000)=D$2))</f>
        <v>0</v>
      </c>
      <c r="E24" s="3" cm="1">
        <f t="array" ref="E24">SUMPRODUCT(Tracker!$J$2:$J$5000*((Tracker!$E$2:$E$5000)&gt;=$A24)*((Tracker!$E$2:$E$5000)&lt;$A24+7)*((Tracker!$C$2:$C$5000)=E$2))</f>
        <v>4.8935161933519087</v>
      </c>
      <c r="F24" s="3" cm="1">
        <f t="array" ref="F24">SUMPRODUCT(Tracker!$J$2:$J$5000*((Tracker!$E$2:$E$5000)&gt;=$A24)*((Tracker!$E$2:$E$5000)&lt;$A24+7)*((Tracker!$C$2:$C$5000)=F$2))</f>
        <v>19.656508363397162</v>
      </c>
      <c r="G24" s="3" cm="1">
        <f t="array" ref="G24">SUMPRODUCT(Tracker!$J$2:$J$5000*((Tracker!$E$2:$E$5000)&gt;=$A24)*((Tracker!$E$2:$E$5000)&lt;$A24+7)*((Tracker!$C$2:$C$5000)=G$2))</f>
        <v>4.7417640924629438</v>
      </c>
      <c r="H24" s="3" cm="1">
        <f t="array" ref="H24">SUMPRODUCT(Tracker!$J$2:$J$5000*((Tracker!$E$2:$E$5000)&gt;=$A24)*((Tracker!$E$2:$E$5000)&lt;$A24+7)*((Tracker!$C$2:$C$5000)=H$2))</f>
        <v>11.886968461389301</v>
      </c>
      <c r="I24" s="3" cm="1">
        <f t="array" ref="I24">SUMPRODUCT(Tracker!$J$2:$J$5000*((Tracker!$E$2:$E$5000)&gt;=$A24)*((Tracker!$E$2:$E$5000)&lt;$A24+7)*((Tracker!$C$2:$C$5000)=I$2))</f>
        <v>6.3034413331807064</v>
      </c>
      <c r="J24" s="3" cm="1">
        <f t="array" ref="J24">SUMPRODUCT(Tracker!$J$2:$J$5000*((Tracker!$E$2:$E$5000)&gt;=$A24)*((Tracker!$E$2:$E$5000)&lt;$A24+7)*((Tracker!$C$2:$C$5000)=J$2))</f>
        <v>0</v>
      </c>
      <c r="K24" s="3" cm="1">
        <f t="array" ref="K24">SUMPRODUCT(Tracker!$J$2:$J$5000*((Tracker!$E$2:$E$5000)&gt;=$A24)*((Tracker!$E$2:$E$5000)&lt;$A24+7)*((Tracker!$C$2:$C$5000)=K$2))</f>
        <v>0</v>
      </c>
      <c r="L24" s="3" cm="1">
        <f t="array" ref="L24">SUMPRODUCT(Tracker!$J$2:$J$5000*((Tracker!$E$2:$E$5000)&gt;=$A24)*((Tracker!$E$2:$E$5000)&lt;$A24+7)*((Tracker!$C$2:$C$5000)=L$2))</f>
        <v>0</v>
      </c>
      <c r="M24" s="3" cm="1">
        <f t="array" ref="M24">SUMPRODUCT(Tracker!$J$2:$J$5000*((Tracker!$E$2:$E$5000)&gt;=$A24)*((Tracker!$E$2:$E$5000)&lt;$A24+7)*((Tracker!$C$2:$C$5000)=M$2))</f>
        <v>10.183041092910782</v>
      </c>
      <c r="O24" s="37">
        <f t="shared" si="1"/>
        <v>0.70933627218701978</v>
      </c>
      <c r="P24" s="37">
        <f t="shared" si="2"/>
        <v>1.3192930835835226</v>
      </c>
      <c r="Q24" s="37">
        <f t="shared" si="3"/>
        <v>1.2814497674820624</v>
      </c>
    </row>
    <row r="25" spans="1:17" x14ac:dyDescent="0.35">
      <c r="A25" s="5">
        <f t="shared" si="4"/>
        <v>44262</v>
      </c>
      <c r="B25" t="str">
        <f t="shared" ca="1" si="0"/>
        <v/>
      </c>
      <c r="C25" s="3" cm="1">
        <f t="array" ref="C25">SUMPRODUCT(Tracker!$J$2:$J$5000*((Tracker!$E$2:$E$5000)&gt;=$A25)*((Tracker!$E$2:$E$5000)&lt;$A25+7)*((Tracker!$C$2:$C$5000)=C$2))</f>
        <v>0</v>
      </c>
      <c r="D25" s="3" cm="1">
        <f t="array" ref="D25">SUMPRODUCT(Tracker!$J$2:$J$5000*((Tracker!$E$2:$E$5000)&gt;=$A25)*((Tracker!$E$2:$E$5000)&lt;$A25+7)*((Tracker!$C$2:$C$5000)=D$2))</f>
        <v>0</v>
      </c>
      <c r="E25" s="3" cm="1">
        <f t="array" ref="E25">SUMPRODUCT(Tracker!$J$2:$J$5000*((Tracker!$E$2:$E$5000)&gt;=$A25)*((Tracker!$E$2:$E$5000)&lt;$A25+7)*((Tracker!$C$2:$C$5000)=E$2))</f>
        <v>4.8937956633926571</v>
      </c>
      <c r="F25" s="3" cm="1">
        <f t="array" ref="F25">SUMPRODUCT(Tracker!$J$2:$J$5000*((Tracker!$E$2:$E$5000)&gt;=$A25)*((Tracker!$E$2:$E$5000)&lt;$A25+7)*((Tracker!$C$2:$C$5000)=F$2))</f>
        <v>16.676801359047708</v>
      </c>
      <c r="G25" s="3" cm="1">
        <f t="array" ref="G25">SUMPRODUCT(Tracker!$J$2:$J$5000*((Tracker!$E$2:$E$5000)&gt;=$A25)*((Tracker!$E$2:$E$5000)&lt;$A25+7)*((Tracker!$C$2:$C$5000)=G$2))</f>
        <v>4.8250460922233476</v>
      </c>
      <c r="H25" s="3" cm="1">
        <f t="array" ref="H25">SUMPRODUCT(Tracker!$J$2:$J$5000*((Tracker!$E$2:$E$5000)&gt;=$A25)*((Tracker!$E$2:$E$5000)&lt;$A25+7)*((Tracker!$C$2:$C$5000)=H$2))</f>
        <v>8.4324422671566168</v>
      </c>
      <c r="I25" s="3" cm="1">
        <f t="array" ref="I25">SUMPRODUCT(Tracker!$J$2:$J$5000*((Tracker!$E$2:$E$5000)&gt;=$A25)*((Tracker!$E$2:$E$5000)&lt;$A25+7)*((Tracker!$C$2:$C$5000)=I$2))</f>
        <v>9.7398019909278517</v>
      </c>
      <c r="J25" s="3" cm="1">
        <f t="array" ref="J25">SUMPRODUCT(Tracker!$J$2:$J$5000*((Tracker!$E$2:$E$5000)&gt;=$A25)*((Tracker!$E$2:$E$5000)&lt;$A25+7)*((Tracker!$C$2:$C$5000)=J$2))</f>
        <v>0</v>
      </c>
      <c r="K25" s="3" cm="1">
        <f t="array" ref="K25">SUMPRODUCT(Tracker!$J$2:$J$5000*((Tracker!$E$2:$E$5000)&gt;=$A25)*((Tracker!$E$2:$E$5000)&lt;$A25+7)*((Tracker!$C$2:$C$5000)=K$2))</f>
        <v>0</v>
      </c>
      <c r="L25" s="3" cm="1">
        <f t="array" ref="L25">SUMPRODUCT(Tracker!$J$2:$J$5000*((Tracker!$E$2:$E$5000)&gt;=$A25)*((Tracker!$E$2:$E$5000)&lt;$A25+7)*((Tracker!$C$2:$C$5000)=L$2))</f>
        <v>0</v>
      </c>
      <c r="M25" s="3" cm="1">
        <f t="array" ref="M25">SUMPRODUCT(Tracker!$J$2:$J$5000*((Tracker!$E$2:$E$5000)&gt;=$A25)*((Tracker!$E$2:$E$5000)&lt;$A25+7)*((Tracker!$C$2:$C$5000)=M$2))</f>
        <v>13.280684353436628</v>
      </c>
      <c r="O25" s="37">
        <f t="shared" si="1"/>
        <v>0.7863232152880274</v>
      </c>
      <c r="P25" s="37">
        <f t="shared" si="2"/>
        <v>1.3238694015698038</v>
      </c>
      <c r="Q25" s="37">
        <f t="shared" si="3"/>
        <v>1.2855238161374403</v>
      </c>
    </row>
    <row r="26" spans="1:17" x14ac:dyDescent="0.35">
      <c r="A26" s="5">
        <f>A25+7</f>
        <v>44269</v>
      </c>
      <c r="B26" t="str">
        <f t="shared" ca="1" si="0"/>
        <v/>
      </c>
      <c r="C26" s="3" cm="1">
        <f t="array" ref="C26">SUMPRODUCT(Tracker!$J$2:$J$5000*((Tracker!$E$2:$E$5000)&gt;=$A26)*((Tracker!$E$2:$E$5000)&lt;$A26+7)*((Tracker!$C$2:$C$5000)=C$2))</f>
        <v>0</v>
      </c>
      <c r="D26" s="3" cm="1">
        <f t="array" ref="D26">SUMPRODUCT(Tracker!$J$2:$J$5000*((Tracker!$E$2:$E$5000)&gt;=$A26)*((Tracker!$E$2:$E$5000)&lt;$A26+7)*((Tracker!$C$2:$C$5000)=D$2))</f>
        <v>0</v>
      </c>
      <c r="E26" s="3" cm="1">
        <f t="array" ref="E26">SUMPRODUCT(Tracker!$J$2:$J$5000*((Tracker!$E$2:$E$5000)&gt;=$A26)*((Tracker!$E$2:$E$5000)&lt;$A26+7)*((Tracker!$C$2:$C$5000)=E$2))</f>
        <v>5.0969702073307772</v>
      </c>
      <c r="F26" s="3" cm="1">
        <f t="array" ref="F26">SUMPRODUCT(Tracker!$J$2:$J$5000*((Tracker!$E$2:$E$5000)&gt;=$A26)*((Tracker!$E$2:$E$5000)&lt;$A26+7)*((Tracker!$C$2:$C$5000)=F$2))</f>
        <v>19.09645088557652</v>
      </c>
      <c r="G26" s="3" cm="1">
        <f t="array" ref="G26">SUMPRODUCT(Tracker!$J$2:$J$5000*((Tracker!$E$2:$E$5000)&gt;=$A26)*((Tracker!$E$2:$E$5000)&lt;$A26+7)*((Tracker!$C$2:$C$5000)=G$2))</f>
        <v>3.0266579309630965</v>
      </c>
      <c r="H26" s="3" cm="1">
        <f t="array" ref="H26">SUMPRODUCT(Tracker!$J$2:$J$5000*((Tracker!$E$2:$E$5000)&gt;=$A26)*((Tracker!$E$2:$E$5000)&lt;$A26+7)*((Tracker!$C$2:$C$5000)=H$2))</f>
        <v>14.188961202133839</v>
      </c>
      <c r="I26" s="3" cm="1">
        <f t="array" ref="I26">SUMPRODUCT(Tracker!$J$2:$J$5000*((Tracker!$E$2:$E$5000)&gt;=$A26)*((Tracker!$E$2:$E$5000)&lt;$A26+7)*((Tracker!$C$2:$C$5000)=I$2))</f>
        <v>9.7973727687244612</v>
      </c>
      <c r="J26" s="3" cm="1">
        <f t="array" ref="J26">SUMPRODUCT(Tracker!$J$2:$J$5000*((Tracker!$E$2:$E$5000)&gt;=$A26)*((Tracker!$E$2:$E$5000)&lt;$A26+7)*((Tracker!$C$2:$C$5000)=J$2))</f>
        <v>0</v>
      </c>
      <c r="K26" s="3" cm="1">
        <f t="array" ref="K26">SUMPRODUCT(Tracker!$J$2:$J$5000*((Tracker!$E$2:$E$5000)&gt;=$A26)*((Tracker!$E$2:$E$5000)&lt;$A26+7)*((Tracker!$C$2:$C$5000)=K$2))</f>
        <v>0</v>
      </c>
      <c r="L26" s="3" cm="1">
        <f t="array" ref="L26">SUMPRODUCT(Tracker!$J$2:$J$5000*((Tracker!$E$2:$E$5000)&gt;=$A26)*((Tracker!$E$2:$E$5000)&lt;$A26+7)*((Tracker!$C$2:$C$5000)=L$2))</f>
        <v>0</v>
      </c>
      <c r="M26" s="3" cm="1">
        <f t="array" ref="M26">SUMPRODUCT(Tracker!$J$2:$J$5000*((Tracker!$E$2:$E$5000)&gt;=$A26)*((Tracker!$E$2:$E$5000)&lt;$A26+7)*((Tracker!$C$2:$C$5000)=M$2))</f>
        <v>7.9878058160240641</v>
      </c>
      <c r="O26" s="37">
        <f t="shared" si="1"/>
        <v>0.79935349467205907</v>
      </c>
      <c r="P26" s="37">
        <f t="shared" si="2"/>
        <v>1.3524312150855493</v>
      </c>
      <c r="Q26" s="37">
        <f t="shared" si="3"/>
        <v>1.3154270846833946</v>
      </c>
    </row>
    <row r="27" spans="1:17" x14ac:dyDescent="0.35">
      <c r="A27" s="5">
        <f t="shared" si="4"/>
        <v>44276</v>
      </c>
      <c r="B27" t="str">
        <f t="shared" ca="1" si="0"/>
        <v/>
      </c>
      <c r="C27" s="3" cm="1">
        <f t="array" ref="C27">SUMPRODUCT(Tracker!$J$2:$J$5000*((Tracker!$E$2:$E$5000)&gt;=$A27)*((Tracker!$E$2:$E$5000)&lt;$A27+7)*((Tracker!$C$2:$C$5000)=C$2))</f>
        <v>0</v>
      </c>
      <c r="D27" s="3" cm="1">
        <f t="array" ref="D27">SUMPRODUCT(Tracker!$J$2:$J$5000*((Tracker!$E$2:$E$5000)&gt;=$A27)*((Tracker!$E$2:$E$5000)&lt;$A27+7)*((Tracker!$C$2:$C$5000)=D$2))</f>
        <v>16.097460464754224</v>
      </c>
      <c r="E27" s="3" cm="1">
        <f t="array" ref="E27">SUMPRODUCT(Tracker!$J$2:$J$5000*((Tracker!$E$2:$E$5000)&gt;=$A27)*((Tracker!$E$2:$E$5000)&lt;$A27+7)*((Tracker!$C$2:$C$5000)=E$2))</f>
        <v>4.5869378230582916</v>
      </c>
      <c r="F27" s="3" cm="1">
        <f t="array" ref="F27">SUMPRODUCT(Tracker!$J$2:$J$5000*((Tracker!$E$2:$E$5000)&gt;=$A27)*((Tracker!$E$2:$E$5000)&lt;$A27+7)*((Tracker!$C$2:$C$5000)=F$2))</f>
        <v>14.67943070077116</v>
      </c>
      <c r="G27" s="3" cm="1">
        <f t="array" ref="G27">SUMPRODUCT(Tracker!$J$2:$J$5000*((Tracker!$E$2:$E$5000)&gt;=$A27)*((Tracker!$E$2:$E$5000)&lt;$A27+7)*((Tracker!$C$2:$C$5000)=G$2))</f>
        <v>2.4098680833598549</v>
      </c>
      <c r="H27" s="3" cm="1">
        <f t="array" ref="H27">SUMPRODUCT(Tracker!$J$2:$J$5000*((Tracker!$E$2:$E$5000)&gt;=$A27)*((Tracker!$E$2:$E$5000)&lt;$A27+7)*((Tracker!$C$2:$C$5000)=H$2))</f>
        <v>4.4975074873206289</v>
      </c>
      <c r="I27" s="3" cm="1">
        <f t="array" ref="I27">SUMPRODUCT(Tracker!$J$2:$J$5000*((Tracker!$E$2:$E$5000)&gt;=$A27)*((Tracker!$E$2:$E$5000)&lt;$A27+7)*((Tracker!$C$2:$C$5000)=I$2))</f>
        <v>8.7105147180656193</v>
      </c>
      <c r="J27" s="3" cm="1">
        <f t="array" ref="J27">SUMPRODUCT(Tracker!$J$2:$J$5000*((Tracker!$E$2:$E$5000)&gt;=$A27)*((Tracker!$E$2:$E$5000)&lt;$A27+7)*((Tracker!$C$2:$C$5000)=J$2))</f>
        <v>1.8732860677040732</v>
      </c>
      <c r="K27" s="3" cm="1">
        <f t="array" ref="K27">SUMPRODUCT(Tracker!$J$2:$J$5000*((Tracker!$E$2:$E$5000)&gt;=$A27)*((Tracker!$E$2:$E$5000)&lt;$A27+7)*((Tracker!$C$2:$C$5000)=K$2))</f>
        <v>0</v>
      </c>
      <c r="L27" s="3" cm="1">
        <f t="array" ref="L27">SUMPRODUCT(Tracker!$J$2:$J$5000*((Tracker!$E$2:$E$5000)&gt;=$A27)*((Tracker!$E$2:$E$5000)&lt;$A27+7)*((Tracker!$C$2:$C$5000)=L$2))</f>
        <v>0</v>
      </c>
      <c r="M27" s="3" cm="1">
        <f t="array" ref="M27">SUMPRODUCT(Tracker!$J$2:$J$5000*((Tracker!$E$2:$E$5000)&gt;=$A27)*((Tracker!$E$2:$E$5000)&lt;$A27+7)*((Tracker!$C$2:$C$5000)=M$2))</f>
        <v>0.75792209713355629</v>
      </c>
      <c r="O27" s="37">
        <f t="shared" si="1"/>
        <v>0.66265889224314234</v>
      </c>
      <c r="P27" s="37">
        <f t="shared" si="2"/>
        <v>1.2256497404777278</v>
      </c>
      <c r="Q27" s="37">
        <f t="shared" si="3"/>
        <v>1.1913983876037202</v>
      </c>
    </row>
    <row r="28" spans="1:17" x14ac:dyDescent="0.35">
      <c r="A28" s="5">
        <f t="shared" si="4"/>
        <v>44283</v>
      </c>
      <c r="B28" t="str">
        <f t="shared" ca="1" si="0"/>
        <v/>
      </c>
      <c r="C28" s="3" cm="1">
        <f t="array" ref="C28">SUMPRODUCT(Tracker!$J$2:$J$5000*((Tracker!$E$2:$E$5000)&gt;=$A28)*((Tracker!$E$2:$E$5000)&lt;$A28+7)*((Tracker!$C$2:$C$5000)=C$2))</f>
        <v>0</v>
      </c>
      <c r="D28" s="3" cm="1">
        <f t="array" ref="D28">SUMPRODUCT(Tracker!$J$2:$J$5000*((Tracker!$E$2:$E$5000)&gt;=$A28)*((Tracker!$E$2:$E$5000)&lt;$A28+7)*((Tracker!$C$2:$C$5000)=D$2))</f>
        <v>0</v>
      </c>
      <c r="E28" s="3" cm="1">
        <f t="array" ref="E28">SUMPRODUCT(Tracker!$J$2:$J$5000*((Tracker!$E$2:$E$5000)&gt;=$A28)*((Tracker!$E$2:$E$5000)&lt;$A28+7)*((Tracker!$C$2:$C$5000)=E$2))</f>
        <v>5.9035200495656088</v>
      </c>
      <c r="F28" s="3" cm="1">
        <f t="array" ref="F28">SUMPRODUCT(Tracker!$J$2:$J$5000*((Tracker!$E$2:$E$5000)&gt;=$A28)*((Tracker!$E$2:$E$5000)&lt;$A28+7)*((Tracker!$C$2:$C$5000)=F$2))</f>
        <v>13.544783313903485</v>
      </c>
      <c r="G28" s="3" cm="1">
        <f t="array" ref="G28">SUMPRODUCT(Tracker!$J$2:$J$5000*((Tracker!$E$2:$E$5000)&gt;=$A28)*((Tracker!$E$2:$E$5000)&lt;$A28+7)*((Tracker!$C$2:$C$5000)=G$2))</f>
        <v>3.830972014804487</v>
      </c>
      <c r="H28" s="3" cm="1">
        <f t="array" ref="H28">SUMPRODUCT(Tracker!$J$2:$J$5000*((Tracker!$E$2:$E$5000)&gt;=$A28)*((Tracker!$E$2:$E$5000)&lt;$A28+7)*((Tracker!$C$2:$C$5000)=H$2))</f>
        <v>5.929510740340346</v>
      </c>
      <c r="I28" s="3" cm="1">
        <f t="array" ref="I28">SUMPRODUCT(Tracker!$J$2:$J$5000*((Tracker!$E$2:$E$5000)&gt;=$A28)*((Tracker!$E$2:$E$5000)&lt;$A28+7)*((Tracker!$C$2:$C$5000)=I$2))</f>
        <v>10.189748367915417</v>
      </c>
      <c r="J28" s="3" cm="1">
        <f t="array" ref="J28">SUMPRODUCT(Tracker!$J$2:$J$5000*((Tracker!$E$2:$E$5000)&gt;=$A28)*((Tracker!$E$2:$E$5000)&lt;$A28+7)*((Tracker!$C$2:$C$5000)=J$2))</f>
        <v>8.3564264817796055</v>
      </c>
      <c r="K28" s="3" cm="1">
        <f t="array" ref="K28">SUMPRODUCT(Tracker!$J$2:$J$5000*((Tracker!$E$2:$E$5000)&gt;=$A28)*((Tracker!$E$2:$E$5000)&lt;$A28+7)*((Tracker!$C$2:$C$5000)=K$2))</f>
        <v>0</v>
      </c>
      <c r="L28" s="3" cm="1">
        <f t="array" ref="L28">SUMPRODUCT(Tracker!$J$2:$J$5000*((Tracker!$E$2:$E$5000)&gt;=$A28)*((Tracker!$E$2:$E$5000)&lt;$A28+7)*((Tracker!$C$2:$C$5000)=L$2))</f>
        <v>0</v>
      </c>
      <c r="M28" s="3" cm="1">
        <f t="array" ref="M28">SUMPRODUCT(Tracker!$J$2:$J$5000*((Tracker!$E$2:$E$5000)&gt;=$A28)*((Tracker!$E$2:$E$5000)&lt;$A28+7)*((Tracker!$C$2:$C$5000)=M$2))</f>
        <v>5.5488728737251556</v>
      </c>
      <c r="O28" s="37">
        <f t="shared" ref="O28:O59" si="5">MAX(SUM(H28:M28)/(40-SUM(C28:D28)),0)</f>
        <v>0.75061396159401306</v>
      </c>
      <c r="P28" s="37">
        <f t="shared" ref="P28:P59" si="6">SUM(F28:M28,C28:D28)/(40)</f>
        <v>1.1850078448117123</v>
      </c>
      <c r="Q28" s="37">
        <f t="shared" ref="Q28:Q59" si="7">SUM(E28:M28,C28:D28)/(45)</f>
        <v>1.1845296409340913</v>
      </c>
    </row>
    <row r="29" spans="1:17" x14ac:dyDescent="0.35">
      <c r="A29" s="5">
        <f t="shared" si="4"/>
        <v>44290</v>
      </c>
      <c r="B29" t="str">
        <f t="shared" ca="1" si="0"/>
        <v/>
      </c>
      <c r="C29" s="3" cm="1">
        <f t="array" ref="C29">SUMPRODUCT(Tracker!$J$2:$J$5000*((Tracker!$E$2:$E$5000)&gt;=$A29)*((Tracker!$E$2:$E$5000)&lt;$A29+7)*((Tracker!$C$2:$C$5000)=C$2))</f>
        <v>0</v>
      </c>
      <c r="D29" s="3" cm="1">
        <f t="array" ref="D29">SUMPRODUCT(Tracker!$J$2:$J$5000*((Tracker!$E$2:$E$5000)&gt;=$A29)*((Tracker!$E$2:$E$5000)&lt;$A29+7)*((Tracker!$C$2:$C$5000)=D$2))</f>
        <v>0</v>
      </c>
      <c r="E29" s="3" cm="1">
        <f t="array" ref="E29">SUMPRODUCT(Tracker!$J$2:$J$5000*((Tracker!$E$2:$E$5000)&gt;=$A29)*((Tracker!$E$2:$E$5000)&lt;$A29+7)*((Tracker!$C$2:$C$5000)=E$2))</f>
        <v>7.2698479004587657</v>
      </c>
      <c r="F29" s="3" cm="1">
        <f t="array" ref="F29">SUMPRODUCT(Tracker!$J$2:$J$5000*((Tracker!$E$2:$E$5000)&gt;=$A29)*((Tracker!$E$2:$E$5000)&lt;$A29+7)*((Tracker!$C$2:$C$5000)=F$2))</f>
        <v>16.108080317166991</v>
      </c>
      <c r="G29" s="3" cm="1">
        <f t="array" ref="G29">SUMPRODUCT(Tracker!$J$2:$J$5000*((Tracker!$E$2:$E$5000)&gt;=$A29)*((Tracker!$E$2:$E$5000)&lt;$A29+7)*((Tracker!$C$2:$C$5000)=G$2))</f>
        <v>5.5052755847895147</v>
      </c>
      <c r="H29" s="3" cm="1">
        <f t="array" ref="H29">SUMPRODUCT(Tracker!$J$2:$J$5000*((Tracker!$E$2:$E$5000)&gt;=$A29)*((Tracker!$E$2:$E$5000)&lt;$A29+7)*((Tracker!$C$2:$C$5000)=H$2))</f>
        <v>5.0964112677763387</v>
      </c>
      <c r="I29" s="3" cm="1">
        <f t="array" ref="I29">SUMPRODUCT(Tracker!$J$2:$J$5000*((Tracker!$E$2:$E$5000)&gt;=$A29)*((Tracker!$E$2:$E$5000)&lt;$A29+7)*((Tracker!$C$2:$C$5000)=I$2))</f>
        <v>14.424833713783883</v>
      </c>
      <c r="J29" s="3" cm="1">
        <f t="array" ref="J29">SUMPRODUCT(Tracker!$J$2:$J$5000*((Tracker!$E$2:$E$5000)&gt;=$A29)*((Tracker!$E$2:$E$5000)&lt;$A29+7)*((Tracker!$C$2:$C$5000)=J$2))</f>
        <v>8.7982682354913386</v>
      </c>
      <c r="K29" s="3" cm="1">
        <f t="array" ref="K29">SUMPRODUCT(Tracker!$J$2:$J$5000*((Tracker!$E$2:$E$5000)&gt;=$A29)*((Tracker!$E$2:$E$5000)&lt;$A29+7)*((Tracker!$C$2:$C$5000)=K$2))</f>
        <v>0</v>
      </c>
      <c r="L29" s="3" cm="1">
        <f t="array" ref="L29">SUMPRODUCT(Tracker!$J$2:$J$5000*((Tracker!$E$2:$E$5000)&gt;=$A29)*((Tracker!$E$2:$E$5000)&lt;$A29+7)*((Tracker!$C$2:$C$5000)=L$2))</f>
        <v>0</v>
      </c>
      <c r="M29" s="3" cm="1">
        <f t="array" ref="M29">SUMPRODUCT(Tracker!$J$2:$J$5000*((Tracker!$E$2:$E$5000)&gt;=$A29)*((Tracker!$E$2:$E$5000)&lt;$A29+7)*((Tracker!$C$2:$C$5000)=M$2))</f>
        <v>3.4215487580611854</v>
      </c>
      <c r="O29" s="37">
        <f t="shared" si="5"/>
        <v>0.79352654937781864</v>
      </c>
      <c r="P29" s="37">
        <f t="shared" si="6"/>
        <v>1.3338604469267312</v>
      </c>
      <c r="Q29" s="37">
        <f t="shared" si="7"/>
        <v>1.3472059061672892</v>
      </c>
    </row>
    <row r="30" spans="1:17" x14ac:dyDescent="0.35">
      <c r="A30" s="5">
        <f t="shared" si="4"/>
        <v>44297</v>
      </c>
      <c r="B30" t="str">
        <f t="shared" ca="1" si="0"/>
        <v/>
      </c>
      <c r="C30" s="3" cm="1">
        <f t="array" ref="C30">SUMPRODUCT(Tracker!$J$2:$J$5000*((Tracker!$E$2:$E$5000)&gt;=$A30)*((Tracker!$E$2:$E$5000)&lt;$A30+7)*((Tracker!$C$2:$C$5000)=C$2))</f>
        <v>0</v>
      </c>
      <c r="D30" s="3" cm="1">
        <f t="array" ref="D30">SUMPRODUCT(Tracker!$J$2:$J$5000*((Tracker!$E$2:$E$5000)&gt;=$A30)*((Tracker!$E$2:$E$5000)&lt;$A30+7)*((Tracker!$C$2:$C$5000)=D$2))</f>
        <v>0</v>
      </c>
      <c r="E30" s="3" cm="1">
        <f t="array" ref="E30">SUMPRODUCT(Tracker!$J$2:$J$5000*((Tracker!$E$2:$E$5000)&gt;=$A30)*((Tracker!$E$2:$E$5000)&lt;$A30+7)*((Tracker!$C$2:$C$5000)=E$2))</f>
        <v>3.3418998654924774</v>
      </c>
      <c r="F30" s="3" cm="1">
        <f t="array" ref="F30">SUMPRODUCT(Tracker!$J$2:$J$5000*((Tracker!$E$2:$E$5000)&gt;=$A30)*((Tracker!$E$2:$E$5000)&lt;$A30+7)*((Tracker!$C$2:$C$5000)=F$2))</f>
        <v>16.16369480696228</v>
      </c>
      <c r="G30" s="3" cm="1">
        <f t="array" ref="G30">SUMPRODUCT(Tracker!$J$2:$J$5000*((Tracker!$E$2:$E$5000)&gt;=$A30)*((Tracker!$E$2:$E$5000)&lt;$A30+7)*((Tracker!$C$2:$C$5000)=G$2))</f>
        <v>8.5612778449081013</v>
      </c>
      <c r="H30" s="3" cm="1">
        <f t="array" ref="H30">SUMPRODUCT(Tracker!$J$2:$J$5000*((Tracker!$E$2:$E$5000)&gt;=$A30)*((Tracker!$E$2:$E$5000)&lt;$A30+7)*((Tracker!$C$2:$C$5000)=H$2))</f>
        <v>2.8382952861838802</v>
      </c>
      <c r="I30" s="3" cm="1">
        <f t="array" ref="I30">SUMPRODUCT(Tracker!$J$2:$J$5000*((Tracker!$E$2:$E$5000)&gt;=$A30)*((Tracker!$E$2:$E$5000)&lt;$A30+7)*((Tracker!$C$2:$C$5000)=I$2))</f>
        <v>18.503974909909012</v>
      </c>
      <c r="J30" s="3" cm="1">
        <f t="array" ref="J30">SUMPRODUCT(Tracker!$J$2:$J$5000*((Tracker!$E$2:$E$5000)&gt;=$A30)*((Tracker!$E$2:$E$5000)&lt;$A30+7)*((Tracker!$C$2:$C$5000)=J$2))</f>
        <v>2.9693666221531174</v>
      </c>
      <c r="K30" s="3" cm="1">
        <f t="array" ref="K30">SUMPRODUCT(Tracker!$J$2:$J$5000*((Tracker!$E$2:$E$5000)&gt;=$A30)*((Tracker!$E$2:$E$5000)&lt;$A30+7)*((Tracker!$C$2:$C$5000)=K$2))</f>
        <v>0</v>
      </c>
      <c r="L30" s="3" cm="1">
        <f t="array" ref="L30">SUMPRODUCT(Tracker!$J$2:$J$5000*((Tracker!$E$2:$E$5000)&gt;=$A30)*((Tracker!$E$2:$E$5000)&lt;$A30+7)*((Tracker!$C$2:$C$5000)=L$2))</f>
        <v>0</v>
      </c>
      <c r="M30" s="3" cm="1">
        <f t="array" ref="M30">SUMPRODUCT(Tracker!$J$2:$J$5000*((Tracker!$E$2:$E$5000)&gt;=$A30)*((Tracker!$E$2:$E$5000)&lt;$A30+7)*((Tracker!$C$2:$C$5000)=M$2))</f>
        <v>3.2457622542231159</v>
      </c>
      <c r="O30" s="37">
        <f t="shared" si="5"/>
        <v>0.68893497681172811</v>
      </c>
      <c r="P30" s="37">
        <f t="shared" si="6"/>
        <v>1.3070592931084877</v>
      </c>
      <c r="Q30" s="37">
        <f t="shared" si="7"/>
        <v>1.2360949242184884</v>
      </c>
    </row>
    <row r="31" spans="1:17" x14ac:dyDescent="0.35">
      <c r="A31" s="5">
        <f t="shared" si="4"/>
        <v>44304</v>
      </c>
      <c r="B31" t="str">
        <f t="shared" ca="1" si="0"/>
        <v/>
      </c>
      <c r="C31" s="3" cm="1">
        <f t="array" ref="C31">SUMPRODUCT(Tracker!$J$2:$J$5000*((Tracker!$E$2:$E$5000)&gt;=$A31)*((Tracker!$E$2:$E$5000)&lt;$A31+7)*((Tracker!$C$2:$C$5000)=C$2))</f>
        <v>0</v>
      </c>
      <c r="D31" s="3" cm="1">
        <f t="array" ref="D31">SUMPRODUCT(Tracker!$J$2:$J$5000*((Tracker!$E$2:$E$5000)&gt;=$A31)*((Tracker!$E$2:$E$5000)&lt;$A31+7)*((Tracker!$C$2:$C$5000)=D$2))</f>
        <v>12.073095348477825</v>
      </c>
      <c r="E31" s="3" cm="1">
        <f t="array" ref="E31">SUMPRODUCT(Tracker!$J$2:$J$5000*((Tracker!$E$2:$E$5000)&gt;=$A31)*((Tracker!$E$2:$E$5000)&lt;$A31+7)*((Tracker!$C$2:$C$5000)=E$2))</f>
        <v>2.2332431695752248</v>
      </c>
      <c r="F31" s="3" cm="1">
        <f t="array" ref="F31">SUMPRODUCT(Tracker!$J$2:$J$5000*((Tracker!$E$2:$E$5000)&gt;=$A31)*((Tracker!$E$2:$E$5000)&lt;$A31+7)*((Tracker!$C$2:$C$5000)=F$2))</f>
        <v>6.2740970045522753</v>
      </c>
      <c r="G31" s="3" cm="1">
        <f t="array" ref="G31">SUMPRODUCT(Tracker!$J$2:$J$5000*((Tracker!$E$2:$E$5000)&gt;=$A31)*((Tracker!$E$2:$E$5000)&lt;$A31+7)*((Tracker!$C$2:$C$5000)=G$2))</f>
        <v>3.5224373556311184</v>
      </c>
      <c r="H31" s="3" cm="1">
        <f t="array" ref="H31">SUMPRODUCT(Tracker!$J$2:$J$5000*((Tracker!$E$2:$E$5000)&gt;=$A31)*((Tracker!$E$2:$E$5000)&lt;$A31+7)*((Tracker!$C$2:$C$5000)=H$2))</f>
        <v>0.14616270516888966</v>
      </c>
      <c r="I31" s="3" cm="1">
        <f t="array" ref="I31">SUMPRODUCT(Tracker!$J$2:$J$5000*((Tracker!$E$2:$E$5000)&gt;=$A31)*((Tracker!$E$2:$E$5000)&lt;$A31+7)*((Tracker!$C$2:$C$5000)=I$2))</f>
        <v>12.301142705487294</v>
      </c>
      <c r="J31" s="3" cm="1">
        <f t="array" ref="J31">SUMPRODUCT(Tracker!$J$2:$J$5000*((Tracker!$E$2:$E$5000)&gt;=$A31)*((Tracker!$E$2:$E$5000)&lt;$A31+7)*((Tracker!$C$2:$C$5000)=J$2))</f>
        <v>8.6456777239530691</v>
      </c>
      <c r="K31" s="3" cm="1">
        <f t="array" ref="K31">SUMPRODUCT(Tracker!$J$2:$J$5000*((Tracker!$E$2:$E$5000)&gt;=$A31)*((Tracker!$E$2:$E$5000)&lt;$A31+7)*((Tracker!$C$2:$C$5000)=K$2))</f>
        <v>2.6929709900831185</v>
      </c>
      <c r="L31" s="3" cm="1">
        <f t="array" ref="L31">SUMPRODUCT(Tracker!$J$2:$J$5000*((Tracker!$E$2:$E$5000)&gt;=$A31)*((Tracker!$E$2:$E$5000)&lt;$A31+7)*((Tracker!$C$2:$C$5000)=L$2))</f>
        <v>0</v>
      </c>
      <c r="M31" s="3" cm="1">
        <f t="array" ref="M31">SUMPRODUCT(Tracker!$J$2:$J$5000*((Tracker!$E$2:$E$5000)&gt;=$A31)*((Tracker!$E$2:$E$5000)&lt;$A31+7)*((Tracker!$C$2:$C$5000)=M$2))</f>
        <v>0</v>
      </c>
      <c r="O31" s="37">
        <f t="shared" si="5"/>
        <v>0.85172182243247285</v>
      </c>
      <c r="P31" s="37">
        <f t="shared" si="6"/>
        <v>1.1413895958338398</v>
      </c>
      <c r="Q31" s="37">
        <f t="shared" si="7"/>
        <v>1.0641961556206405</v>
      </c>
    </row>
    <row r="32" spans="1:17" x14ac:dyDescent="0.35">
      <c r="A32" s="5">
        <f t="shared" si="4"/>
        <v>44311</v>
      </c>
      <c r="B32" t="str">
        <f t="shared" ca="1" si="0"/>
        <v>x</v>
      </c>
      <c r="C32" s="3" cm="1">
        <f t="array" ref="C32">SUMPRODUCT(Tracker!$J$2:$J$5000*((Tracker!$E$2:$E$5000)&gt;=$A32)*((Tracker!$E$2:$E$5000)&lt;$A32+7)*((Tracker!$C$2:$C$5000)=C$2))</f>
        <v>0</v>
      </c>
      <c r="D32" s="3" cm="1">
        <f t="array" ref="D32">SUMPRODUCT(Tracker!$J$2:$J$5000*((Tracker!$E$2:$E$5000)&gt;=$A32)*((Tracker!$E$2:$E$5000)&lt;$A32+7)*((Tracker!$C$2:$C$5000)=D$2))</f>
        <v>0</v>
      </c>
      <c r="E32" s="3" cm="1">
        <f t="array" ref="E32">SUMPRODUCT(Tracker!$J$2:$J$5000*((Tracker!$E$2:$E$5000)&gt;=$A32)*((Tracker!$E$2:$E$5000)&lt;$A32+7)*((Tracker!$C$2:$C$5000)=E$2))</f>
        <v>1.748083597495659</v>
      </c>
      <c r="F32" s="3" cm="1">
        <f t="array" ref="F32">SUMPRODUCT(Tracker!$J$2:$J$5000*((Tracker!$E$2:$E$5000)&gt;=$A32)*((Tracker!$E$2:$E$5000)&lt;$A32+7)*((Tracker!$C$2:$C$5000)=F$2))</f>
        <v>2.8223655073890401</v>
      </c>
      <c r="G32" s="3" cm="1">
        <f t="array" ref="G32">SUMPRODUCT(Tracker!$J$2:$J$5000*((Tracker!$E$2:$E$5000)&gt;=$A32)*((Tracker!$E$2:$E$5000)&lt;$A32+7)*((Tracker!$C$2:$C$5000)=G$2))</f>
        <v>0.82527431862617928</v>
      </c>
      <c r="H32" s="3" cm="1">
        <f t="array" ref="H32">SUMPRODUCT(Tracker!$J$2:$J$5000*((Tracker!$E$2:$E$5000)&gt;=$A32)*((Tracker!$E$2:$E$5000)&lt;$A32+7)*((Tracker!$C$2:$C$5000)=H$2))</f>
        <v>0</v>
      </c>
      <c r="I32" s="3" cm="1">
        <f t="array" ref="I32">SUMPRODUCT(Tracker!$J$2:$J$5000*((Tracker!$E$2:$E$5000)&gt;=$A32)*((Tracker!$E$2:$E$5000)&lt;$A32+7)*((Tracker!$C$2:$C$5000)=I$2))</f>
        <v>7.4067881023645148</v>
      </c>
      <c r="J32" s="3" cm="1">
        <f t="array" ref="J32">SUMPRODUCT(Tracker!$J$2:$J$5000*((Tracker!$E$2:$E$5000)&gt;=$A32)*((Tracker!$E$2:$E$5000)&lt;$A32+7)*((Tracker!$C$2:$C$5000)=J$2))</f>
        <v>3.0632684748533494</v>
      </c>
      <c r="K32" s="3" cm="1">
        <f t="array" ref="K32">SUMPRODUCT(Tracker!$J$2:$J$5000*((Tracker!$E$2:$E$5000)&gt;=$A32)*((Tracker!$E$2:$E$5000)&lt;$A32+7)*((Tracker!$C$2:$C$5000)=K$2))</f>
        <v>0</v>
      </c>
      <c r="L32" s="3" cm="1">
        <f t="array" ref="L32">SUMPRODUCT(Tracker!$J$2:$J$5000*((Tracker!$E$2:$E$5000)&gt;=$A32)*((Tracker!$E$2:$E$5000)&lt;$A32+7)*((Tracker!$C$2:$C$5000)=L$2))</f>
        <v>2.1088791087863119</v>
      </c>
      <c r="M32" s="3" cm="1">
        <f t="array" ref="M32">SUMPRODUCT(Tracker!$J$2:$J$5000*((Tracker!$E$2:$E$5000)&gt;=$A32)*((Tracker!$E$2:$E$5000)&lt;$A32+7)*((Tracker!$C$2:$C$5000)=M$2))</f>
        <v>0</v>
      </c>
      <c r="O32" s="37">
        <f t="shared" si="5"/>
        <v>0.31447339215010439</v>
      </c>
      <c r="P32" s="37">
        <f t="shared" si="6"/>
        <v>0.40566438780048486</v>
      </c>
      <c r="Q32" s="37">
        <f t="shared" si="7"/>
        <v>0.39943686910033449</v>
      </c>
    </row>
    <row r="33" spans="1:17" x14ac:dyDescent="0.35">
      <c r="A33" s="5">
        <f t="shared" si="4"/>
        <v>44318</v>
      </c>
      <c r="B33" t="str">
        <f t="shared" ca="1" si="0"/>
        <v/>
      </c>
      <c r="C33" s="3" cm="1">
        <f t="array" ref="C33">SUMPRODUCT(Tracker!$J$2:$J$5000*((Tracker!$E$2:$E$5000)&gt;=$A33)*((Tracker!$E$2:$E$5000)&lt;$A33+7)*((Tracker!$C$2:$C$5000)=C$2))</f>
        <v>0</v>
      </c>
      <c r="D33" s="3" cm="1">
        <f t="array" ref="D33">SUMPRODUCT(Tracker!$J$2:$J$5000*((Tracker!$E$2:$E$5000)&gt;=$A33)*((Tracker!$E$2:$E$5000)&lt;$A33+7)*((Tracker!$C$2:$C$5000)=D$2))</f>
        <v>0</v>
      </c>
      <c r="E33" s="3" cm="1">
        <f t="array" ref="E33">SUMPRODUCT(Tracker!$J$2:$J$5000*((Tracker!$E$2:$E$5000)&gt;=$A33)*((Tracker!$E$2:$E$5000)&lt;$A33+7)*((Tracker!$C$2:$C$5000)=E$2))</f>
        <v>0</v>
      </c>
      <c r="F33" s="3" cm="1">
        <f t="array" ref="F33">SUMPRODUCT(Tracker!$J$2:$J$5000*((Tracker!$E$2:$E$5000)&gt;=$A33)*((Tracker!$E$2:$E$5000)&lt;$A33+7)*((Tracker!$C$2:$C$5000)=F$2))</f>
        <v>0</v>
      </c>
      <c r="G33" s="3" cm="1">
        <f t="array" ref="G33">SUMPRODUCT(Tracker!$J$2:$J$5000*((Tracker!$E$2:$E$5000)&gt;=$A33)*((Tracker!$E$2:$E$5000)&lt;$A33+7)*((Tracker!$C$2:$C$5000)=G$2))</f>
        <v>0</v>
      </c>
      <c r="H33" s="3" cm="1">
        <f t="array" ref="H33">SUMPRODUCT(Tracker!$J$2:$J$5000*((Tracker!$E$2:$E$5000)&gt;=$A33)*((Tracker!$E$2:$E$5000)&lt;$A33+7)*((Tracker!$C$2:$C$5000)=H$2))</f>
        <v>0</v>
      </c>
      <c r="I33" s="3" cm="1">
        <f t="array" ref="I33">SUMPRODUCT(Tracker!$J$2:$J$5000*((Tracker!$E$2:$E$5000)&gt;=$A33)*((Tracker!$E$2:$E$5000)&lt;$A33+7)*((Tracker!$C$2:$C$5000)=I$2))</f>
        <v>0</v>
      </c>
      <c r="J33" s="3" cm="1">
        <f t="array" ref="J33">SUMPRODUCT(Tracker!$J$2:$J$5000*((Tracker!$E$2:$E$5000)&gt;=$A33)*((Tracker!$E$2:$E$5000)&lt;$A33+7)*((Tracker!$C$2:$C$5000)=J$2))</f>
        <v>0</v>
      </c>
      <c r="K33" s="3" cm="1">
        <f t="array" ref="K33">SUMPRODUCT(Tracker!$J$2:$J$5000*((Tracker!$E$2:$E$5000)&gt;=$A33)*((Tracker!$E$2:$E$5000)&lt;$A33+7)*((Tracker!$C$2:$C$5000)=K$2))</f>
        <v>0</v>
      </c>
      <c r="L33" s="3" cm="1">
        <f t="array" ref="L33">SUMPRODUCT(Tracker!$J$2:$J$5000*((Tracker!$E$2:$E$5000)&gt;=$A33)*((Tracker!$E$2:$E$5000)&lt;$A33+7)*((Tracker!$C$2:$C$5000)=L$2))</f>
        <v>0</v>
      </c>
      <c r="M33" s="3" cm="1">
        <f t="array" ref="M33">SUMPRODUCT(Tracker!$J$2:$J$5000*((Tracker!$E$2:$E$5000)&gt;=$A33)*((Tracker!$E$2:$E$5000)&lt;$A33+7)*((Tracker!$C$2:$C$5000)=M$2))</f>
        <v>0</v>
      </c>
      <c r="O33" s="37">
        <f t="shared" si="5"/>
        <v>0</v>
      </c>
      <c r="P33" s="37">
        <f t="shared" si="6"/>
        <v>0</v>
      </c>
      <c r="Q33" s="37">
        <f t="shared" si="7"/>
        <v>0</v>
      </c>
    </row>
    <row r="34" spans="1:17" x14ac:dyDescent="0.35">
      <c r="A34" s="5">
        <f t="shared" si="4"/>
        <v>44325</v>
      </c>
      <c r="B34" t="str">
        <f t="shared" ca="1" si="0"/>
        <v/>
      </c>
      <c r="C34" s="3" cm="1">
        <f t="array" ref="C34">SUMPRODUCT(Tracker!$J$2:$J$5000*((Tracker!$E$2:$E$5000)&gt;=$A34)*((Tracker!$E$2:$E$5000)&lt;$A34+7)*((Tracker!$C$2:$C$5000)=C$2))</f>
        <v>0</v>
      </c>
      <c r="D34" s="3" cm="1">
        <f t="array" ref="D34">SUMPRODUCT(Tracker!$J$2:$J$5000*((Tracker!$E$2:$E$5000)&gt;=$A34)*((Tracker!$E$2:$E$5000)&lt;$A34+7)*((Tracker!$C$2:$C$5000)=D$2))</f>
        <v>0</v>
      </c>
      <c r="E34" s="3" cm="1">
        <f t="array" ref="E34">SUMPRODUCT(Tracker!$J$2:$J$5000*((Tracker!$E$2:$E$5000)&gt;=$A34)*((Tracker!$E$2:$E$5000)&lt;$A34+7)*((Tracker!$C$2:$C$5000)=E$2))</f>
        <v>0</v>
      </c>
      <c r="F34" s="3" cm="1">
        <f t="array" ref="F34">SUMPRODUCT(Tracker!$J$2:$J$5000*((Tracker!$E$2:$E$5000)&gt;=$A34)*((Tracker!$E$2:$E$5000)&lt;$A34+7)*((Tracker!$C$2:$C$5000)=F$2))</f>
        <v>0</v>
      </c>
      <c r="G34" s="3" cm="1">
        <f t="array" ref="G34">SUMPRODUCT(Tracker!$J$2:$J$5000*((Tracker!$E$2:$E$5000)&gt;=$A34)*((Tracker!$E$2:$E$5000)&lt;$A34+7)*((Tracker!$C$2:$C$5000)=G$2))</f>
        <v>0</v>
      </c>
      <c r="H34" s="3" cm="1">
        <f t="array" ref="H34">SUMPRODUCT(Tracker!$J$2:$J$5000*((Tracker!$E$2:$E$5000)&gt;=$A34)*((Tracker!$E$2:$E$5000)&lt;$A34+7)*((Tracker!$C$2:$C$5000)=H$2))</f>
        <v>0</v>
      </c>
      <c r="I34" s="3" cm="1">
        <f t="array" ref="I34">SUMPRODUCT(Tracker!$J$2:$J$5000*((Tracker!$E$2:$E$5000)&gt;=$A34)*((Tracker!$E$2:$E$5000)&lt;$A34+7)*((Tracker!$C$2:$C$5000)=I$2))</f>
        <v>0</v>
      </c>
      <c r="J34" s="3" cm="1">
        <f t="array" ref="J34">SUMPRODUCT(Tracker!$J$2:$J$5000*((Tracker!$E$2:$E$5000)&gt;=$A34)*((Tracker!$E$2:$E$5000)&lt;$A34+7)*((Tracker!$C$2:$C$5000)=J$2))</f>
        <v>0</v>
      </c>
      <c r="K34" s="3" cm="1">
        <f t="array" ref="K34">SUMPRODUCT(Tracker!$J$2:$J$5000*((Tracker!$E$2:$E$5000)&gt;=$A34)*((Tracker!$E$2:$E$5000)&lt;$A34+7)*((Tracker!$C$2:$C$5000)=K$2))</f>
        <v>0</v>
      </c>
      <c r="L34" s="3" cm="1">
        <f t="array" ref="L34">SUMPRODUCT(Tracker!$J$2:$J$5000*((Tracker!$E$2:$E$5000)&gt;=$A34)*((Tracker!$E$2:$E$5000)&lt;$A34+7)*((Tracker!$C$2:$C$5000)=L$2))</f>
        <v>0</v>
      </c>
      <c r="M34" s="3" cm="1">
        <f t="array" ref="M34">SUMPRODUCT(Tracker!$J$2:$J$5000*((Tracker!$E$2:$E$5000)&gt;=$A34)*((Tracker!$E$2:$E$5000)&lt;$A34+7)*((Tracker!$C$2:$C$5000)=M$2))</f>
        <v>0</v>
      </c>
      <c r="O34" s="37">
        <f t="shared" si="5"/>
        <v>0</v>
      </c>
      <c r="P34" s="37">
        <f t="shared" si="6"/>
        <v>0</v>
      </c>
      <c r="Q34" s="37">
        <f t="shared" si="7"/>
        <v>0</v>
      </c>
    </row>
    <row r="35" spans="1:17" x14ac:dyDescent="0.35">
      <c r="A35" s="5">
        <f t="shared" si="4"/>
        <v>44332</v>
      </c>
      <c r="B35" t="str">
        <f t="shared" ca="1" si="0"/>
        <v/>
      </c>
      <c r="C35" s="3" cm="1">
        <f t="array" ref="C35">SUMPRODUCT(Tracker!$J$2:$J$5000*((Tracker!$E$2:$E$5000)&gt;=$A35)*((Tracker!$E$2:$E$5000)&lt;$A35+7)*((Tracker!$C$2:$C$5000)=C$2))</f>
        <v>0</v>
      </c>
      <c r="D35" s="3" cm="1">
        <f t="array" ref="D35">SUMPRODUCT(Tracker!$J$2:$J$5000*((Tracker!$E$2:$E$5000)&gt;=$A35)*((Tracker!$E$2:$E$5000)&lt;$A35+7)*((Tracker!$C$2:$C$5000)=D$2))</f>
        <v>0</v>
      </c>
      <c r="E35" s="3" cm="1">
        <f t="array" ref="E35">SUMPRODUCT(Tracker!$J$2:$J$5000*((Tracker!$E$2:$E$5000)&gt;=$A35)*((Tracker!$E$2:$E$5000)&lt;$A35+7)*((Tracker!$C$2:$C$5000)=E$2))</f>
        <v>0</v>
      </c>
      <c r="F35" s="3" cm="1">
        <f t="array" ref="F35">SUMPRODUCT(Tracker!$J$2:$J$5000*((Tracker!$E$2:$E$5000)&gt;=$A35)*((Tracker!$E$2:$E$5000)&lt;$A35+7)*((Tracker!$C$2:$C$5000)=F$2))</f>
        <v>0</v>
      </c>
      <c r="G35" s="3" cm="1">
        <f t="array" ref="G35">SUMPRODUCT(Tracker!$J$2:$J$5000*((Tracker!$E$2:$E$5000)&gt;=$A35)*((Tracker!$E$2:$E$5000)&lt;$A35+7)*((Tracker!$C$2:$C$5000)=G$2))</f>
        <v>0</v>
      </c>
      <c r="H35" s="3" cm="1">
        <f t="array" ref="H35">SUMPRODUCT(Tracker!$J$2:$J$5000*((Tracker!$E$2:$E$5000)&gt;=$A35)*((Tracker!$E$2:$E$5000)&lt;$A35+7)*((Tracker!$C$2:$C$5000)=H$2))</f>
        <v>0</v>
      </c>
      <c r="I35" s="3" cm="1">
        <f t="array" ref="I35">SUMPRODUCT(Tracker!$J$2:$J$5000*((Tracker!$E$2:$E$5000)&gt;=$A35)*((Tracker!$E$2:$E$5000)&lt;$A35+7)*((Tracker!$C$2:$C$5000)=I$2))</f>
        <v>0</v>
      </c>
      <c r="J35" s="3" cm="1">
        <f t="array" ref="J35">SUMPRODUCT(Tracker!$J$2:$J$5000*((Tracker!$E$2:$E$5000)&gt;=$A35)*((Tracker!$E$2:$E$5000)&lt;$A35+7)*((Tracker!$C$2:$C$5000)=J$2))</f>
        <v>0</v>
      </c>
      <c r="K35" s="3" cm="1">
        <f t="array" ref="K35">SUMPRODUCT(Tracker!$J$2:$J$5000*((Tracker!$E$2:$E$5000)&gt;=$A35)*((Tracker!$E$2:$E$5000)&lt;$A35+7)*((Tracker!$C$2:$C$5000)=K$2))</f>
        <v>0</v>
      </c>
      <c r="L35" s="3" cm="1">
        <f t="array" ref="L35">SUMPRODUCT(Tracker!$J$2:$J$5000*((Tracker!$E$2:$E$5000)&gt;=$A35)*((Tracker!$E$2:$E$5000)&lt;$A35+7)*((Tracker!$C$2:$C$5000)=L$2))</f>
        <v>0</v>
      </c>
      <c r="M35" s="3" cm="1">
        <f t="array" ref="M35">SUMPRODUCT(Tracker!$J$2:$J$5000*((Tracker!$E$2:$E$5000)&gt;=$A35)*((Tracker!$E$2:$E$5000)&lt;$A35+7)*((Tracker!$C$2:$C$5000)=M$2))</f>
        <v>0</v>
      </c>
      <c r="O35" s="37">
        <f t="shared" si="5"/>
        <v>0</v>
      </c>
      <c r="P35" s="37">
        <f t="shared" si="6"/>
        <v>0</v>
      </c>
      <c r="Q35" s="37">
        <f t="shared" si="7"/>
        <v>0</v>
      </c>
    </row>
    <row r="36" spans="1:17" x14ac:dyDescent="0.35">
      <c r="A36" s="5">
        <f t="shared" si="4"/>
        <v>44339</v>
      </c>
      <c r="B36" t="str">
        <f t="shared" ca="1" si="0"/>
        <v/>
      </c>
      <c r="C36" s="3" cm="1">
        <f t="array" ref="C36">SUMPRODUCT(Tracker!$J$2:$J$5000*((Tracker!$E$2:$E$5000)&gt;=$A36)*((Tracker!$E$2:$E$5000)&lt;$A36+7)*((Tracker!$C$2:$C$5000)=C$2))</f>
        <v>0</v>
      </c>
      <c r="D36" s="3" cm="1">
        <f t="array" ref="D36">SUMPRODUCT(Tracker!$J$2:$J$5000*((Tracker!$E$2:$E$5000)&gt;=$A36)*((Tracker!$E$2:$E$5000)&lt;$A36+7)*((Tracker!$C$2:$C$5000)=D$2))</f>
        <v>0</v>
      </c>
      <c r="E36" s="3" cm="1">
        <f t="array" ref="E36">SUMPRODUCT(Tracker!$J$2:$J$5000*((Tracker!$E$2:$E$5000)&gt;=$A36)*((Tracker!$E$2:$E$5000)&lt;$A36+7)*((Tracker!$C$2:$C$5000)=E$2))</f>
        <v>0</v>
      </c>
      <c r="F36" s="3" cm="1">
        <f t="array" ref="F36">SUMPRODUCT(Tracker!$J$2:$J$5000*((Tracker!$E$2:$E$5000)&gt;=$A36)*((Tracker!$E$2:$E$5000)&lt;$A36+7)*((Tracker!$C$2:$C$5000)=F$2))</f>
        <v>0</v>
      </c>
      <c r="G36" s="3" cm="1">
        <f t="array" ref="G36">SUMPRODUCT(Tracker!$J$2:$J$5000*((Tracker!$E$2:$E$5000)&gt;=$A36)*((Tracker!$E$2:$E$5000)&lt;$A36+7)*((Tracker!$C$2:$C$5000)=G$2))</f>
        <v>0</v>
      </c>
      <c r="H36" s="3" cm="1">
        <f t="array" ref="H36">SUMPRODUCT(Tracker!$J$2:$J$5000*((Tracker!$E$2:$E$5000)&gt;=$A36)*((Tracker!$E$2:$E$5000)&lt;$A36+7)*((Tracker!$C$2:$C$5000)=H$2))</f>
        <v>0</v>
      </c>
      <c r="I36" s="3" cm="1">
        <f t="array" ref="I36">SUMPRODUCT(Tracker!$J$2:$J$5000*((Tracker!$E$2:$E$5000)&gt;=$A36)*((Tracker!$E$2:$E$5000)&lt;$A36+7)*((Tracker!$C$2:$C$5000)=I$2))</f>
        <v>0</v>
      </c>
      <c r="J36" s="3" cm="1">
        <f t="array" ref="J36">SUMPRODUCT(Tracker!$J$2:$J$5000*((Tracker!$E$2:$E$5000)&gt;=$A36)*((Tracker!$E$2:$E$5000)&lt;$A36+7)*((Tracker!$C$2:$C$5000)=J$2))</f>
        <v>0</v>
      </c>
      <c r="K36" s="3" cm="1">
        <f t="array" ref="K36">SUMPRODUCT(Tracker!$J$2:$J$5000*((Tracker!$E$2:$E$5000)&gt;=$A36)*((Tracker!$E$2:$E$5000)&lt;$A36+7)*((Tracker!$C$2:$C$5000)=K$2))</f>
        <v>0</v>
      </c>
      <c r="L36" s="3" cm="1">
        <f t="array" ref="L36">SUMPRODUCT(Tracker!$J$2:$J$5000*((Tracker!$E$2:$E$5000)&gt;=$A36)*((Tracker!$E$2:$E$5000)&lt;$A36+7)*((Tracker!$C$2:$C$5000)=L$2))</f>
        <v>0</v>
      </c>
      <c r="M36" s="3" cm="1">
        <f t="array" ref="M36">SUMPRODUCT(Tracker!$J$2:$J$5000*((Tracker!$E$2:$E$5000)&gt;=$A36)*((Tracker!$E$2:$E$5000)&lt;$A36+7)*((Tracker!$C$2:$C$5000)=M$2))</f>
        <v>0</v>
      </c>
      <c r="O36" s="37">
        <f t="shared" si="5"/>
        <v>0</v>
      </c>
      <c r="P36" s="37">
        <f t="shared" si="6"/>
        <v>0</v>
      </c>
      <c r="Q36" s="37">
        <f t="shared" si="7"/>
        <v>0</v>
      </c>
    </row>
    <row r="37" spans="1:17" x14ac:dyDescent="0.35">
      <c r="A37" s="5">
        <f t="shared" si="4"/>
        <v>44346</v>
      </c>
      <c r="B37" t="str">
        <f t="shared" ca="1" si="0"/>
        <v/>
      </c>
      <c r="C37" s="3" cm="1">
        <f t="array" ref="C37">SUMPRODUCT(Tracker!$J$2:$J$5000*((Tracker!$E$2:$E$5000)&gt;=$A37)*((Tracker!$E$2:$E$5000)&lt;$A37+7)*((Tracker!$C$2:$C$5000)=C$2))</f>
        <v>0</v>
      </c>
      <c r="D37" s="3" cm="1">
        <f t="array" ref="D37">SUMPRODUCT(Tracker!$J$2:$J$5000*((Tracker!$E$2:$E$5000)&gt;=$A37)*((Tracker!$E$2:$E$5000)&lt;$A37+7)*((Tracker!$C$2:$C$5000)=D$2))</f>
        <v>0</v>
      </c>
      <c r="E37" s="3" cm="1">
        <f t="array" ref="E37">SUMPRODUCT(Tracker!$J$2:$J$5000*((Tracker!$E$2:$E$5000)&gt;=$A37)*((Tracker!$E$2:$E$5000)&lt;$A37+7)*((Tracker!$C$2:$C$5000)=E$2))</f>
        <v>0</v>
      </c>
      <c r="F37" s="3" cm="1">
        <f t="array" ref="F37">SUMPRODUCT(Tracker!$J$2:$J$5000*((Tracker!$E$2:$E$5000)&gt;=$A37)*((Tracker!$E$2:$E$5000)&lt;$A37+7)*((Tracker!$C$2:$C$5000)=F$2))</f>
        <v>0</v>
      </c>
      <c r="G37" s="3" cm="1">
        <f t="array" ref="G37">SUMPRODUCT(Tracker!$J$2:$J$5000*((Tracker!$E$2:$E$5000)&gt;=$A37)*((Tracker!$E$2:$E$5000)&lt;$A37+7)*((Tracker!$C$2:$C$5000)=G$2))</f>
        <v>0</v>
      </c>
      <c r="H37" s="3" cm="1">
        <f t="array" ref="H37">SUMPRODUCT(Tracker!$J$2:$J$5000*((Tracker!$E$2:$E$5000)&gt;=$A37)*((Tracker!$E$2:$E$5000)&lt;$A37+7)*((Tracker!$C$2:$C$5000)=H$2))</f>
        <v>0</v>
      </c>
      <c r="I37" s="3" cm="1">
        <f t="array" ref="I37">SUMPRODUCT(Tracker!$J$2:$J$5000*((Tracker!$E$2:$E$5000)&gt;=$A37)*((Tracker!$E$2:$E$5000)&lt;$A37+7)*((Tracker!$C$2:$C$5000)=I$2))</f>
        <v>0</v>
      </c>
      <c r="J37" s="3" cm="1">
        <f t="array" ref="J37">SUMPRODUCT(Tracker!$J$2:$J$5000*((Tracker!$E$2:$E$5000)&gt;=$A37)*((Tracker!$E$2:$E$5000)&lt;$A37+7)*((Tracker!$C$2:$C$5000)=J$2))</f>
        <v>0</v>
      </c>
      <c r="K37" s="3" cm="1">
        <f t="array" ref="K37">SUMPRODUCT(Tracker!$J$2:$J$5000*((Tracker!$E$2:$E$5000)&gt;=$A37)*((Tracker!$E$2:$E$5000)&lt;$A37+7)*((Tracker!$C$2:$C$5000)=K$2))</f>
        <v>0</v>
      </c>
      <c r="L37" s="3" cm="1">
        <f t="array" ref="L37">SUMPRODUCT(Tracker!$J$2:$J$5000*((Tracker!$E$2:$E$5000)&gt;=$A37)*((Tracker!$E$2:$E$5000)&lt;$A37+7)*((Tracker!$C$2:$C$5000)=L$2))</f>
        <v>0</v>
      </c>
      <c r="M37" s="3" cm="1">
        <f t="array" ref="M37">SUMPRODUCT(Tracker!$J$2:$J$5000*((Tracker!$E$2:$E$5000)&gt;=$A37)*((Tracker!$E$2:$E$5000)&lt;$A37+7)*((Tracker!$C$2:$C$5000)=M$2))</f>
        <v>0</v>
      </c>
      <c r="O37" s="37">
        <f t="shared" si="5"/>
        <v>0</v>
      </c>
      <c r="P37" s="37">
        <f t="shared" si="6"/>
        <v>0</v>
      </c>
      <c r="Q37" s="37">
        <f t="shared" si="7"/>
        <v>0</v>
      </c>
    </row>
    <row r="38" spans="1:17" x14ac:dyDescent="0.35">
      <c r="A38" s="5">
        <f t="shared" si="4"/>
        <v>44353</v>
      </c>
      <c r="B38" t="str">
        <f t="shared" ca="1" si="0"/>
        <v/>
      </c>
      <c r="C38" s="3" cm="1">
        <f t="array" ref="C38">SUMPRODUCT(Tracker!$J$2:$J$5000*((Tracker!$E$2:$E$5000)&gt;=$A38)*((Tracker!$E$2:$E$5000)&lt;$A38+7)*((Tracker!$C$2:$C$5000)=C$2))</f>
        <v>0</v>
      </c>
      <c r="D38" s="3" cm="1">
        <f t="array" ref="D38">SUMPRODUCT(Tracker!$J$2:$J$5000*((Tracker!$E$2:$E$5000)&gt;=$A38)*((Tracker!$E$2:$E$5000)&lt;$A38+7)*((Tracker!$C$2:$C$5000)=D$2))</f>
        <v>0</v>
      </c>
      <c r="E38" s="3" cm="1">
        <f t="array" ref="E38">SUMPRODUCT(Tracker!$J$2:$J$5000*((Tracker!$E$2:$E$5000)&gt;=$A38)*((Tracker!$E$2:$E$5000)&lt;$A38+7)*((Tracker!$C$2:$C$5000)=E$2))</f>
        <v>0</v>
      </c>
      <c r="F38" s="3" cm="1">
        <f t="array" ref="F38">SUMPRODUCT(Tracker!$J$2:$J$5000*((Tracker!$E$2:$E$5000)&gt;=$A38)*((Tracker!$E$2:$E$5000)&lt;$A38+7)*((Tracker!$C$2:$C$5000)=F$2))</f>
        <v>0</v>
      </c>
      <c r="G38" s="3" cm="1">
        <f t="array" ref="G38">SUMPRODUCT(Tracker!$J$2:$J$5000*((Tracker!$E$2:$E$5000)&gt;=$A38)*((Tracker!$E$2:$E$5000)&lt;$A38+7)*((Tracker!$C$2:$C$5000)=G$2))</f>
        <v>0</v>
      </c>
      <c r="H38" s="3" cm="1">
        <f t="array" ref="H38">SUMPRODUCT(Tracker!$J$2:$J$5000*((Tracker!$E$2:$E$5000)&gt;=$A38)*((Tracker!$E$2:$E$5000)&lt;$A38+7)*((Tracker!$C$2:$C$5000)=H$2))</f>
        <v>0</v>
      </c>
      <c r="I38" s="3" cm="1">
        <f t="array" ref="I38">SUMPRODUCT(Tracker!$J$2:$J$5000*((Tracker!$E$2:$E$5000)&gt;=$A38)*((Tracker!$E$2:$E$5000)&lt;$A38+7)*((Tracker!$C$2:$C$5000)=I$2))</f>
        <v>0</v>
      </c>
      <c r="J38" s="3" cm="1">
        <f t="array" ref="J38">SUMPRODUCT(Tracker!$J$2:$J$5000*((Tracker!$E$2:$E$5000)&gt;=$A38)*((Tracker!$E$2:$E$5000)&lt;$A38+7)*((Tracker!$C$2:$C$5000)=J$2))</f>
        <v>0</v>
      </c>
      <c r="K38" s="3" cm="1">
        <f t="array" ref="K38">SUMPRODUCT(Tracker!$J$2:$J$5000*((Tracker!$E$2:$E$5000)&gt;=$A38)*((Tracker!$E$2:$E$5000)&lt;$A38+7)*((Tracker!$C$2:$C$5000)=K$2))</f>
        <v>0</v>
      </c>
      <c r="L38" s="3" cm="1">
        <f t="array" ref="L38">SUMPRODUCT(Tracker!$J$2:$J$5000*((Tracker!$E$2:$E$5000)&gt;=$A38)*((Tracker!$E$2:$E$5000)&lt;$A38+7)*((Tracker!$C$2:$C$5000)=L$2))</f>
        <v>0</v>
      </c>
      <c r="M38" s="3" cm="1">
        <f t="array" ref="M38">SUMPRODUCT(Tracker!$J$2:$J$5000*((Tracker!$E$2:$E$5000)&gt;=$A38)*((Tracker!$E$2:$E$5000)&lt;$A38+7)*((Tracker!$C$2:$C$5000)=M$2))</f>
        <v>0</v>
      </c>
      <c r="O38" s="37">
        <f t="shared" si="5"/>
        <v>0</v>
      </c>
      <c r="P38" s="37">
        <f t="shared" si="6"/>
        <v>0</v>
      </c>
      <c r="Q38" s="37">
        <f t="shared" si="7"/>
        <v>0</v>
      </c>
    </row>
    <row r="39" spans="1:17" x14ac:dyDescent="0.35">
      <c r="A39" s="5">
        <f t="shared" si="4"/>
        <v>44360</v>
      </c>
      <c r="B39" t="str">
        <f t="shared" ca="1" si="0"/>
        <v/>
      </c>
      <c r="C39" s="3" cm="1">
        <f t="array" ref="C39">SUMPRODUCT(Tracker!$J$2:$J$5000*((Tracker!$E$2:$E$5000)&gt;=$A39)*((Tracker!$E$2:$E$5000)&lt;$A39+7)*((Tracker!$C$2:$C$5000)=C$2))</f>
        <v>0</v>
      </c>
      <c r="D39" s="3" cm="1">
        <f t="array" ref="D39">SUMPRODUCT(Tracker!$J$2:$J$5000*((Tracker!$E$2:$E$5000)&gt;=$A39)*((Tracker!$E$2:$E$5000)&lt;$A39+7)*((Tracker!$C$2:$C$5000)=D$2))</f>
        <v>0</v>
      </c>
      <c r="E39" s="3" cm="1">
        <f t="array" ref="E39">SUMPRODUCT(Tracker!$J$2:$J$5000*((Tracker!$E$2:$E$5000)&gt;=$A39)*((Tracker!$E$2:$E$5000)&lt;$A39+7)*((Tracker!$C$2:$C$5000)=E$2))</f>
        <v>0</v>
      </c>
      <c r="F39" s="3" cm="1">
        <f t="array" ref="F39">SUMPRODUCT(Tracker!$J$2:$J$5000*((Tracker!$E$2:$E$5000)&gt;=$A39)*((Tracker!$E$2:$E$5000)&lt;$A39+7)*((Tracker!$C$2:$C$5000)=F$2))</f>
        <v>0</v>
      </c>
      <c r="G39" s="3" cm="1">
        <f t="array" ref="G39">SUMPRODUCT(Tracker!$J$2:$J$5000*((Tracker!$E$2:$E$5000)&gt;=$A39)*((Tracker!$E$2:$E$5000)&lt;$A39+7)*((Tracker!$C$2:$C$5000)=G$2))</f>
        <v>0</v>
      </c>
      <c r="H39" s="3" cm="1">
        <f t="array" ref="H39">SUMPRODUCT(Tracker!$J$2:$J$5000*((Tracker!$E$2:$E$5000)&gt;=$A39)*((Tracker!$E$2:$E$5000)&lt;$A39+7)*((Tracker!$C$2:$C$5000)=H$2))</f>
        <v>0</v>
      </c>
      <c r="I39" s="3" cm="1">
        <f t="array" ref="I39">SUMPRODUCT(Tracker!$J$2:$J$5000*((Tracker!$E$2:$E$5000)&gt;=$A39)*((Tracker!$E$2:$E$5000)&lt;$A39+7)*((Tracker!$C$2:$C$5000)=I$2))</f>
        <v>0</v>
      </c>
      <c r="J39" s="3" cm="1">
        <f t="array" ref="J39">SUMPRODUCT(Tracker!$J$2:$J$5000*((Tracker!$E$2:$E$5000)&gt;=$A39)*((Tracker!$E$2:$E$5000)&lt;$A39+7)*((Tracker!$C$2:$C$5000)=J$2))</f>
        <v>0</v>
      </c>
      <c r="K39" s="3" cm="1">
        <f t="array" ref="K39">SUMPRODUCT(Tracker!$J$2:$J$5000*((Tracker!$E$2:$E$5000)&gt;=$A39)*((Tracker!$E$2:$E$5000)&lt;$A39+7)*((Tracker!$C$2:$C$5000)=K$2))</f>
        <v>0</v>
      </c>
      <c r="L39" s="3" cm="1">
        <f t="array" ref="L39">SUMPRODUCT(Tracker!$J$2:$J$5000*((Tracker!$E$2:$E$5000)&gt;=$A39)*((Tracker!$E$2:$E$5000)&lt;$A39+7)*((Tracker!$C$2:$C$5000)=L$2))</f>
        <v>0</v>
      </c>
      <c r="M39" s="3" cm="1">
        <f t="array" ref="M39">SUMPRODUCT(Tracker!$J$2:$J$5000*((Tracker!$E$2:$E$5000)&gt;=$A39)*((Tracker!$E$2:$E$5000)&lt;$A39+7)*((Tracker!$C$2:$C$5000)=M$2))</f>
        <v>0</v>
      </c>
      <c r="O39" s="37">
        <f t="shared" si="5"/>
        <v>0</v>
      </c>
      <c r="P39" s="37">
        <f t="shared" si="6"/>
        <v>0</v>
      </c>
      <c r="Q39" s="37">
        <f t="shared" si="7"/>
        <v>0</v>
      </c>
    </row>
    <row r="40" spans="1:17" x14ac:dyDescent="0.35">
      <c r="A40" s="5">
        <f t="shared" si="4"/>
        <v>44367</v>
      </c>
      <c r="B40" t="str">
        <f t="shared" ca="1" si="0"/>
        <v/>
      </c>
      <c r="C40" s="3" cm="1">
        <f t="array" ref="C40">SUMPRODUCT(Tracker!$J$2:$J$5000*((Tracker!$E$2:$E$5000)&gt;=$A40)*((Tracker!$E$2:$E$5000)&lt;$A40+7)*((Tracker!$C$2:$C$5000)=C$2))</f>
        <v>0</v>
      </c>
      <c r="D40" s="3" cm="1">
        <f t="array" ref="D40">SUMPRODUCT(Tracker!$J$2:$J$5000*((Tracker!$E$2:$E$5000)&gt;=$A40)*((Tracker!$E$2:$E$5000)&lt;$A40+7)*((Tracker!$C$2:$C$5000)=D$2))</f>
        <v>0</v>
      </c>
      <c r="E40" s="3" cm="1">
        <f t="array" ref="E40">SUMPRODUCT(Tracker!$J$2:$J$5000*((Tracker!$E$2:$E$5000)&gt;=$A40)*((Tracker!$E$2:$E$5000)&lt;$A40+7)*((Tracker!$C$2:$C$5000)=E$2))</f>
        <v>0</v>
      </c>
      <c r="F40" s="3" cm="1">
        <f t="array" ref="F40">SUMPRODUCT(Tracker!$J$2:$J$5000*((Tracker!$E$2:$E$5000)&gt;=$A40)*((Tracker!$E$2:$E$5000)&lt;$A40+7)*((Tracker!$C$2:$C$5000)=F$2))</f>
        <v>0</v>
      </c>
      <c r="G40" s="3" cm="1">
        <f t="array" ref="G40">SUMPRODUCT(Tracker!$J$2:$J$5000*((Tracker!$E$2:$E$5000)&gt;=$A40)*((Tracker!$E$2:$E$5000)&lt;$A40+7)*((Tracker!$C$2:$C$5000)=G$2))</f>
        <v>0</v>
      </c>
      <c r="H40" s="3" cm="1">
        <f t="array" ref="H40">SUMPRODUCT(Tracker!$J$2:$J$5000*((Tracker!$E$2:$E$5000)&gt;=$A40)*((Tracker!$E$2:$E$5000)&lt;$A40+7)*((Tracker!$C$2:$C$5000)=H$2))</f>
        <v>0</v>
      </c>
      <c r="I40" s="3" cm="1">
        <f t="array" ref="I40">SUMPRODUCT(Tracker!$J$2:$J$5000*((Tracker!$E$2:$E$5000)&gt;=$A40)*((Tracker!$E$2:$E$5000)&lt;$A40+7)*((Tracker!$C$2:$C$5000)=I$2))</f>
        <v>0</v>
      </c>
      <c r="J40" s="3" cm="1">
        <f t="array" ref="J40">SUMPRODUCT(Tracker!$J$2:$J$5000*((Tracker!$E$2:$E$5000)&gt;=$A40)*((Tracker!$E$2:$E$5000)&lt;$A40+7)*((Tracker!$C$2:$C$5000)=J$2))</f>
        <v>0</v>
      </c>
      <c r="K40" s="3" cm="1">
        <f t="array" ref="K40">SUMPRODUCT(Tracker!$J$2:$J$5000*((Tracker!$E$2:$E$5000)&gt;=$A40)*((Tracker!$E$2:$E$5000)&lt;$A40+7)*((Tracker!$C$2:$C$5000)=K$2))</f>
        <v>0</v>
      </c>
      <c r="L40" s="3" cm="1">
        <f t="array" ref="L40">SUMPRODUCT(Tracker!$J$2:$J$5000*((Tracker!$E$2:$E$5000)&gt;=$A40)*((Tracker!$E$2:$E$5000)&lt;$A40+7)*((Tracker!$C$2:$C$5000)=L$2))</f>
        <v>0</v>
      </c>
      <c r="M40" s="3" cm="1">
        <f t="array" ref="M40">SUMPRODUCT(Tracker!$J$2:$J$5000*((Tracker!$E$2:$E$5000)&gt;=$A40)*((Tracker!$E$2:$E$5000)&lt;$A40+7)*((Tracker!$C$2:$C$5000)=M$2))</f>
        <v>0</v>
      </c>
      <c r="O40" s="37">
        <f t="shared" si="5"/>
        <v>0</v>
      </c>
      <c r="P40" s="37">
        <f t="shared" si="6"/>
        <v>0</v>
      </c>
      <c r="Q40" s="37">
        <f t="shared" si="7"/>
        <v>0</v>
      </c>
    </row>
    <row r="41" spans="1:17" x14ac:dyDescent="0.35">
      <c r="A41" s="5">
        <f t="shared" si="4"/>
        <v>44374</v>
      </c>
      <c r="B41" t="str">
        <f t="shared" ca="1" si="0"/>
        <v/>
      </c>
      <c r="C41" s="3" cm="1">
        <f t="array" ref="C41">SUMPRODUCT(Tracker!$J$2:$J$5000*((Tracker!$E$2:$E$5000)&gt;=$A41)*((Tracker!$E$2:$E$5000)&lt;$A41+7)*((Tracker!$C$2:$C$5000)=C$2))</f>
        <v>0</v>
      </c>
      <c r="D41" s="3" cm="1">
        <f t="array" ref="D41">SUMPRODUCT(Tracker!$J$2:$J$5000*((Tracker!$E$2:$E$5000)&gt;=$A41)*((Tracker!$E$2:$E$5000)&lt;$A41+7)*((Tracker!$C$2:$C$5000)=D$2))</f>
        <v>0</v>
      </c>
      <c r="E41" s="3" cm="1">
        <f t="array" ref="E41">SUMPRODUCT(Tracker!$J$2:$J$5000*((Tracker!$E$2:$E$5000)&gt;=$A41)*((Tracker!$E$2:$E$5000)&lt;$A41+7)*((Tracker!$C$2:$C$5000)=E$2))</f>
        <v>0</v>
      </c>
      <c r="F41" s="3" cm="1">
        <f t="array" ref="F41">SUMPRODUCT(Tracker!$J$2:$J$5000*((Tracker!$E$2:$E$5000)&gt;=$A41)*((Tracker!$E$2:$E$5000)&lt;$A41+7)*((Tracker!$C$2:$C$5000)=F$2))</f>
        <v>0</v>
      </c>
      <c r="G41" s="3" cm="1">
        <f t="array" ref="G41">SUMPRODUCT(Tracker!$J$2:$J$5000*((Tracker!$E$2:$E$5000)&gt;=$A41)*((Tracker!$E$2:$E$5000)&lt;$A41+7)*((Tracker!$C$2:$C$5000)=G$2))</f>
        <v>0</v>
      </c>
      <c r="H41" s="3" cm="1">
        <f t="array" ref="H41">SUMPRODUCT(Tracker!$J$2:$J$5000*((Tracker!$E$2:$E$5000)&gt;=$A41)*((Tracker!$E$2:$E$5000)&lt;$A41+7)*((Tracker!$C$2:$C$5000)=H$2))</f>
        <v>0</v>
      </c>
      <c r="I41" s="3" cm="1">
        <f t="array" ref="I41">SUMPRODUCT(Tracker!$J$2:$J$5000*((Tracker!$E$2:$E$5000)&gt;=$A41)*((Tracker!$E$2:$E$5000)&lt;$A41+7)*((Tracker!$C$2:$C$5000)=I$2))</f>
        <v>0</v>
      </c>
      <c r="J41" s="3" cm="1">
        <f t="array" ref="J41">SUMPRODUCT(Tracker!$J$2:$J$5000*((Tracker!$E$2:$E$5000)&gt;=$A41)*((Tracker!$E$2:$E$5000)&lt;$A41+7)*((Tracker!$C$2:$C$5000)=J$2))</f>
        <v>0</v>
      </c>
      <c r="K41" s="3" cm="1">
        <f t="array" ref="K41">SUMPRODUCT(Tracker!$J$2:$J$5000*((Tracker!$E$2:$E$5000)&gt;=$A41)*((Tracker!$E$2:$E$5000)&lt;$A41+7)*((Tracker!$C$2:$C$5000)=K$2))</f>
        <v>0</v>
      </c>
      <c r="L41" s="3" cm="1">
        <f t="array" ref="L41">SUMPRODUCT(Tracker!$J$2:$J$5000*((Tracker!$E$2:$E$5000)&gt;=$A41)*((Tracker!$E$2:$E$5000)&lt;$A41+7)*((Tracker!$C$2:$C$5000)=L$2))</f>
        <v>0</v>
      </c>
      <c r="M41" s="3" cm="1">
        <f t="array" ref="M41">SUMPRODUCT(Tracker!$J$2:$J$5000*((Tracker!$E$2:$E$5000)&gt;=$A41)*((Tracker!$E$2:$E$5000)&lt;$A41+7)*((Tracker!$C$2:$C$5000)=M$2))</f>
        <v>0</v>
      </c>
      <c r="O41" s="37">
        <f t="shared" si="5"/>
        <v>0</v>
      </c>
      <c r="P41" s="37">
        <f t="shared" si="6"/>
        <v>0</v>
      </c>
      <c r="Q41" s="37">
        <f t="shared" si="7"/>
        <v>0</v>
      </c>
    </row>
    <row r="42" spans="1:17" x14ac:dyDescent="0.35">
      <c r="A42" s="5">
        <f t="shared" si="4"/>
        <v>44381</v>
      </c>
      <c r="B42" t="str">
        <f t="shared" ca="1" si="0"/>
        <v/>
      </c>
      <c r="C42" s="3" cm="1">
        <f t="array" ref="C42">SUMPRODUCT(Tracker!$J$2:$J$5000*((Tracker!$E$2:$E$5000)&gt;=$A42)*((Tracker!$E$2:$E$5000)&lt;$A42+7)*((Tracker!$C$2:$C$5000)=C$2))</f>
        <v>0</v>
      </c>
      <c r="D42" s="3" cm="1">
        <f t="array" ref="D42">SUMPRODUCT(Tracker!$J$2:$J$5000*((Tracker!$E$2:$E$5000)&gt;=$A42)*((Tracker!$E$2:$E$5000)&lt;$A42+7)*((Tracker!$C$2:$C$5000)=D$2))</f>
        <v>0</v>
      </c>
      <c r="E42" s="3" cm="1">
        <f t="array" ref="E42">SUMPRODUCT(Tracker!$J$2:$J$5000*((Tracker!$E$2:$E$5000)&gt;=$A42)*((Tracker!$E$2:$E$5000)&lt;$A42+7)*((Tracker!$C$2:$C$5000)=E$2))</f>
        <v>0</v>
      </c>
      <c r="F42" s="3" cm="1">
        <f t="array" ref="F42">SUMPRODUCT(Tracker!$J$2:$J$5000*((Tracker!$E$2:$E$5000)&gt;=$A42)*((Tracker!$E$2:$E$5000)&lt;$A42+7)*((Tracker!$C$2:$C$5000)=F$2))</f>
        <v>0</v>
      </c>
      <c r="G42" s="3" cm="1">
        <f t="array" ref="G42">SUMPRODUCT(Tracker!$J$2:$J$5000*((Tracker!$E$2:$E$5000)&gt;=$A42)*((Tracker!$E$2:$E$5000)&lt;$A42+7)*((Tracker!$C$2:$C$5000)=G$2))</f>
        <v>0</v>
      </c>
      <c r="H42" s="3" cm="1">
        <f t="array" ref="H42">SUMPRODUCT(Tracker!$J$2:$J$5000*((Tracker!$E$2:$E$5000)&gt;=$A42)*((Tracker!$E$2:$E$5000)&lt;$A42+7)*((Tracker!$C$2:$C$5000)=H$2))</f>
        <v>0</v>
      </c>
      <c r="I42" s="3" cm="1">
        <f t="array" ref="I42">SUMPRODUCT(Tracker!$J$2:$J$5000*((Tracker!$E$2:$E$5000)&gt;=$A42)*((Tracker!$E$2:$E$5000)&lt;$A42+7)*((Tracker!$C$2:$C$5000)=I$2))</f>
        <v>0</v>
      </c>
      <c r="J42" s="3" cm="1">
        <f t="array" ref="J42">SUMPRODUCT(Tracker!$J$2:$J$5000*((Tracker!$E$2:$E$5000)&gt;=$A42)*((Tracker!$E$2:$E$5000)&lt;$A42+7)*((Tracker!$C$2:$C$5000)=J$2))</f>
        <v>0</v>
      </c>
      <c r="K42" s="3" cm="1">
        <f t="array" ref="K42">SUMPRODUCT(Tracker!$J$2:$J$5000*((Tracker!$E$2:$E$5000)&gt;=$A42)*((Tracker!$E$2:$E$5000)&lt;$A42+7)*((Tracker!$C$2:$C$5000)=K$2))</f>
        <v>0</v>
      </c>
      <c r="L42" s="3" cm="1">
        <f t="array" ref="L42">SUMPRODUCT(Tracker!$J$2:$J$5000*((Tracker!$E$2:$E$5000)&gt;=$A42)*((Tracker!$E$2:$E$5000)&lt;$A42+7)*((Tracker!$C$2:$C$5000)=L$2))</f>
        <v>0</v>
      </c>
      <c r="M42" s="3" cm="1">
        <f t="array" ref="M42">SUMPRODUCT(Tracker!$J$2:$J$5000*((Tracker!$E$2:$E$5000)&gt;=$A42)*((Tracker!$E$2:$E$5000)&lt;$A42+7)*((Tracker!$C$2:$C$5000)=M$2))</f>
        <v>0</v>
      </c>
      <c r="O42" s="37">
        <f t="shared" si="5"/>
        <v>0</v>
      </c>
      <c r="P42" s="37">
        <f t="shared" si="6"/>
        <v>0</v>
      </c>
      <c r="Q42" s="37">
        <f t="shared" si="7"/>
        <v>0</v>
      </c>
    </row>
    <row r="43" spans="1:17" x14ac:dyDescent="0.35">
      <c r="A43" s="5">
        <f>A42+7</f>
        <v>44388</v>
      </c>
      <c r="B43" t="str">
        <f t="shared" ca="1" si="0"/>
        <v/>
      </c>
      <c r="C43" s="3" cm="1">
        <f t="array" ref="C43">SUMPRODUCT(Tracker!$J$2:$J$5000*((Tracker!$E$2:$E$5000)&gt;=$A43)*((Tracker!$E$2:$E$5000)&lt;$A43+7)*((Tracker!$C$2:$C$5000)=C$2))</f>
        <v>0</v>
      </c>
      <c r="D43" s="3" cm="1">
        <f t="array" ref="D43">SUMPRODUCT(Tracker!$J$2:$J$5000*((Tracker!$E$2:$E$5000)&gt;=$A43)*((Tracker!$E$2:$E$5000)&lt;$A43+7)*((Tracker!$C$2:$C$5000)=D$2))</f>
        <v>0</v>
      </c>
      <c r="E43" s="3" cm="1">
        <f t="array" ref="E43">SUMPRODUCT(Tracker!$J$2:$J$5000*((Tracker!$E$2:$E$5000)&gt;=$A43)*((Tracker!$E$2:$E$5000)&lt;$A43+7)*((Tracker!$C$2:$C$5000)=E$2))</f>
        <v>0</v>
      </c>
      <c r="F43" s="3" cm="1">
        <f t="array" ref="F43">SUMPRODUCT(Tracker!$J$2:$J$5000*((Tracker!$E$2:$E$5000)&gt;=$A43)*((Tracker!$E$2:$E$5000)&lt;$A43+7)*((Tracker!$C$2:$C$5000)=F$2))</f>
        <v>0</v>
      </c>
      <c r="G43" s="3" cm="1">
        <f t="array" ref="G43">SUMPRODUCT(Tracker!$J$2:$J$5000*((Tracker!$E$2:$E$5000)&gt;=$A43)*((Tracker!$E$2:$E$5000)&lt;$A43+7)*((Tracker!$C$2:$C$5000)=G$2))</f>
        <v>0</v>
      </c>
      <c r="H43" s="3" cm="1">
        <f t="array" ref="H43">SUMPRODUCT(Tracker!$J$2:$J$5000*((Tracker!$E$2:$E$5000)&gt;=$A43)*((Tracker!$E$2:$E$5000)&lt;$A43+7)*((Tracker!$C$2:$C$5000)=H$2))</f>
        <v>0</v>
      </c>
      <c r="I43" s="3" cm="1">
        <f t="array" ref="I43">SUMPRODUCT(Tracker!$J$2:$J$5000*((Tracker!$E$2:$E$5000)&gt;=$A43)*((Tracker!$E$2:$E$5000)&lt;$A43+7)*((Tracker!$C$2:$C$5000)=I$2))</f>
        <v>0</v>
      </c>
      <c r="J43" s="3" cm="1">
        <f t="array" ref="J43">SUMPRODUCT(Tracker!$J$2:$J$5000*((Tracker!$E$2:$E$5000)&gt;=$A43)*((Tracker!$E$2:$E$5000)&lt;$A43+7)*((Tracker!$C$2:$C$5000)=J$2))</f>
        <v>0</v>
      </c>
      <c r="K43" s="3" cm="1">
        <f t="array" ref="K43">SUMPRODUCT(Tracker!$J$2:$J$5000*((Tracker!$E$2:$E$5000)&gt;=$A43)*((Tracker!$E$2:$E$5000)&lt;$A43+7)*((Tracker!$C$2:$C$5000)=K$2))</f>
        <v>0</v>
      </c>
      <c r="L43" s="3" cm="1">
        <f t="array" ref="L43">SUMPRODUCT(Tracker!$J$2:$J$5000*((Tracker!$E$2:$E$5000)&gt;=$A43)*((Tracker!$E$2:$E$5000)&lt;$A43+7)*((Tracker!$C$2:$C$5000)=L$2))</f>
        <v>0</v>
      </c>
      <c r="M43" s="3" cm="1">
        <f t="array" ref="M43">SUMPRODUCT(Tracker!$J$2:$J$5000*((Tracker!$E$2:$E$5000)&gt;=$A43)*((Tracker!$E$2:$E$5000)&lt;$A43+7)*((Tracker!$C$2:$C$5000)=M$2))</f>
        <v>0</v>
      </c>
      <c r="O43" s="37">
        <f t="shared" si="5"/>
        <v>0</v>
      </c>
      <c r="P43" s="37">
        <f t="shared" si="6"/>
        <v>0</v>
      </c>
      <c r="Q43" s="37">
        <f t="shared" si="7"/>
        <v>0</v>
      </c>
    </row>
    <row r="44" spans="1:17" x14ac:dyDescent="0.35">
      <c r="A44" s="5">
        <f t="shared" si="4"/>
        <v>44395</v>
      </c>
      <c r="B44" t="str">
        <f t="shared" ca="1" si="0"/>
        <v/>
      </c>
      <c r="C44" s="3" cm="1">
        <f t="array" ref="C44">SUMPRODUCT(Tracker!$J$2:$J$5000*((Tracker!$E$2:$E$5000)&gt;=$A44)*((Tracker!$E$2:$E$5000)&lt;$A44+7)*((Tracker!$C$2:$C$5000)=C$2))</f>
        <v>0</v>
      </c>
      <c r="D44" s="3" cm="1">
        <f t="array" ref="D44">SUMPRODUCT(Tracker!$J$2:$J$5000*((Tracker!$E$2:$E$5000)&gt;=$A44)*((Tracker!$E$2:$E$5000)&lt;$A44+7)*((Tracker!$C$2:$C$5000)=D$2))</f>
        <v>0</v>
      </c>
      <c r="E44" s="3" cm="1">
        <f t="array" ref="E44">SUMPRODUCT(Tracker!$J$2:$J$5000*((Tracker!$E$2:$E$5000)&gt;=$A44)*((Tracker!$E$2:$E$5000)&lt;$A44+7)*((Tracker!$C$2:$C$5000)=E$2))</f>
        <v>0</v>
      </c>
      <c r="F44" s="3" cm="1">
        <f t="array" ref="F44">SUMPRODUCT(Tracker!$J$2:$J$5000*((Tracker!$E$2:$E$5000)&gt;=$A44)*((Tracker!$E$2:$E$5000)&lt;$A44+7)*((Tracker!$C$2:$C$5000)=F$2))</f>
        <v>0</v>
      </c>
      <c r="G44" s="3" cm="1">
        <f t="array" ref="G44">SUMPRODUCT(Tracker!$J$2:$J$5000*((Tracker!$E$2:$E$5000)&gt;=$A44)*((Tracker!$E$2:$E$5000)&lt;$A44+7)*((Tracker!$C$2:$C$5000)=G$2))</f>
        <v>0</v>
      </c>
      <c r="H44" s="3" cm="1">
        <f t="array" ref="H44">SUMPRODUCT(Tracker!$J$2:$J$5000*((Tracker!$E$2:$E$5000)&gt;=$A44)*((Tracker!$E$2:$E$5000)&lt;$A44+7)*((Tracker!$C$2:$C$5000)=H$2))</f>
        <v>0</v>
      </c>
      <c r="I44" s="3" cm="1">
        <f t="array" ref="I44">SUMPRODUCT(Tracker!$J$2:$J$5000*((Tracker!$E$2:$E$5000)&gt;=$A44)*((Tracker!$E$2:$E$5000)&lt;$A44+7)*((Tracker!$C$2:$C$5000)=I$2))</f>
        <v>0</v>
      </c>
      <c r="J44" s="3" cm="1">
        <f t="array" ref="J44">SUMPRODUCT(Tracker!$J$2:$J$5000*((Tracker!$E$2:$E$5000)&gt;=$A44)*((Tracker!$E$2:$E$5000)&lt;$A44+7)*((Tracker!$C$2:$C$5000)=J$2))</f>
        <v>0</v>
      </c>
      <c r="K44" s="3" cm="1">
        <f t="array" ref="K44">SUMPRODUCT(Tracker!$J$2:$J$5000*((Tracker!$E$2:$E$5000)&gt;=$A44)*((Tracker!$E$2:$E$5000)&lt;$A44+7)*((Tracker!$C$2:$C$5000)=K$2))</f>
        <v>0</v>
      </c>
      <c r="L44" s="3" cm="1">
        <f t="array" ref="L44">SUMPRODUCT(Tracker!$J$2:$J$5000*((Tracker!$E$2:$E$5000)&gt;=$A44)*((Tracker!$E$2:$E$5000)&lt;$A44+7)*((Tracker!$C$2:$C$5000)=L$2))</f>
        <v>0</v>
      </c>
      <c r="M44" s="3" cm="1">
        <f t="array" ref="M44">SUMPRODUCT(Tracker!$J$2:$J$5000*((Tracker!$E$2:$E$5000)&gt;=$A44)*((Tracker!$E$2:$E$5000)&lt;$A44+7)*((Tracker!$C$2:$C$5000)=M$2))</f>
        <v>0</v>
      </c>
      <c r="O44" s="37">
        <f t="shared" si="5"/>
        <v>0</v>
      </c>
      <c r="P44" s="37">
        <f t="shared" si="6"/>
        <v>0</v>
      </c>
      <c r="Q44" s="37">
        <f t="shared" si="7"/>
        <v>0</v>
      </c>
    </row>
    <row r="45" spans="1:17" x14ac:dyDescent="0.35">
      <c r="A45" s="5">
        <f t="shared" si="4"/>
        <v>44402</v>
      </c>
      <c r="B45" t="str">
        <f t="shared" ca="1" si="0"/>
        <v/>
      </c>
      <c r="C45" s="3" cm="1">
        <f t="array" ref="C45">SUMPRODUCT(Tracker!$J$2:$J$5000*((Tracker!$E$2:$E$5000)&gt;=$A45)*((Tracker!$E$2:$E$5000)&lt;$A45+7)*((Tracker!$C$2:$C$5000)=C$2))</f>
        <v>0</v>
      </c>
      <c r="D45" s="3" cm="1">
        <f t="array" ref="D45">SUMPRODUCT(Tracker!$J$2:$J$5000*((Tracker!$E$2:$E$5000)&gt;=$A45)*((Tracker!$E$2:$E$5000)&lt;$A45+7)*((Tracker!$C$2:$C$5000)=D$2))</f>
        <v>0</v>
      </c>
      <c r="E45" s="3" cm="1">
        <f t="array" ref="E45">SUMPRODUCT(Tracker!$J$2:$J$5000*((Tracker!$E$2:$E$5000)&gt;=$A45)*((Tracker!$E$2:$E$5000)&lt;$A45+7)*((Tracker!$C$2:$C$5000)=E$2))</f>
        <v>0</v>
      </c>
      <c r="F45" s="3" cm="1">
        <f t="array" ref="F45">SUMPRODUCT(Tracker!$J$2:$J$5000*((Tracker!$E$2:$E$5000)&gt;=$A45)*((Tracker!$E$2:$E$5000)&lt;$A45+7)*((Tracker!$C$2:$C$5000)=F$2))</f>
        <v>0</v>
      </c>
      <c r="G45" s="3" cm="1">
        <f t="array" ref="G45">SUMPRODUCT(Tracker!$J$2:$J$5000*((Tracker!$E$2:$E$5000)&gt;=$A45)*((Tracker!$E$2:$E$5000)&lt;$A45+7)*((Tracker!$C$2:$C$5000)=G$2))</f>
        <v>0</v>
      </c>
      <c r="H45" s="3" cm="1">
        <f t="array" ref="H45">SUMPRODUCT(Tracker!$J$2:$J$5000*((Tracker!$E$2:$E$5000)&gt;=$A45)*((Tracker!$E$2:$E$5000)&lt;$A45+7)*((Tracker!$C$2:$C$5000)=H$2))</f>
        <v>0</v>
      </c>
      <c r="I45" s="3" cm="1">
        <f t="array" ref="I45">SUMPRODUCT(Tracker!$J$2:$J$5000*((Tracker!$E$2:$E$5000)&gt;=$A45)*((Tracker!$E$2:$E$5000)&lt;$A45+7)*((Tracker!$C$2:$C$5000)=I$2))</f>
        <v>0</v>
      </c>
      <c r="J45" s="3" cm="1">
        <f t="array" ref="J45">SUMPRODUCT(Tracker!$J$2:$J$5000*((Tracker!$E$2:$E$5000)&gt;=$A45)*((Tracker!$E$2:$E$5000)&lt;$A45+7)*((Tracker!$C$2:$C$5000)=J$2))</f>
        <v>0</v>
      </c>
      <c r="K45" s="3" cm="1">
        <f t="array" ref="K45">SUMPRODUCT(Tracker!$J$2:$J$5000*((Tracker!$E$2:$E$5000)&gt;=$A45)*((Tracker!$E$2:$E$5000)&lt;$A45+7)*((Tracker!$C$2:$C$5000)=K$2))</f>
        <v>0</v>
      </c>
      <c r="L45" s="3" cm="1">
        <f t="array" ref="L45">SUMPRODUCT(Tracker!$J$2:$J$5000*((Tracker!$E$2:$E$5000)&gt;=$A45)*((Tracker!$E$2:$E$5000)&lt;$A45+7)*((Tracker!$C$2:$C$5000)=L$2))</f>
        <v>0</v>
      </c>
      <c r="M45" s="3" cm="1">
        <f t="array" ref="M45">SUMPRODUCT(Tracker!$J$2:$J$5000*((Tracker!$E$2:$E$5000)&gt;=$A45)*((Tracker!$E$2:$E$5000)&lt;$A45+7)*((Tracker!$C$2:$C$5000)=M$2))</f>
        <v>0</v>
      </c>
      <c r="O45" s="37">
        <f t="shared" si="5"/>
        <v>0</v>
      </c>
      <c r="P45" s="37">
        <f t="shared" si="6"/>
        <v>0</v>
      </c>
      <c r="Q45" s="37">
        <f t="shared" si="7"/>
        <v>0</v>
      </c>
    </row>
    <row r="46" spans="1:17" x14ac:dyDescent="0.35">
      <c r="A46" s="5">
        <f t="shared" si="4"/>
        <v>44409</v>
      </c>
      <c r="B46" t="str">
        <f t="shared" ca="1" si="0"/>
        <v/>
      </c>
      <c r="C46" s="3" cm="1">
        <f t="array" ref="C46">SUMPRODUCT(Tracker!$J$2:$J$5000*((Tracker!$E$2:$E$5000)&gt;=$A46)*((Tracker!$E$2:$E$5000)&lt;$A46+7)*((Tracker!$C$2:$C$5000)=C$2))</f>
        <v>0</v>
      </c>
      <c r="D46" s="3" cm="1">
        <f t="array" ref="D46">SUMPRODUCT(Tracker!$J$2:$J$5000*((Tracker!$E$2:$E$5000)&gt;=$A46)*((Tracker!$E$2:$E$5000)&lt;$A46+7)*((Tracker!$C$2:$C$5000)=D$2))</f>
        <v>0</v>
      </c>
      <c r="E46" s="3" cm="1">
        <f t="array" ref="E46">SUMPRODUCT(Tracker!$J$2:$J$5000*((Tracker!$E$2:$E$5000)&gt;=$A46)*((Tracker!$E$2:$E$5000)&lt;$A46+7)*((Tracker!$C$2:$C$5000)=E$2))</f>
        <v>0</v>
      </c>
      <c r="F46" s="3" cm="1">
        <f t="array" ref="F46">SUMPRODUCT(Tracker!$J$2:$J$5000*((Tracker!$E$2:$E$5000)&gt;=$A46)*((Tracker!$E$2:$E$5000)&lt;$A46+7)*((Tracker!$C$2:$C$5000)=F$2))</f>
        <v>0</v>
      </c>
      <c r="G46" s="3" cm="1">
        <f t="array" ref="G46">SUMPRODUCT(Tracker!$J$2:$J$5000*((Tracker!$E$2:$E$5000)&gt;=$A46)*((Tracker!$E$2:$E$5000)&lt;$A46+7)*((Tracker!$C$2:$C$5000)=G$2))</f>
        <v>0</v>
      </c>
      <c r="H46" s="3" cm="1">
        <f t="array" ref="H46">SUMPRODUCT(Tracker!$J$2:$J$5000*((Tracker!$E$2:$E$5000)&gt;=$A46)*((Tracker!$E$2:$E$5000)&lt;$A46+7)*((Tracker!$C$2:$C$5000)=H$2))</f>
        <v>0</v>
      </c>
      <c r="I46" s="3" cm="1">
        <f t="array" ref="I46">SUMPRODUCT(Tracker!$J$2:$J$5000*((Tracker!$E$2:$E$5000)&gt;=$A46)*((Tracker!$E$2:$E$5000)&lt;$A46+7)*((Tracker!$C$2:$C$5000)=I$2))</f>
        <v>0</v>
      </c>
      <c r="J46" s="3" cm="1">
        <f t="array" ref="J46">SUMPRODUCT(Tracker!$J$2:$J$5000*((Tracker!$E$2:$E$5000)&gt;=$A46)*((Tracker!$E$2:$E$5000)&lt;$A46+7)*((Tracker!$C$2:$C$5000)=J$2))</f>
        <v>0</v>
      </c>
      <c r="K46" s="3" cm="1">
        <f t="array" ref="K46">SUMPRODUCT(Tracker!$J$2:$J$5000*((Tracker!$E$2:$E$5000)&gt;=$A46)*((Tracker!$E$2:$E$5000)&lt;$A46+7)*((Tracker!$C$2:$C$5000)=K$2))</f>
        <v>0</v>
      </c>
      <c r="L46" s="3" cm="1">
        <f t="array" ref="L46">SUMPRODUCT(Tracker!$J$2:$J$5000*((Tracker!$E$2:$E$5000)&gt;=$A46)*((Tracker!$E$2:$E$5000)&lt;$A46+7)*((Tracker!$C$2:$C$5000)=L$2))</f>
        <v>0</v>
      </c>
      <c r="M46" s="3" cm="1">
        <f t="array" ref="M46">SUMPRODUCT(Tracker!$J$2:$J$5000*((Tracker!$E$2:$E$5000)&gt;=$A46)*((Tracker!$E$2:$E$5000)&lt;$A46+7)*((Tracker!$C$2:$C$5000)=M$2))</f>
        <v>0</v>
      </c>
      <c r="O46" s="37">
        <f t="shared" si="5"/>
        <v>0</v>
      </c>
      <c r="P46" s="37">
        <f t="shared" si="6"/>
        <v>0</v>
      </c>
      <c r="Q46" s="37">
        <f t="shared" si="7"/>
        <v>0</v>
      </c>
    </row>
    <row r="47" spans="1:17" x14ac:dyDescent="0.35">
      <c r="A47" s="5">
        <f t="shared" si="4"/>
        <v>44416</v>
      </c>
      <c r="B47" t="str">
        <f t="shared" ca="1" si="0"/>
        <v/>
      </c>
      <c r="C47" s="3" cm="1">
        <f t="array" ref="C47">SUMPRODUCT(Tracker!$J$2:$J$5000*((Tracker!$E$2:$E$5000)&gt;=$A47)*((Tracker!$E$2:$E$5000)&lt;$A47+7)*((Tracker!$C$2:$C$5000)=C$2))</f>
        <v>0</v>
      </c>
      <c r="D47" s="3" cm="1">
        <f t="array" ref="D47">SUMPRODUCT(Tracker!$J$2:$J$5000*((Tracker!$E$2:$E$5000)&gt;=$A47)*((Tracker!$E$2:$E$5000)&lt;$A47+7)*((Tracker!$C$2:$C$5000)=D$2))</f>
        <v>0</v>
      </c>
      <c r="E47" s="3" cm="1">
        <f t="array" ref="E47">SUMPRODUCT(Tracker!$J$2:$J$5000*((Tracker!$E$2:$E$5000)&gt;=$A47)*((Tracker!$E$2:$E$5000)&lt;$A47+7)*((Tracker!$C$2:$C$5000)=E$2))</f>
        <v>0</v>
      </c>
      <c r="F47" s="3" cm="1">
        <f t="array" ref="F47">SUMPRODUCT(Tracker!$J$2:$J$5000*((Tracker!$E$2:$E$5000)&gt;=$A47)*((Tracker!$E$2:$E$5000)&lt;$A47+7)*((Tracker!$C$2:$C$5000)=F$2))</f>
        <v>0</v>
      </c>
      <c r="G47" s="3" cm="1">
        <f t="array" ref="G47">SUMPRODUCT(Tracker!$J$2:$J$5000*((Tracker!$E$2:$E$5000)&gt;=$A47)*((Tracker!$E$2:$E$5000)&lt;$A47+7)*((Tracker!$C$2:$C$5000)=G$2))</f>
        <v>0</v>
      </c>
      <c r="H47" s="3" cm="1">
        <f t="array" ref="H47">SUMPRODUCT(Tracker!$J$2:$J$5000*((Tracker!$E$2:$E$5000)&gt;=$A47)*((Tracker!$E$2:$E$5000)&lt;$A47+7)*((Tracker!$C$2:$C$5000)=H$2))</f>
        <v>0</v>
      </c>
      <c r="I47" s="3" cm="1">
        <f t="array" ref="I47">SUMPRODUCT(Tracker!$J$2:$J$5000*((Tracker!$E$2:$E$5000)&gt;=$A47)*((Tracker!$E$2:$E$5000)&lt;$A47+7)*((Tracker!$C$2:$C$5000)=I$2))</f>
        <v>0</v>
      </c>
      <c r="J47" s="3" cm="1">
        <f t="array" ref="J47">SUMPRODUCT(Tracker!$J$2:$J$5000*((Tracker!$E$2:$E$5000)&gt;=$A47)*((Tracker!$E$2:$E$5000)&lt;$A47+7)*((Tracker!$C$2:$C$5000)=J$2))</f>
        <v>0</v>
      </c>
      <c r="K47" s="3" cm="1">
        <f t="array" ref="K47">SUMPRODUCT(Tracker!$J$2:$J$5000*((Tracker!$E$2:$E$5000)&gt;=$A47)*((Tracker!$E$2:$E$5000)&lt;$A47+7)*((Tracker!$C$2:$C$5000)=K$2))</f>
        <v>0</v>
      </c>
      <c r="L47" s="3" cm="1">
        <f t="array" ref="L47">SUMPRODUCT(Tracker!$J$2:$J$5000*((Tracker!$E$2:$E$5000)&gt;=$A47)*((Tracker!$E$2:$E$5000)&lt;$A47+7)*((Tracker!$C$2:$C$5000)=L$2))</f>
        <v>0</v>
      </c>
      <c r="M47" s="3" cm="1">
        <f t="array" ref="M47">SUMPRODUCT(Tracker!$J$2:$J$5000*((Tracker!$E$2:$E$5000)&gt;=$A47)*((Tracker!$E$2:$E$5000)&lt;$A47+7)*((Tracker!$C$2:$C$5000)=M$2))</f>
        <v>0</v>
      </c>
      <c r="O47" s="37">
        <f t="shared" si="5"/>
        <v>0</v>
      </c>
      <c r="P47" s="37">
        <f t="shared" si="6"/>
        <v>0</v>
      </c>
      <c r="Q47" s="37">
        <f t="shared" si="7"/>
        <v>0</v>
      </c>
    </row>
    <row r="48" spans="1:17" x14ac:dyDescent="0.35">
      <c r="A48" s="5">
        <f t="shared" si="4"/>
        <v>44423</v>
      </c>
      <c r="B48" t="str">
        <f t="shared" ca="1" si="0"/>
        <v/>
      </c>
      <c r="C48" s="3" cm="1">
        <f t="array" ref="C48">SUMPRODUCT(Tracker!$J$2:$J$5000*((Tracker!$E$2:$E$5000)&gt;=$A48)*((Tracker!$E$2:$E$5000)&lt;$A48+7)*((Tracker!$C$2:$C$5000)=C$2))</f>
        <v>0</v>
      </c>
      <c r="D48" s="3" cm="1">
        <f t="array" ref="D48">SUMPRODUCT(Tracker!$J$2:$J$5000*((Tracker!$E$2:$E$5000)&gt;=$A48)*((Tracker!$E$2:$E$5000)&lt;$A48+7)*((Tracker!$C$2:$C$5000)=D$2))</f>
        <v>0</v>
      </c>
      <c r="E48" s="3" cm="1">
        <f t="array" ref="E48">SUMPRODUCT(Tracker!$J$2:$J$5000*((Tracker!$E$2:$E$5000)&gt;=$A48)*((Tracker!$E$2:$E$5000)&lt;$A48+7)*((Tracker!$C$2:$C$5000)=E$2))</f>
        <v>0</v>
      </c>
      <c r="F48" s="3" cm="1">
        <f t="array" ref="F48">SUMPRODUCT(Tracker!$J$2:$J$5000*((Tracker!$E$2:$E$5000)&gt;=$A48)*((Tracker!$E$2:$E$5000)&lt;$A48+7)*((Tracker!$C$2:$C$5000)=F$2))</f>
        <v>0</v>
      </c>
      <c r="G48" s="3" cm="1">
        <f t="array" ref="G48">SUMPRODUCT(Tracker!$J$2:$J$5000*((Tracker!$E$2:$E$5000)&gt;=$A48)*((Tracker!$E$2:$E$5000)&lt;$A48+7)*((Tracker!$C$2:$C$5000)=G$2))</f>
        <v>0</v>
      </c>
      <c r="H48" s="3" cm="1">
        <f t="array" ref="H48">SUMPRODUCT(Tracker!$J$2:$J$5000*((Tracker!$E$2:$E$5000)&gt;=$A48)*((Tracker!$E$2:$E$5000)&lt;$A48+7)*((Tracker!$C$2:$C$5000)=H$2))</f>
        <v>0</v>
      </c>
      <c r="I48" s="3" cm="1">
        <f t="array" ref="I48">SUMPRODUCT(Tracker!$J$2:$J$5000*((Tracker!$E$2:$E$5000)&gt;=$A48)*((Tracker!$E$2:$E$5000)&lt;$A48+7)*((Tracker!$C$2:$C$5000)=I$2))</f>
        <v>0</v>
      </c>
      <c r="J48" s="3" cm="1">
        <f t="array" ref="J48">SUMPRODUCT(Tracker!$J$2:$J$5000*((Tracker!$E$2:$E$5000)&gt;=$A48)*((Tracker!$E$2:$E$5000)&lt;$A48+7)*((Tracker!$C$2:$C$5000)=J$2))</f>
        <v>0</v>
      </c>
      <c r="K48" s="3" cm="1">
        <f t="array" ref="K48">SUMPRODUCT(Tracker!$J$2:$J$5000*((Tracker!$E$2:$E$5000)&gt;=$A48)*((Tracker!$E$2:$E$5000)&lt;$A48+7)*((Tracker!$C$2:$C$5000)=K$2))</f>
        <v>0</v>
      </c>
      <c r="L48" s="3" cm="1">
        <f t="array" ref="L48">SUMPRODUCT(Tracker!$J$2:$J$5000*((Tracker!$E$2:$E$5000)&gt;=$A48)*((Tracker!$E$2:$E$5000)&lt;$A48+7)*((Tracker!$C$2:$C$5000)=L$2))</f>
        <v>0</v>
      </c>
      <c r="M48" s="3" cm="1">
        <f t="array" ref="M48">SUMPRODUCT(Tracker!$J$2:$J$5000*((Tracker!$E$2:$E$5000)&gt;=$A48)*((Tracker!$E$2:$E$5000)&lt;$A48+7)*((Tracker!$C$2:$C$5000)=M$2))</f>
        <v>0</v>
      </c>
      <c r="O48" s="37">
        <f t="shared" si="5"/>
        <v>0</v>
      </c>
      <c r="P48" s="37">
        <f t="shared" si="6"/>
        <v>0</v>
      </c>
      <c r="Q48" s="37">
        <f t="shared" si="7"/>
        <v>0</v>
      </c>
    </row>
    <row r="49" spans="1:17" x14ac:dyDescent="0.35">
      <c r="A49" s="5">
        <f t="shared" si="4"/>
        <v>44430</v>
      </c>
      <c r="B49" t="str">
        <f t="shared" ca="1" si="0"/>
        <v/>
      </c>
      <c r="C49" s="3" cm="1">
        <f t="array" ref="C49">SUMPRODUCT(Tracker!$J$2:$J$5000*((Tracker!$E$2:$E$5000)&gt;=$A49)*((Tracker!$E$2:$E$5000)&lt;$A49+7)*((Tracker!$C$2:$C$5000)=C$2))</f>
        <v>0</v>
      </c>
      <c r="D49" s="3" cm="1">
        <f t="array" ref="D49">SUMPRODUCT(Tracker!$J$2:$J$5000*((Tracker!$E$2:$E$5000)&gt;=$A49)*((Tracker!$E$2:$E$5000)&lt;$A49+7)*((Tracker!$C$2:$C$5000)=D$2))</f>
        <v>0</v>
      </c>
      <c r="E49" s="3" cm="1">
        <f t="array" ref="E49">SUMPRODUCT(Tracker!$J$2:$J$5000*((Tracker!$E$2:$E$5000)&gt;=$A49)*((Tracker!$E$2:$E$5000)&lt;$A49+7)*((Tracker!$C$2:$C$5000)=E$2))</f>
        <v>0</v>
      </c>
      <c r="F49" s="3" cm="1">
        <f t="array" ref="F49">SUMPRODUCT(Tracker!$J$2:$J$5000*((Tracker!$E$2:$E$5000)&gt;=$A49)*((Tracker!$E$2:$E$5000)&lt;$A49+7)*((Tracker!$C$2:$C$5000)=F$2))</f>
        <v>0</v>
      </c>
      <c r="G49" s="3" cm="1">
        <f t="array" ref="G49">SUMPRODUCT(Tracker!$J$2:$J$5000*((Tracker!$E$2:$E$5000)&gt;=$A49)*((Tracker!$E$2:$E$5000)&lt;$A49+7)*((Tracker!$C$2:$C$5000)=G$2))</f>
        <v>0</v>
      </c>
      <c r="H49" s="3" cm="1">
        <f t="array" ref="H49">SUMPRODUCT(Tracker!$J$2:$J$5000*((Tracker!$E$2:$E$5000)&gt;=$A49)*((Tracker!$E$2:$E$5000)&lt;$A49+7)*((Tracker!$C$2:$C$5000)=H$2))</f>
        <v>0</v>
      </c>
      <c r="I49" s="3" cm="1">
        <f t="array" ref="I49">SUMPRODUCT(Tracker!$J$2:$J$5000*((Tracker!$E$2:$E$5000)&gt;=$A49)*((Tracker!$E$2:$E$5000)&lt;$A49+7)*((Tracker!$C$2:$C$5000)=I$2))</f>
        <v>0</v>
      </c>
      <c r="J49" s="3" cm="1">
        <f t="array" ref="J49">SUMPRODUCT(Tracker!$J$2:$J$5000*((Tracker!$E$2:$E$5000)&gt;=$A49)*((Tracker!$E$2:$E$5000)&lt;$A49+7)*((Tracker!$C$2:$C$5000)=J$2))</f>
        <v>0</v>
      </c>
      <c r="K49" s="3" cm="1">
        <f t="array" ref="K49">SUMPRODUCT(Tracker!$J$2:$J$5000*((Tracker!$E$2:$E$5000)&gt;=$A49)*((Tracker!$E$2:$E$5000)&lt;$A49+7)*((Tracker!$C$2:$C$5000)=K$2))</f>
        <v>0</v>
      </c>
      <c r="L49" s="3" cm="1">
        <f t="array" ref="L49">SUMPRODUCT(Tracker!$J$2:$J$5000*((Tracker!$E$2:$E$5000)&gt;=$A49)*((Tracker!$E$2:$E$5000)&lt;$A49+7)*((Tracker!$C$2:$C$5000)=L$2))</f>
        <v>0</v>
      </c>
      <c r="M49" s="3" cm="1">
        <f t="array" ref="M49">SUMPRODUCT(Tracker!$J$2:$J$5000*((Tracker!$E$2:$E$5000)&gt;=$A49)*((Tracker!$E$2:$E$5000)&lt;$A49+7)*((Tracker!$C$2:$C$5000)=M$2))</f>
        <v>0</v>
      </c>
      <c r="O49" s="37">
        <f t="shared" si="5"/>
        <v>0</v>
      </c>
      <c r="P49" s="37">
        <f t="shared" si="6"/>
        <v>0</v>
      </c>
      <c r="Q49" s="37">
        <f t="shared" si="7"/>
        <v>0</v>
      </c>
    </row>
    <row r="50" spans="1:17" x14ac:dyDescent="0.35">
      <c r="A50" s="5">
        <f t="shared" si="4"/>
        <v>44437</v>
      </c>
      <c r="B50" t="str">
        <f t="shared" ca="1" si="0"/>
        <v/>
      </c>
      <c r="C50" s="3" cm="1">
        <f t="array" ref="C50">SUMPRODUCT(Tracker!$J$2:$J$5000*((Tracker!$E$2:$E$5000)&gt;=$A50)*((Tracker!$E$2:$E$5000)&lt;$A50+7)*((Tracker!$C$2:$C$5000)=C$2))</f>
        <v>0</v>
      </c>
      <c r="D50" s="3" cm="1">
        <f t="array" ref="D50">SUMPRODUCT(Tracker!$J$2:$J$5000*((Tracker!$E$2:$E$5000)&gt;=$A50)*((Tracker!$E$2:$E$5000)&lt;$A50+7)*((Tracker!$C$2:$C$5000)=D$2))</f>
        <v>0</v>
      </c>
      <c r="E50" s="3" cm="1">
        <f t="array" ref="E50">SUMPRODUCT(Tracker!$J$2:$J$5000*((Tracker!$E$2:$E$5000)&gt;=$A50)*((Tracker!$E$2:$E$5000)&lt;$A50+7)*((Tracker!$C$2:$C$5000)=E$2))</f>
        <v>0</v>
      </c>
      <c r="F50" s="3" cm="1">
        <f t="array" ref="F50">SUMPRODUCT(Tracker!$J$2:$J$5000*((Tracker!$E$2:$E$5000)&gt;=$A50)*((Tracker!$E$2:$E$5000)&lt;$A50+7)*((Tracker!$C$2:$C$5000)=F$2))</f>
        <v>0</v>
      </c>
      <c r="G50" s="3" cm="1">
        <f t="array" ref="G50">SUMPRODUCT(Tracker!$J$2:$J$5000*((Tracker!$E$2:$E$5000)&gt;=$A50)*((Tracker!$E$2:$E$5000)&lt;$A50+7)*((Tracker!$C$2:$C$5000)=G$2))</f>
        <v>0</v>
      </c>
      <c r="H50" s="3" cm="1">
        <f t="array" ref="H50">SUMPRODUCT(Tracker!$J$2:$J$5000*((Tracker!$E$2:$E$5000)&gt;=$A50)*((Tracker!$E$2:$E$5000)&lt;$A50+7)*((Tracker!$C$2:$C$5000)=H$2))</f>
        <v>0</v>
      </c>
      <c r="I50" s="3" cm="1">
        <f t="array" ref="I50">SUMPRODUCT(Tracker!$J$2:$J$5000*((Tracker!$E$2:$E$5000)&gt;=$A50)*((Tracker!$E$2:$E$5000)&lt;$A50+7)*((Tracker!$C$2:$C$5000)=I$2))</f>
        <v>0</v>
      </c>
      <c r="J50" s="3" cm="1">
        <f t="array" ref="J50">SUMPRODUCT(Tracker!$J$2:$J$5000*((Tracker!$E$2:$E$5000)&gt;=$A50)*((Tracker!$E$2:$E$5000)&lt;$A50+7)*((Tracker!$C$2:$C$5000)=J$2))</f>
        <v>0</v>
      </c>
      <c r="K50" s="3" cm="1">
        <f t="array" ref="K50">SUMPRODUCT(Tracker!$J$2:$J$5000*((Tracker!$E$2:$E$5000)&gt;=$A50)*((Tracker!$E$2:$E$5000)&lt;$A50+7)*((Tracker!$C$2:$C$5000)=K$2))</f>
        <v>0</v>
      </c>
      <c r="L50" s="3" cm="1">
        <f t="array" ref="L50">SUMPRODUCT(Tracker!$J$2:$J$5000*((Tracker!$E$2:$E$5000)&gt;=$A50)*((Tracker!$E$2:$E$5000)&lt;$A50+7)*((Tracker!$C$2:$C$5000)=L$2))</f>
        <v>0</v>
      </c>
      <c r="M50" s="3" cm="1">
        <f t="array" ref="M50">SUMPRODUCT(Tracker!$J$2:$J$5000*((Tracker!$E$2:$E$5000)&gt;=$A50)*((Tracker!$E$2:$E$5000)&lt;$A50+7)*((Tracker!$C$2:$C$5000)=M$2))</f>
        <v>0</v>
      </c>
      <c r="O50" s="37">
        <f t="shared" si="5"/>
        <v>0</v>
      </c>
      <c r="P50" s="37">
        <f t="shared" si="6"/>
        <v>0</v>
      </c>
      <c r="Q50" s="37">
        <f t="shared" si="7"/>
        <v>0</v>
      </c>
    </row>
    <row r="51" spans="1:17" x14ac:dyDescent="0.35">
      <c r="A51" s="5">
        <f t="shared" si="4"/>
        <v>44444</v>
      </c>
      <c r="B51" t="str">
        <f t="shared" ca="1" si="0"/>
        <v/>
      </c>
      <c r="C51" s="3" cm="1">
        <f t="array" ref="C51">SUMPRODUCT(Tracker!$J$2:$J$5000*((Tracker!$E$2:$E$5000)&gt;=$A51)*((Tracker!$E$2:$E$5000)&lt;$A51+7)*((Tracker!$C$2:$C$5000)=C$2))</f>
        <v>0</v>
      </c>
      <c r="D51" s="3" cm="1">
        <f t="array" ref="D51">SUMPRODUCT(Tracker!$J$2:$J$5000*((Tracker!$E$2:$E$5000)&gt;=$A51)*((Tracker!$E$2:$E$5000)&lt;$A51+7)*((Tracker!$C$2:$C$5000)=D$2))</f>
        <v>0</v>
      </c>
      <c r="E51" s="3" cm="1">
        <f t="array" ref="E51">SUMPRODUCT(Tracker!$J$2:$J$5000*((Tracker!$E$2:$E$5000)&gt;=$A51)*((Tracker!$E$2:$E$5000)&lt;$A51+7)*((Tracker!$C$2:$C$5000)=E$2))</f>
        <v>0</v>
      </c>
      <c r="F51" s="3" cm="1">
        <f t="array" ref="F51">SUMPRODUCT(Tracker!$J$2:$J$5000*((Tracker!$E$2:$E$5000)&gt;=$A51)*((Tracker!$E$2:$E$5000)&lt;$A51+7)*((Tracker!$C$2:$C$5000)=F$2))</f>
        <v>0</v>
      </c>
      <c r="G51" s="3" cm="1">
        <f t="array" ref="G51">SUMPRODUCT(Tracker!$J$2:$J$5000*((Tracker!$E$2:$E$5000)&gt;=$A51)*((Tracker!$E$2:$E$5000)&lt;$A51+7)*((Tracker!$C$2:$C$5000)=G$2))</f>
        <v>0</v>
      </c>
      <c r="H51" s="3" cm="1">
        <f t="array" ref="H51">SUMPRODUCT(Tracker!$J$2:$J$5000*((Tracker!$E$2:$E$5000)&gt;=$A51)*((Tracker!$E$2:$E$5000)&lt;$A51+7)*((Tracker!$C$2:$C$5000)=H$2))</f>
        <v>0</v>
      </c>
      <c r="I51" s="3" cm="1">
        <f t="array" ref="I51">SUMPRODUCT(Tracker!$J$2:$J$5000*((Tracker!$E$2:$E$5000)&gt;=$A51)*((Tracker!$E$2:$E$5000)&lt;$A51+7)*((Tracker!$C$2:$C$5000)=I$2))</f>
        <v>0</v>
      </c>
      <c r="J51" s="3" cm="1">
        <f t="array" ref="J51">SUMPRODUCT(Tracker!$J$2:$J$5000*((Tracker!$E$2:$E$5000)&gt;=$A51)*((Tracker!$E$2:$E$5000)&lt;$A51+7)*((Tracker!$C$2:$C$5000)=J$2))</f>
        <v>0</v>
      </c>
      <c r="K51" s="3" cm="1">
        <f t="array" ref="K51">SUMPRODUCT(Tracker!$J$2:$J$5000*((Tracker!$E$2:$E$5000)&gt;=$A51)*((Tracker!$E$2:$E$5000)&lt;$A51+7)*((Tracker!$C$2:$C$5000)=K$2))</f>
        <v>0</v>
      </c>
      <c r="L51" s="3" cm="1">
        <f t="array" ref="L51">SUMPRODUCT(Tracker!$J$2:$J$5000*((Tracker!$E$2:$E$5000)&gt;=$A51)*((Tracker!$E$2:$E$5000)&lt;$A51+7)*((Tracker!$C$2:$C$5000)=L$2))</f>
        <v>0</v>
      </c>
      <c r="M51" s="3" cm="1">
        <f t="array" ref="M51">SUMPRODUCT(Tracker!$J$2:$J$5000*((Tracker!$E$2:$E$5000)&gt;=$A51)*((Tracker!$E$2:$E$5000)&lt;$A51+7)*((Tracker!$C$2:$C$5000)=M$2))</f>
        <v>0</v>
      </c>
      <c r="O51" s="37">
        <f t="shared" si="5"/>
        <v>0</v>
      </c>
      <c r="P51" s="37">
        <f t="shared" si="6"/>
        <v>0</v>
      </c>
      <c r="Q51" s="37">
        <f t="shared" si="7"/>
        <v>0</v>
      </c>
    </row>
    <row r="52" spans="1:17" x14ac:dyDescent="0.35">
      <c r="A52" s="5">
        <f>A51+7</f>
        <v>44451</v>
      </c>
      <c r="B52" t="str">
        <f t="shared" ca="1" si="0"/>
        <v/>
      </c>
      <c r="C52" s="3" cm="1">
        <f t="array" ref="C52">SUMPRODUCT(Tracker!$J$2:$J$5000*((Tracker!$E$2:$E$5000)&gt;=$A52)*((Tracker!$E$2:$E$5000)&lt;$A52+7)*((Tracker!$C$2:$C$5000)=C$2))</f>
        <v>0</v>
      </c>
      <c r="D52" s="3" cm="1">
        <f t="array" ref="D52">SUMPRODUCT(Tracker!$J$2:$J$5000*((Tracker!$E$2:$E$5000)&gt;=$A52)*((Tracker!$E$2:$E$5000)&lt;$A52+7)*((Tracker!$C$2:$C$5000)=D$2))</f>
        <v>0</v>
      </c>
      <c r="E52" s="3" cm="1">
        <f t="array" ref="E52">SUMPRODUCT(Tracker!$J$2:$J$5000*((Tracker!$E$2:$E$5000)&gt;=$A52)*((Tracker!$E$2:$E$5000)&lt;$A52+7)*((Tracker!$C$2:$C$5000)=E$2))</f>
        <v>0</v>
      </c>
      <c r="F52" s="3" cm="1">
        <f t="array" ref="F52">SUMPRODUCT(Tracker!$J$2:$J$5000*((Tracker!$E$2:$E$5000)&gt;=$A52)*((Tracker!$E$2:$E$5000)&lt;$A52+7)*((Tracker!$C$2:$C$5000)=F$2))</f>
        <v>0</v>
      </c>
      <c r="G52" s="3" cm="1">
        <f t="array" ref="G52">SUMPRODUCT(Tracker!$J$2:$J$5000*((Tracker!$E$2:$E$5000)&gt;=$A52)*((Tracker!$E$2:$E$5000)&lt;$A52+7)*((Tracker!$C$2:$C$5000)=G$2))</f>
        <v>0</v>
      </c>
      <c r="H52" s="3" cm="1">
        <f t="array" ref="H52">SUMPRODUCT(Tracker!$J$2:$J$5000*((Tracker!$E$2:$E$5000)&gt;=$A52)*((Tracker!$E$2:$E$5000)&lt;$A52+7)*((Tracker!$C$2:$C$5000)=H$2))</f>
        <v>0</v>
      </c>
      <c r="I52" s="3" cm="1">
        <f t="array" ref="I52">SUMPRODUCT(Tracker!$J$2:$J$5000*((Tracker!$E$2:$E$5000)&gt;=$A52)*((Tracker!$E$2:$E$5000)&lt;$A52+7)*((Tracker!$C$2:$C$5000)=I$2))</f>
        <v>0</v>
      </c>
      <c r="J52" s="3" cm="1">
        <f t="array" ref="J52">SUMPRODUCT(Tracker!$J$2:$J$5000*((Tracker!$E$2:$E$5000)&gt;=$A52)*((Tracker!$E$2:$E$5000)&lt;$A52+7)*((Tracker!$C$2:$C$5000)=J$2))</f>
        <v>0</v>
      </c>
      <c r="K52" s="3" cm="1">
        <f t="array" ref="K52">SUMPRODUCT(Tracker!$J$2:$J$5000*((Tracker!$E$2:$E$5000)&gt;=$A52)*((Tracker!$E$2:$E$5000)&lt;$A52+7)*((Tracker!$C$2:$C$5000)=K$2))</f>
        <v>0</v>
      </c>
      <c r="L52" s="3" cm="1">
        <f t="array" ref="L52">SUMPRODUCT(Tracker!$J$2:$J$5000*((Tracker!$E$2:$E$5000)&gt;=$A52)*((Tracker!$E$2:$E$5000)&lt;$A52+7)*((Tracker!$C$2:$C$5000)=L$2))</f>
        <v>0</v>
      </c>
      <c r="M52" s="3" cm="1">
        <f t="array" ref="M52">SUMPRODUCT(Tracker!$J$2:$J$5000*((Tracker!$E$2:$E$5000)&gt;=$A52)*((Tracker!$E$2:$E$5000)&lt;$A52+7)*((Tracker!$C$2:$C$5000)=M$2))</f>
        <v>0</v>
      </c>
      <c r="O52" s="37">
        <f t="shared" si="5"/>
        <v>0</v>
      </c>
      <c r="P52" s="37">
        <f t="shared" si="6"/>
        <v>0</v>
      </c>
      <c r="Q52" s="37">
        <f t="shared" si="7"/>
        <v>0</v>
      </c>
    </row>
    <row r="53" spans="1:17" x14ac:dyDescent="0.35">
      <c r="A53" s="5">
        <f t="shared" si="4"/>
        <v>44458</v>
      </c>
      <c r="B53" t="str">
        <f t="shared" ca="1" si="0"/>
        <v/>
      </c>
      <c r="C53" s="3" cm="1">
        <f t="array" ref="C53">SUMPRODUCT(Tracker!$J$2:$J$5000*((Tracker!$E$2:$E$5000)&gt;=$A53)*((Tracker!$E$2:$E$5000)&lt;$A53+7)*((Tracker!$C$2:$C$5000)=C$2))</f>
        <v>0</v>
      </c>
      <c r="D53" s="3" cm="1">
        <f t="array" ref="D53">SUMPRODUCT(Tracker!$J$2:$J$5000*((Tracker!$E$2:$E$5000)&gt;=$A53)*((Tracker!$E$2:$E$5000)&lt;$A53+7)*((Tracker!$C$2:$C$5000)=D$2))</f>
        <v>0</v>
      </c>
      <c r="E53" s="3" cm="1">
        <f t="array" ref="E53">SUMPRODUCT(Tracker!$J$2:$J$5000*((Tracker!$E$2:$E$5000)&gt;=$A53)*((Tracker!$E$2:$E$5000)&lt;$A53+7)*((Tracker!$C$2:$C$5000)=E$2))</f>
        <v>0</v>
      </c>
      <c r="F53" s="3" cm="1">
        <f t="array" ref="F53">SUMPRODUCT(Tracker!$J$2:$J$5000*((Tracker!$E$2:$E$5000)&gt;=$A53)*((Tracker!$E$2:$E$5000)&lt;$A53+7)*((Tracker!$C$2:$C$5000)=F$2))</f>
        <v>0</v>
      </c>
      <c r="G53" s="3" cm="1">
        <f t="array" ref="G53">SUMPRODUCT(Tracker!$J$2:$J$5000*((Tracker!$E$2:$E$5000)&gt;=$A53)*((Tracker!$E$2:$E$5000)&lt;$A53+7)*((Tracker!$C$2:$C$5000)=G$2))</f>
        <v>0</v>
      </c>
      <c r="H53" s="3" cm="1">
        <f t="array" ref="H53">SUMPRODUCT(Tracker!$J$2:$J$5000*((Tracker!$E$2:$E$5000)&gt;=$A53)*((Tracker!$E$2:$E$5000)&lt;$A53+7)*((Tracker!$C$2:$C$5000)=H$2))</f>
        <v>0</v>
      </c>
      <c r="I53" s="3" cm="1">
        <f t="array" ref="I53">SUMPRODUCT(Tracker!$J$2:$J$5000*((Tracker!$E$2:$E$5000)&gt;=$A53)*((Tracker!$E$2:$E$5000)&lt;$A53+7)*((Tracker!$C$2:$C$5000)=I$2))</f>
        <v>0</v>
      </c>
      <c r="J53" s="3" cm="1">
        <f t="array" ref="J53">SUMPRODUCT(Tracker!$J$2:$J$5000*((Tracker!$E$2:$E$5000)&gt;=$A53)*((Tracker!$E$2:$E$5000)&lt;$A53+7)*((Tracker!$C$2:$C$5000)=J$2))</f>
        <v>0</v>
      </c>
      <c r="K53" s="3" cm="1">
        <f t="array" ref="K53">SUMPRODUCT(Tracker!$J$2:$J$5000*((Tracker!$E$2:$E$5000)&gt;=$A53)*((Tracker!$E$2:$E$5000)&lt;$A53+7)*((Tracker!$C$2:$C$5000)=K$2))</f>
        <v>0</v>
      </c>
      <c r="L53" s="3" cm="1">
        <f t="array" ref="L53">SUMPRODUCT(Tracker!$J$2:$J$5000*((Tracker!$E$2:$E$5000)&gt;=$A53)*((Tracker!$E$2:$E$5000)&lt;$A53+7)*((Tracker!$C$2:$C$5000)=L$2))</f>
        <v>0</v>
      </c>
      <c r="M53" s="3" cm="1">
        <f t="array" ref="M53">SUMPRODUCT(Tracker!$J$2:$J$5000*((Tracker!$E$2:$E$5000)&gt;=$A53)*((Tracker!$E$2:$E$5000)&lt;$A53+7)*((Tracker!$C$2:$C$5000)=M$2))</f>
        <v>0</v>
      </c>
      <c r="O53" s="37">
        <f t="shared" si="5"/>
        <v>0</v>
      </c>
      <c r="P53" s="37">
        <f t="shared" si="6"/>
        <v>0</v>
      </c>
      <c r="Q53" s="37">
        <f t="shared" si="7"/>
        <v>0</v>
      </c>
    </row>
    <row r="54" spans="1:17" x14ac:dyDescent="0.35">
      <c r="A54" s="5">
        <f t="shared" si="4"/>
        <v>44465</v>
      </c>
      <c r="B54" t="str">
        <f t="shared" ca="1" si="0"/>
        <v/>
      </c>
      <c r="C54" s="3" cm="1">
        <f t="array" ref="C54">SUMPRODUCT(Tracker!$J$2:$J$5000*((Tracker!$E$2:$E$5000)&gt;=$A54)*((Tracker!$E$2:$E$5000)&lt;$A54+7)*((Tracker!$C$2:$C$5000)=C$2))</f>
        <v>0</v>
      </c>
      <c r="D54" s="3" cm="1">
        <f t="array" ref="D54">SUMPRODUCT(Tracker!$J$2:$J$5000*((Tracker!$E$2:$E$5000)&gt;=$A54)*((Tracker!$E$2:$E$5000)&lt;$A54+7)*((Tracker!$C$2:$C$5000)=D$2))</f>
        <v>0</v>
      </c>
      <c r="E54" s="3" cm="1">
        <f t="array" ref="E54">SUMPRODUCT(Tracker!$J$2:$J$5000*((Tracker!$E$2:$E$5000)&gt;=$A54)*((Tracker!$E$2:$E$5000)&lt;$A54+7)*((Tracker!$C$2:$C$5000)=E$2))</f>
        <v>0</v>
      </c>
      <c r="F54" s="3" cm="1">
        <f t="array" ref="F54">SUMPRODUCT(Tracker!$J$2:$J$5000*((Tracker!$E$2:$E$5000)&gt;=$A54)*((Tracker!$E$2:$E$5000)&lt;$A54+7)*((Tracker!$C$2:$C$5000)=F$2))</f>
        <v>0</v>
      </c>
      <c r="G54" s="3" cm="1">
        <f t="array" ref="G54">SUMPRODUCT(Tracker!$J$2:$J$5000*((Tracker!$E$2:$E$5000)&gt;=$A54)*((Tracker!$E$2:$E$5000)&lt;$A54+7)*((Tracker!$C$2:$C$5000)=G$2))</f>
        <v>0</v>
      </c>
      <c r="H54" s="3" cm="1">
        <f t="array" ref="H54">SUMPRODUCT(Tracker!$J$2:$J$5000*((Tracker!$E$2:$E$5000)&gt;=$A54)*((Tracker!$E$2:$E$5000)&lt;$A54+7)*((Tracker!$C$2:$C$5000)=H$2))</f>
        <v>0</v>
      </c>
      <c r="I54" s="3" cm="1">
        <f t="array" ref="I54">SUMPRODUCT(Tracker!$J$2:$J$5000*((Tracker!$E$2:$E$5000)&gt;=$A54)*((Tracker!$E$2:$E$5000)&lt;$A54+7)*((Tracker!$C$2:$C$5000)=I$2))</f>
        <v>0</v>
      </c>
      <c r="J54" s="3" cm="1">
        <f t="array" ref="J54">SUMPRODUCT(Tracker!$J$2:$J$5000*((Tracker!$E$2:$E$5000)&gt;=$A54)*((Tracker!$E$2:$E$5000)&lt;$A54+7)*((Tracker!$C$2:$C$5000)=J$2))</f>
        <v>0</v>
      </c>
      <c r="K54" s="3" cm="1">
        <f t="array" ref="K54">SUMPRODUCT(Tracker!$J$2:$J$5000*((Tracker!$E$2:$E$5000)&gt;=$A54)*((Tracker!$E$2:$E$5000)&lt;$A54+7)*((Tracker!$C$2:$C$5000)=K$2))</f>
        <v>0</v>
      </c>
      <c r="L54" s="3" cm="1">
        <f t="array" ref="L54">SUMPRODUCT(Tracker!$J$2:$J$5000*((Tracker!$E$2:$E$5000)&gt;=$A54)*((Tracker!$E$2:$E$5000)&lt;$A54+7)*((Tracker!$C$2:$C$5000)=L$2))</f>
        <v>0</v>
      </c>
      <c r="M54" s="3" cm="1">
        <f t="array" ref="M54">SUMPRODUCT(Tracker!$J$2:$J$5000*((Tracker!$E$2:$E$5000)&gt;=$A54)*((Tracker!$E$2:$E$5000)&lt;$A54+7)*((Tracker!$C$2:$C$5000)=M$2))</f>
        <v>0</v>
      </c>
      <c r="O54" s="37">
        <f t="shared" si="5"/>
        <v>0</v>
      </c>
      <c r="P54" s="37">
        <f t="shared" si="6"/>
        <v>0</v>
      </c>
      <c r="Q54" s="37">
        <f t="shared" si="7"/>
        <v>0</v>
      </c>
    </row>
    <row r="55" spans="1:17" x14ac:dyDescent="0.35">
      <c r="A55" s="5">
        <f t="shared" si="4"/>
        <v>44472</v>
      </c>
      <c r="B55" t="str">
        <f t="shared" ca="1" si="0"/>
        <v/>
      </c>
      <c r="C55" s="3" cm="1">
        <f t="array" ref="C55">SUMPRODUCT(Tracker!$J$2:$J$5000*((Tracker!$E$2:$E$5000)&gt;=$A55)*((Tracker!$E$2:$E$5000)&lt;$A55+7)*((Tracker!$C$2:$C$5000)=C$2))</f>
        <v>0</v>
      </c>
      <c r="D55" s="3" cm="1">
        <f t="array" ref="D55">SUMPRODUCT(Tracker!$J$2:$J$5000*((Tracker!$E$2:$E$5000)&gt;=$A55)*((Tracker!$E$2:$E$5000)&lt;$A55+7)*((Tracker!$C$2:$C$5000)=D$2))</f>
        <v>0</v>
      </c>
      <c r="E55" s="3" cm="1">
        <f t="array" ref="E55">SUMPRODUCT(Tracker!$J$2:$J$5000*((Tracker!$E$2:$E$5000)&gt;=$A55)*((Tracker!$E$2:$E$5000)&lt;$A55+7)*((Tracker!$C$2:$C$5000)=E$2))</f>
        <v>0</v>
      </c>
      <c r="F55" s="3" cm="1">
        <f t="array" ref="F55">SUMPRODUCT(Tracker!$J$2:$J$5000*((Tracker!$E$2:$E$5000)&gt;=$A55)*((Tracker!$E$2:$E$5000)&lt;$A55+7)*((Tracker!$C$2:$C$5000)=F$2))</f>
        <v>0</v>
      </c>
      <c r="G55" s="3" cm="1">
        <f t="array" ref="G55">SUMPRODUCT(Tracker!$J$2:$J$5000*((Tracker!$E$2:$E$5000)&gt;=$A55)*((Tracker!$E$2:$E$5000)&lt;$A55+7)*((Tracker!$C$2:$C$5000)=G$2))</f>
        <v>0</v>
      </c>
      <c r="H55" s="3" cm="1">
        <f t="array" ref="H55">SUMPRODUCT(Tracker!$J$2:$J$5000*((Tracker!$E$2:$E$5000)&gt;=$A55)*((Tracker!$E$2:$E$5000)&lt;$A55+7)*((Tracker!$C$2:$C$5000)=H$2))</f>
        <v>0</v>
      </c>
      <c r="I55" s="3" cm="1">
        <f t="array" ref="I55">SUMPRODUCT(Tracker!$J$2:$J$5000*((Tracker!$E$2:$E$5000)&gt;=$A55)*((Tracker!$E$2:$E$5000)&lt;$A55+7)*((Tracker!$C$2:$C$5000)=I$2))</f>
        <v>0</v>
      </c>
      <c r="J55" s="3" cm="1">
        <f t="array" ref="J55">SUMPRODUCT(Tracker!$J$2:$J$5000*((Tracker!$E$2:$E$5000)&gt;=$A55)*((Tracker!$E$2:$E$5000)&lt;$A55+7)*((Tracker!$C$2:$C$5000)=J$2))</f>
        <v>0</v>
      </c>
      <c r="K55" s="3" cm="1">
        <f t="array" ref="K55">SUMPRODUCT(Tracker!$J$2:$J$5000*((Tracker!$E$2:$E$5000)&gt;=$A55)*((Tracker!$E$2:$E$5000)&lt;$A55+7)*((Tracker!$C$2:$C$5000)=K$2))</f>
        <v>0</v>
      </c>
      <c r="L55" s="3" cm="1">
        <f t="array" ref="L55">SUMPRODUCT(Tracker!$J$2:$J$5000*((Tracker!$E$2:$E$5000)&gt;=$A55)*((Tracker!$E$2:$E$5000)&lt;$A55+7)*((Tracker!$C$2:$C$5000)=L$2))</f>
        <v>0</v>
      </c>
      <c r="M55" s="3" cm="1">
        <f t="array" ref="M55">SUMPRODUCT(Tracker!$J$2:$J$5000*((Tracker!$E$2:$E$5000)&gt;=$A55)*((Tracker!$E$2:$E$5000)&lt;$A55+7)*((Tracker!$C$2:$C$5000)=M$2))</f>
        <v>0</v>
      </c>
      <c r="O55" s="37">
        <f t="shared" si="5"/>
        <v>0</v>
      </c>
      <c r="P55" s="37">
        <f t="shared" si="6"/>
        <v>0</v>
      </c>
      <c r="Q55" s="37">
        <f t="shared" si="7"/>
        <v>0</v>
      </c>
    </row>
    <row r="56" spans="1:17" x14ac:dyDescent="0.35">
      <c r="A56" s="5">
        <f t="shared" si="4"/>
        <v>44479</v>
      </c>
      <c r="B56" t="str">
        <f t="shared" ca="1" si="0"/>
        <v/>
      </c>
      <c r="C56" s="3" cm="1">
        <f t="array" ref="C56">SUMPRODUCT(Tracker!$J$2:$J$5000*((Tracker!$E$2:$E$5000)&gt;=$A56)*((Tracker!$E$2:$E$5000)&lt;$A56+7)*((Tracker!$C$2:$C$5000)=C$2))</f>
        <v>0</v>
      </c>
      <c r="D56" s="3" cm="1">
        <f t="array" ref="D56">SUMPRODUCT(Tracker!$J$2:$J$5000*((Tracker!$E$2:$E$5000)&gt;=$A56)*((Tracker!$E$2:$E$5000)&lt;$A56+7)*((Tracker!$C$2:$C$5000)=D$2))</f>
        <v>0</v>
      </c>
      <c r="E56" s="3" cm="1">
        <f t="array" ref="E56">SUMPRODUCT(Tracker!$J$2:$J$5000*((Tracker!$E$2:$E$5000)&gt;=$A56)*((Tracker!$E$2:$E$5000)&lt;$A56+7)*((Tracker!$C$2:$C$5000)=E$2))</f>
        <v>0</v>
      </c>
      <c r="F56" s="3" cm="1">
        <f t="array" ref="F56">SUMPRODUCT(Tracker!$J$2:$J$5000*((Tracker!$E$2:$E$5000)&gt;=$A56)*((Tracker!$E$2:$E$5000)&lt;$A56+7)*((Tracker!$C$2:$C$5000)=F$2))</f>
        <v>0</v>
      </c>
      <c r="G56" s="3" cm="1">
        <f t="array" ref="G56">SUMPRODUCT(Tracker!$J$2:$J$5000*((Tracker!$E$2:$E$5000)&gt;=$A56)*((Tracker!$E$2:$E$5000)&lt;$A56+7)*((Tracker!$C$2:$C$5000)=G$2))</f>
        <v>0</v>
      </c>
      <c r="H56" s="3" cm="1">
        <f t="array" ref="H56">SUMPRODUCT(Tracker!$J$2:$J$5000*((Tracker!$E$2:$E$5000)&gt;=$A56)*((Tracker!$E$2:$E$5000)&lt;$A56+7)*((Tracker!$C$2:$C$5000)=H$2))</f>
        <v>0</v>
      </c>
      <c r="I56" s="3" cm="1">
        <f t="array" ref="I56">SUMPRODUCT(Tracker!$J$2:$J$5000*((Tracker!$E$2:$E$5000)&gt;=$A56)*((Tracker!$E$2:$E$5000)&lt;$A56+7)*((Tracker!$C$2:$C$5000)=I$2))</f>
        <v>0</v>
      </c>
      <c r="J56" s="3" cm="1">
        <f t="array" ref="J56">SUMPRODUCT(Tracker!$J$2:$J$5000*((Tracker!$E$2:$E$5000)&gt;=$A56)*((Tracker!$E$2:$E$5000)&lt;$A56+7)*((Tracker!$C$2:$C$5000)=J$2))</f>
        <v>0</v>
      </c>
      <c r="K56" s="3" cm="1">
        <f t="array" ref="K56">SUMPRODUCT(Tracker!$J$2:$J$5000*((Tracker!$E$2:$E$5000)&gt;=$A56)*((Tracker!$E$2:$E$5000)&lt;$A56+7)*((Tracker!$C$2:$C$5000)=K$2))</f>
        <v>0</v>
      </c>
      <c r="L56" s="3" cm="1">
        <f t="array" ref="L56">SUMPRODUCT(Tracker!$J$2:$J$5000*((Tracker!$E$2:$E$5000)&gt;=$A56)*((Tracker!$E$2:$E$5000)&lt;$A56+7)*((Tracker!$C$2:$C$5000)=L$2))</f>
        <v>0</v>
      </c>
      <c r="M56" s="3" cm="1">
        <f t="array" ref="M56">SUMPRODUCT(Tracker!$J$2:$J$5000*((Tracker!$E$2:$E$5000)&gt;=$A56)*((Tracker!$E$2:$E$5000)&lt;$A56+7)*((Tracker!$C$2:$C$5000)=M$2))</f>
        <v>0</v>
      </c>
      <c r="O56" s="37">
        <f t="shared" si="5"/>
        <v>0</v>
      </c>
      <c r="P56" s="37">
        <f t="shared" si="6"/>
        <v>0</v>
      </c>
      <c r="Q56" s="37">
        <f t="shared" si="7"/>
        <v>0</v>
      </c>
    </row>
    <row r="57" spans="1:17" x14ac:dyDescent="0.35">
      <c r="A57" s="5">
        <f t="shared" si="4"/>
        <v>44486</v>
      </c>
      <c r="B57" t="str">
        <f t="shared" ca="1" si="0"/>
        <v/>
      </c>
      <c r="C57" s="3" cm="1">
        <f t="array" ref="C57">SUMPRODUCT(Tracker!$J$2:$J$5000*((Tracker!$E$2:$E$5000)&gt;=$A57)*((Tracker!$E$2:$E$5000)&lt;$A57+7)*((Tracker!$C$2:$C$5000)=C$2))</f>
        <v>0</v>
      </c>
      <c r="D57" s="3" cm="1">
        <f t="array" ref="D57">SUMPRODUCT(Tracker!$J$2:$J$5000*((Tracker!$E$2:$E$5000)&gt;=$A57)*((Tracker!$E$2:$E$5000)&lt;$A57+7)*((Tracker!$C$2:$C$5000)=D$2))</f>
        <v>0</v>
      </c>
      <c r="E57" s="3" cm="1">
        <f t="array" ref="E57">SUMPRODUCT(Tracker!$J$2:$J$5000*((Tracker!$E$2:$E$5000)&gt;=$A57)*((Tracker!$E$2:$E$5000)&lt;$A57+7)*((Tracker!$C$2:$C$5000)=E$2))</f>
        <v>0</v>
      </c>
      <c r="F57" s="3" cm="1">
        <f t="array" ref="F57">SUMPRODUCT(Tracker!$J$2:$J$5000*((Tracker!$E$2:$E$5000)&gt;=$A57)*((Tracker!$E$2:$E$5000)&lt;$A57+7)*((Tracker!$C$2:$C$5000)=F$2))</f>
        <v>0</v>
      </c>
      <c r="G57" s="3" cm="1">
        <f t="array" ref="G57">SUMPRODUCT(Tracker!$J$2:$J$5000*((Tracker!$E$2:$E$5000)&gt;=$A57)*((Tracker!$E$2:$E$5000)&lt;$A57+7)*((Tracker!$C$2:$C$5000)=G$2))</f>
        <v>0</v>
      </c>
      <c r="H57" s="3" cm="1">
        <f t="array" ref="H57">SUMPRODUCT(Tracker!$J$2:$J$5000*((Tracker!$E$2:$E$5000)&gt;=$A57)*((Tracker!$E$2:$E$5000)&lt;$A57+7)*((Tracker!$C$2:$C$5000)=H$2))</f>
        <v>0</v>
      </c>
      <c r="I57" s="3" cm="1">
        <f t="array" ref="I57">SUMPRODUCT(Tracker!$J$2:$J$5000*((Tracker!$E$2:$E$5000)&gt;=$A57)*((Tracker!$E$2:$E$5000)&lt;$A57+7)*((Tracker!$C$2:$C$5000)=I$2))</f>
        <v>0</v>
      </c>
      <c r="J57" s="3" cm="1">
        <f t="array" ref="J57">SUMPRODUCT(Tracker!$J$2:$J$5000*((Tracker!$E$2:$E$5000)&gt;=$A57)*((Tracker!$E$2:$E$5000)&lt;$A57+7)*((Tracker!$C$2:$C$5000)=J$2))</f>
        <v>0</v>
      </c>
      <c r="K57" s="3" cm="1">
        <f t="array" ref="K57">SUMPRODUCT(Tracker!$J$2:$J$5000*((Tracker!$E$2:$E$5000)&gt;=$A57)*((Tracker!$E$2:$E$5000)&lt;$A57+7)*((Tracker!$C$2:$C$5000)=K$2))</f>
        <v>0</v>
      </c>
      <c r="L57" s="3" cm="1">
        <f t="array" ref="L57">SUMPRODUCT(Tracker!$J$2:$J$5000*((Tracker!$E$2:$E$5000)&gt;=$A57)*((Tracker!$E$2:$E$5000)&lt;$A57+7)*((Tracker!$C$2:$C$5000)=L$2))</f>
        <v>0</v>
      </c>
      <c r="M57" s="3" cm="1">
        <f t="array" ref="M57">SUMPRODUCT(Tracker!$J$2:$J$5000*((Tracker!$E$2:$E$5000)&gt;=$A57)*((Tracker!$E$2:$E$5000)&lt;$A57+7)*((Tracker!$C$2:$C$5000)=M$2))</f>
        <v>0</v>
      </c>
      <c r="O57" s="37">
        <f t="shared" si="5"/>
        <v>0</v>
      </c>
      <c r="P57" s="37">
        <f t="shared" si="6"/>
        <v>0</v>
      </c>
      <c r="Q57" s="37">
        <f t="shared" si="7"/>
        <v>0</v>
      </c>
    </row>
    <row r="58" spans="1:17" x14ac:dyDescent="0.35">
      <c r="A58" s="5">
        <f t="shared" si="4"/>
        <v>44493</v>
      </c>
      <c r="B58" t="str">
        <f t="shared" ca="1" si="0"/>
        <v/>
      </c>
      <c r="C58" s="3" cm="1">
        <f t="array" ref="C58">SUMPRODUCT(Tracker!$J$2:$J$5000*((Tracker!$E$2:$E$5000)&gt;=$A58)*((Tracker!$E$2:$E$5000)&lt;$A58+7)*((Tracker!$C$2:$C$5000)=C$2))</f>
        <v>0</v>
      </c>
      <c r="D58" s="3" cm="1">
        <f t="array" ref="D58">SUMPRODUCT(Tracker!$J$2:$J$5000*((Tracker!$E$2:$E$5000)&gt;=$A58)*((Tracker!$E$2:$E$5000)&lt;$A58+7)*((Tracker!$C$2:$C$5000)=D$2))</f>
        <v>0</v>
      </c>
      <c r="E58" s="3" cm="1">
        <f t="array" ref="E58">SUMPRODUCT(Tracker!$J$2:$J$5000*((Tracker!$E$2:$E$5000)&gt;=$A58)*((Tracker!$E$2:$E$5000)&lt;$A58+7)*((Tracker!$C$2:$C$5000)=E$2))</f>
        <v>0</v>
      </c>
      <c r="F58" s="3" cm="1">
        <f t="array" ref="F58">SUMPRODUCT(Tracker!$J$2:$J$5000*((Tracker!$E$2:$E$5000)&gt;=$A58)*((Tracker!$E$2:$E$5000)&lt;$A58+7)*((Tracker!$C$2:$C$5000)=F$2))</f>
        <v>0</v>
      </c>
      <c r="G58" s="3" cm="1">
        <f t="array" ref="G58">SUMPRODUCT(Tracker!$J$2:$J$5000*((Tracker!$E$2:$E$5000)&gt;=$A58)*((Tracker!$E$2:$E$5000)&lt;$A58+7)*((Tracker!$C$2:$C$5000)=G$2))</f>
        <v>0</v>
      </c>
      <c r="H58" s="3" cm="1">
        <f t="array" ref="H58">SUMPRODUCT(Tracker!$J$2:$J$5000*((Tracker!$E$2:$E$5000)&gt;=$A58)*((Tracker!$E$2:$E$5000)&lt;$A58+7)*((Tracker!$C$2:$C$5000)=H$2))</f>
        <v>0</v>
      </c>
      <c r="I58" s="3" cm="1">
        <f t="array" ref="I58">SUMPRODUCT(Tracker!$J$2:$J$5000*((Tracker!$E$2:$E$5000)&gt;=$A58)*((Tracker!$E$2:$E$5000)&lt;$A58+7)*((Tracker!$C$2:$C$5000)=I$2))</f>
        <v>0</v>
      </c>
      <c r="J58" s="3" cm="1">
        <f t="array" ref="J58">SUMPRODUCT(Tracker!$J$2:$J$5000*((Tracker!$E$2:$E$5000)&gt;=$A58)*((Tracker!$E$2:$E$5000)&lt;$A58+7)*((Tracker!$C$2:$C$5000)=J$2))</f>
        <v>0</v>
      </c>
      <c r="K58" s="3" cm="1">
        <f t="array" ref="K58">SUMPRODUCT(Tracker!$J$2:$J$5000*((Tracker!$E$2:$E$5000)&gt;=$A58)*((Tracker!$E$2:$E$5000)&lt;$A58+7)*((Tracker!$C$2:$C$5000)=K$2))</f>
        <v>0</v>
      </c>
      <c r="L58" s="3" cm="1">
        <f t="array" ref="L58">SUMPRODUCT(Tracker!$J$2:$J$5000*((Tracker!$E$2:$E$5000)&gt;=$A58)*((Tracker!$E$2:$E$5000)&lt;$A58+7)*((Tracker!$C$2:$C$5000)=L$2))</f>
        <v>0</v>
      </c>
      <c r="M58" s="3" cm="1">
        <f t="array" ref="M58">SUMPRODUCT(Tracker!$J$2:$J$5000*((Tracker!$E$2:$E$5000)&gt;=$A58)*((Tracker!$E$2:$E$5000)&lt;$A58+7)*((Tracker!$C$2:$C$5000)=M$2))</f>
        <v>0</v>
      </c>
      <c r="O58" s="37">
        <f t="shared" si="5"/>
        <v>0</v>
      </c>
      <c r="P58" s="37">
        <f t="shared" si="6"/>
        <v>0</v>
      </c>
      <c r="Q58" s="37">
        <f t="shared" si="7"/>
        <v>0</v>
      </c>
    </row>
    <row r="59" spans="1:17" x14ac:dyDescent="0.35">
      <c r="A59" s="5">
        <f t="shared" si="4"/>
        <v>44500</v>
      </c>
      <c r="B59" t="str">
        <f t="shared" ca="1" si="0"/>
        <v/>
      </c>
      <c r="C59" s="3" cm="1">
        <f t="array" ref="C59">SUMPRODUCT(Tracker!$J$2:$J$5000*((Tracker!$E$2:$E$5000)&gt;=$A59)*((Tracker!$E$2:$E$5000)&lt;$A59+7)*((Tracker!$C$2:$C$5000)=C$2))</f>
        <v>0</v>
      </c>
      <c r="D59" s="3" cm="1">
        <f t="array" ref="D59">SUMPRODUCT(Tracker!$J$2:$J$5000*((Tracker!$E$2:$E$5000)&gt;=$A59)*((Tracker!$E$2:$E$5000)&lt;$A59+7)*((Tracker!$C$2:$C$5000)=D$2))</f>
        <v>0</v>
      </c>
      <c r="E59" s="3" cm="1">
        <f t="array" ref="E59">SUMPRODUCT(Tracker!$J$2:$J$5000*((Tracker!$E$2:$E$5000)&gt;=$A59)*((Tracker!$E$2:$E$5000)&lt;$A59+7)*((Tracker!$C$2:$C$5000)=E$2))</f>
        <v>0</v>
      </c>
      <c r="F59" s="3" cm="1">
        <f t="array" ref="F59">SUMPRODUCT(Tracker!$J$2:$J$5000*((Tracker!$E$2:$E$5000)&gt;=$A59)*((Tracker!$E$2:$E$5000)&lt;$A59+7)*((Tracker!$C$2:$C$5000)=F$2))</f>
        <v>0</v>
      </c>
      <c r="G59" s="3" cm="1">
        <f t="array" ref="G59">SUMPRODUCT(Tracker!$J$2:$J$5000*((Tracker!$E$2:$E$5000)&gt;=$A59)*((Tracker!$E$2:$E$5000)&lt;$A59+7)*((Tracker!$C$2:$C$5000)=G$2))</f>
        <v>0</v>
      </c>
      <c r="H59" s="3" cm="1">
        <f t="array" ref="H59">SUMPRODUCT(Tracker!$J$2:$J$5000*((Tracker!$E$2:$E$5000)&gt;=$A59)*((Tracker!$E$2:$E$5000)&lt;$A59+7)*((Tracker!$C$2:$C$5000)=H$2))</f>
        <v>0</v>
      </c>
      <c r="I59" s="3" cm="1">
        <f t="array" ref="I59">SUMPRODUCT(Tracker!$J$2:$J$5000*((Tracker!$E$2:$E$5000)&gt;=$A59)*((Tracker!$E$2:$E$5000)&lt;$A59+7)*((Tracker!$C$2:$C$5000)=I$2))</f>
        <v>0</v>
      </c>
      <c r="J59" s="3" cm="1">
        <f t="array" ref="J59">SUMPRODUCT(Tracker!$J$2:$J$5000*((Tracker!$E$2:$E$5000)&gt;=$A59)*((Tracker!$E$2:$E$5000)&lt;$A59+7)*((Tracker!$C$2:$C$5000)=J$2))</f>
        <v>0</v>
      </c>
      <c r="K59" s="3" cm="1">
        <f t="array" ref="K59">SUMPRODUCT(Tracker!$J$2:$J$5000*((Tracker!$E$2:$E$5000)&gt;=$A59)*((Tracker!$E$2:$E$5000)&lt;$A59+7)*((Tracker!$C$2:$C$5000)=K$2))</f>
        <v>0</v>
      </c>
      <c r="L59" s="3" cm="1">
        <f t="array" ref="L59">SUMPRODUCT(Tracker!$J$2:$J$5000*((Tracker!$E$2:$E$5000)&gt;=$A59)*((Tracker!$E$2:$E$5000)&lt;$A59+7)*((Tracker!$C$2:$C$5000)=L$2))</f>
        <v>0</v>
      </c>
      <c r="M59" s="3" cm="1">
        <f t="array" ref="M59">SUMPRODUCT(Tracker!$J$2:$J$5000*((Tracker!$E$2:$E$5000)&gt;=$A59)*((Tracker!$E$2:$E$5000)&lt;$A59+7)*((Tracker!$C$2:$C$5000)=M$2))</f>
        <v>0</v>
      </c>
      <c r="O59" s="37">
        <f t="shared" si="5"/>
        <v>0</v>
      </c>
      <c r="P59" s="37">
        <f t="shared" si="6"/>
        <v>0</v>
      </c>
      <c r="Q59" s="37">
        <f t="shared" si="7"/>
        <v>0</v>
      </c>
    </row>
    <row r="60" spans="1:17" x14ac:dyDescent="0.35">
      <c r="A60" s="4"/>
    </row>
    <row r="61" spans="1:17" x14ac:dyDescent="0.35">
      <c r="A61" s="4"/>
    </row>
    <row r="62" spans="1:17" x14ac:dyDescent="0.35">
      <c r="A62" s="4"/>
    </row>
    <row r="63" spans="1:17" x14ac:dyDescent="0.35">
      <c r="A63" s="4"/>
    </row>
    <row r="64" spans="1:17" x14ac:dyDescent="0.35">
      <c r="A64" s="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5D970-2EED-4624-AA0B-FC46CA3A6D3C}">
  <sheetPr codeName="Sheet5">
    <pageSetUpPr autoPageBreaks="0"/>
  </sheetPr>
  <dimension ref="A1:AB59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" sqref="L2"/>
    </sheetView>
  </sheetViews>
  <sheetFormatPr defaultRowHeight="14.5" x14ac:dyDescent="0.35"/>
  <cols>
    <col min="1" max="1" width="18.90625" bestFit="1" customWidth="1"/>
    <col min="2" max="2" width="7.08984375" bestFit="1" customWidth="1"/>
    <col min="3" max="3" width="8.81640625" customWidth="1"/>
    <col min="4" max="4" width="8.90625" customWidth="1"/>
    <col min="5" max="5" width="10.90625" bestFit="1" customWidth="1"/>
    <col min="6" max="6" width="10.90625" customWidth="1"/>
    <col min="7" max="7" width="15.36328125" bestFit="1" customWidth="1"/>
    <col min="8" max="8" width="13.54296875" bestFit="1" customWidth="1"/>
    <col min="9" max="10" width="12.90625" bestFit="1" customWidth="1"/>
    <col min="11" max="12" width="12.90625" customWidth="1"/>
    <col min="14" max="14" width="10.1796875" bestFit="1" customWidth="1"/>
    <col min="15" max="15" width="9.36328125" bestFit="1" customWidth="1"/>
    <col min="16" max="16" width="9" bestFit="1" customWidth="1"/>
    <col min="21" max="21" width="10.90625" bestFit="1" customWidth="1"/>
    <col min="22" max="23" width="10.90625" customWidth="1"/>
    <col min="24" max="24" width="13.54296875" bestFit="1" customWidth="1"/>
    <col min="25" max="26" width="12.90625" bestFit="1" customWidth="1"/>
  </cols>
  <sheetData>
    <row r="1" spans="1:28" x14ac:dyDescent="0.35">
      <c r="A1" s="1" t="s">
        <v>12</v>
      </c>
      <c r="B1" s="1" t="s">
        <v>74</v>
      </c>
      <c r="C1" s="1" t="s">
        <v>33</v>
      </c>
      <c r="D1" s="1" t="s">
        <v>16</v>
      </c>
      <c r="E1" s="1" t="s">
        <v>11</v>
      </c>
      <c r="F1" s="1" t="s">
        <v>72</v>
      </c>
      <c r="G1" s="1" t="s">
        <v>96</v>
      </c>
      <c r="H1" s="1" t="str">
        <f>Summary!M17</f>
        <v>AAAA Project</v>
      </c>
      <c r="I1" s="1" t="str">
        <f>Summary!N17</f>
        <v>BBBB Project</v>
      </c>
      <c r="J1" s="1" t="str">
        <f>Summary!O17</f>
        <v>CCCC Project</v>
      </c>
      <c r="K1" s="1" t="str">
        <f>Summary!P17</f>
        <v>DDDD Project</v>
      </c>
      <c r="L1" s="1" t="str">
        <f>Summary!Q17</f>
        <v>EEEE Project</v>
      </c>
      <c r="N1" s="1" t="s">
        <v>28</v>
      </c>
      <c r="O1" s="1" t="s">
        <v>29</v>
      </c>
      <c r="P1" s="1" t="s">
        <v>30</v>
      </c>
      <c r="R1" s="1" t="s">
        <v>74</v>
      </c>
      <c r="S1" s="1" t="s">
        <v>33</v>
      </c>
      <c r="T1" s="1" t="s">
        <v>16</v>
      </c>
      <c r="U1" s="1" t="s">
        <v>11</v>
      </c>
      <c r="V1" s="1" t="s">
        <v>72</v>
      </c>
      <c r="W1" s="1" t="s">
        <v>96</v>
      </c>
      <c r="X1" s="1" t="str">
        <f>Summary!M17</f>
        <v>AAAA Project</v>
      </c>
      <c r="Y1" s="1" t="str">
        <f>Summary!N17</f>
        <v>BBBB Project</v>
      </c>
      <c r="Z1" s="1" t="str">
        <f>Summary!O17</f>
        <v>CCCC Project</v>
      </c>
      <c r="AA1" s="1" t="str">
        <f>Summary!P17</f>
        <v>DDDD Project</v>
      </c>
      <c r="AB1" s="1" t="str">
        <f>Summary!Q17</f>
        <v>EEEE Project</v>
      </c>
    </row>
    <row r="2" spans="1:28" x14ac:dyDescent="0.35">
      <c r="A2" s="5">
        <v>44108</v>
      </c>
      <c r="B2" s="33">
        <f>IF(INDEX(Summary!$C$15:$C$25,MATCH(B$1,Summary!$B$15:$B$25,0))="x",INDEX('Week Selection'!C$3:C$59,MATCH($A2,'Week Selection'!$A$3:$A$59,0)),0)</f>
        <v>0</v>
      </c>
      <c r="C2" s="33">
        <f>IF(INDEX(Summary!$C$15:$C$25,MATCH(C$1,Summary!$B$15:$B$25,0))="x",INDEX('Week Selection'!D$3:D$59,MATCH($A2,'Week Selection'!$A$3:$A$59,0)),0)</f>
        <v>0</v>
      </c>
      <c r="D2" s="33">
        <f>IF(INDEX(Summary!$C$15:$C$25,MATCH(D$1,Summary!$B$15:$B$25,0))="x",INDEX('Week Selection'!E$3:E$59,MATCH($A2,'Week Selection'!$A$3:$A$59,0)),0)</f>
        <v>6.1094892918029835</v>
      </c>
      <c r="E2" s="33">
        <f>IF(INDEX(Summary!$C$15:$C$25,MATCH(E$1,Summary!$B$15:$B$25,0))="x",INDEX('Week Selection'!F$3:F$59,MATCH($A2,'Week Selection'!$A$3:$A$59,0)),0)</f>
        <v>22.134846548763999</v>
      </c>
      <c r="F2" s="33">
        <f>IF(INDEX(Summary!$C$15:$C$25,MATCH(F$1,Summary!$B$15:$B$25,0))="x",INDEX('Week Selection'!G$3:G$59,MATCH($A2,'Week Selection'!$A$3:$A$59,0)),0)</f>
        <v>1.9193985843711583</v>
      </c>
      <c r="G2" s="33">
        <f>IF(INDEX(Summary!$C$15:$C$25,MATCH(G$1,Summary!$B$15:$B$25,0))="x",INDEX('Week Selection'!H$3:H$59,MATCH($A2,'Week Selection'!$A$3:$A$59,0)),0)</f>
        <v>9.1537538202242335</v>
      </c>
      <c r="H2" s="33">
        <f>IF(INDEX(Summary!$C$15:$C$25,MATCH(H$1,Summary!$B$15:$B$25,0))="x",INDEX('Week Selection'!I$3:I$59,MATCH($A2,'Week Selection'!$A$3:$A$59,0)),0)</f>
        <v>11.651934360564248</v>
      </c>
      <c r="I2" s="33">
        <f>IF(INDEX(Summary!$C$15:$C$25,MATCH(I$1,Summary!$B$15:$B$25,0))="x",INDEX('Week Selection'!J$3:J$59,MATCH($A2,'Week Selection'!$A$3:$A$59,0)),0)</f>
        <v>0</v>
      </c>
      <c r="J2" s="33">
        <f>IF(INDEX(Summary!$C$15:$C$25,MATCH(J$1,Summary!$B$15:$B$25,0))="x",INDEX('Week Selection'!K$3:K$59,MATCH($A2,'Week Selection'!$A$3:$A$59,0)),0)</f>
        <v>0</v>
      </c>
      <c r="K2" s="33">
        <f>IF(INDEX(Summary!$C$15:$C$25,MATCH(K$1,Summary!$B$15:$B$25,0))="x",INDEX('Week Selection'!L$3:L$59,MATCH($A2,'Week Selection'!$A$3:$A$59,0)),0)</f>
        <v>0</v>
      </c>
      <c r="L2" s="33">
        <f>IF(INDEX(Summary!$C$15:$C$25,MATCH(L$1,Summary!$B$15:$B$25,0))="x",INDEX('Week Selection'!M$3:M$59,MATCH($A2,'Week Selection'!$A$3:$A$59,0)),0)</f>
        <v>0</v>
      </c>
      <c r="M2" s="3"/>
      <c r="N2" s="7">
        <f>INDEX('Week Selection'!O$3:O$59,MATCH($A2,'Week Selection'!$A$3:$A$59,0))</f>
        <v>0.52014220451971194</v>
      </c>
      <c r="O2" s="7">
        <f>INDEX('Week Selection'!P$3:P$59,MATCH($A2,'Week Selection'!$A$3:$A$59,0))</f>
        <v>1.121498332848091</v>
      </c>
      <c r="P2" s="7">
        <f>INDEX('Week Selection'!Q$3:Q$59,MATCH($A2,'Week Selection'!$A$3:$A$59,0))</f>
        <v>1.1326538356828137</v>
      </c>
      <c r="R2" s="33">
        <f>IF(INDEX(Summary!$C$15:$C$25,MATCH(R$1,Summary!$B$15:$B$25,0))="x",B2,0)</f>
        <v>0</v>
      </c>
      <c r="S2" s="33">
        <f>IF(INDEX(Summary!$C$15:$C$25,MATCH(S$1,Summary!$B$15:$B$25,0))="x",C2,0)</f>
        <v>0</v>
      </c>
      <c r="T2" s="33">
        <f>IF(INDEX(Summary!$C$15:$C$25,MATCH(T$1,Summary!$B$15:$B$25,0))="x",D2,0)</f>
        <v>6.1094892918029835</v>
      </c>
      <c r="U2" s="33">
        <f>IF(INDEX(Summary!$C$15:$C$25,MATCH(U$1,Summary!$B$15:$B$25,0))="x",E2,0)</f>
        <v>22.134846548763999</v>
      </c>
      <c r="V2" s="33">
        <f>IF(INDEX(Summary!$C$15:$C$25,MATCH(V$1,Summary!$B$15:$B$25,0))="x",F2,0)</f>
        <v>1.9193985843711583</v>
      </c>
      <c r="W2" s="33">
        <f>IF(INDEX(Summary!$C$15:$C$25,MATCH(W$1,Summary!$B$15:$B$25,0))="x",G2,0)</f>
        <v>9.1537538202242335</v>
      </c>
      <c r="X2" s="33">
        <f>IF(INDEX(Summary!$C$15:$C$25,MATCH(X$1,Summary!$B$15:$B$25,0))="x",H2,0)</f>
        <v>11.651934360564248</v>
      </c>
      <c r="Y2" s="33">
        <f>IF(INDEX(Summary!$C$15:$C$25,MATCH(Y$1,Summary!$B$15:$B$25,0))="x",I2,0)</f>
        <v>0</v>
      </c>
      <c r="Z2" s="33">
        <f>IF(INDEX(Summary!$C$15:$C$25,MATCH(Z$1,Summary!$B$15:$B$25,0))="x",J2,0)</f>
        <v>0</v>
      </c>
      <c r="AA2" s="33">
        <f>IF(INDEX(Summary!$C$15:$C$25,MATCH(AA$1,Summary!$B$15:$B$25,0))="x",K2,0)</f>
        <v>0</v>
      </c>
      <c r="AB2" s="33">
        <f>IF(INDEX(Summary!$C$15:$C$25,MATCH(AB$1,Summary!$B$15:$B$25,0))="x",L2,0)</f>
        <v>0</v>
      </c>
    </row>
    <row r="3" spans="1:28" x14ac:dyDescent="0.35">
      <c r="A3" s="5">
        <f ca="1">IF(NOW()&gt;A2+7,A2+7,A2)</f>
        <v>44115</v>
      </c>
      <c r="B3" s="33">
        <f ca="1">IF(INDEX(Summary!$C$15:$C$25,MATCH(B$1,Summary!$B$15:$B$25,0))="x",INDEX('Week Selection'!C$3:C$59,MATCH($A3,'Week Selection'!$A$3:$A$59,0)),0)</f>
        <v>0</v>
      </c>
      <c r="C3" s="33">
        <f ca="1">IF(INDEX(Summary!$C$15:$C$24,MATCH(C$1,Summary!$B$15:$B$24,0))="x",INDEX('Week Selection'!D$3:D$59,MATCH($A3,'Week Selection'!$A$3:$A$59,0)),0)</f>
        <v>0</v>
      </c>
      <c r="D3" s="33">
        <f ca="1">IF(INDEX(Summary!$C$15:$C$24,MATCH(D$1,Summary!$B$15:$B$24,0))="x",INDEX('Week Selection'!E$3:E$59,MATCH($A3,'Week Selection'!$A$3:$A$59,0)),0)</f>
        <v>6.9487371003442497</v>
      </c>
      <c r="E3" s="33">
        <f ca="1">IF(INDEX(Summary!$C$15:$C$24,MATCH(E$1,Summary!$B$15:$B$24,0))="x",INDEX('Week Selection'!F$3:F$59,MATCH($A3,'Week Selection'!$A$3:$A$59,0)),0)</f>
        <v>16.948446003763017</v>
      </c>
      <c r="F3" s="33">
        <f ca="1">IF(INDEX(Summary!$C$15:$C$24,MATCH(F$1,Summary!$B$15:$B$24,0))="x",INDEX('Week Selection'!G$3:G$59,MATCH($A3,'Week Selection'!$A$3:$A$59,0)),0)</f>
        <v>2.7946979972482398</v>
      </c>
      <c r="G3" s="33">
        <f ca="1">IF(INDEX(Summary!$C$15:$C$24,MATCH(G$1,Summary!$B$15:$B$24,0))="x",INDEX('Week Selection'!H$3:H$59,MATCH($A3,'Week Selection'!$A$3:$A$59,0)),0)</f>
        <v>13.201594400422362</v>
      </c>
      <c r="H3" s="33">
        <f ca="1">IF(INDEX(Summary!$C$15:$C$24,MATCH(H$1,Summary!$B$15:$B$24,0))="x",INDEX('Week Selection'!I$3:I$59,MATCH($A3,'Week Selection'!$A$3:$A$59,0)),0)</f>
        <v>11.297566653534735</v>
      </c>
      <c r="I3" s="33">
        <f ca="1">IF(INDEX(Summary!$C$15:$C$24,MATCH(I$1,Summary!$B$15:$B$24,0))="x",INDEX('Week Selection'!J$3:J$59,MATCH($A3,'Week Selection'!$A$3:$A$59,0)),0)</f>
        <v>0</v>
      </c>
      <c r="J3" s="33">
        <f ca="1">IF(INDEX(Summary!$C$15:$C$24,MATCH(J$1,Summary!$B$15:$B$24,0))="x",INDEX('Week Selection'!K$3:K$59,MATCH($A3,'Week Selection'!$A$3:$A$59,0)),0)</f>
        <v>0</v>
      </c>
      <c r="K3" s="33">
        <f ca="1">IF(INDEX(Summary!$C$15:$C$24,MATCH(K$1,Summary!$B$15:$B$24,0))="x",INDEX('Week Selection'!L$3:L$59,MATCH($A3,'Week Selection'!$A$3:$A$59,0)),0)</f>
        <v>0</v>
      </c>
      <c r="L3" s="33">
        <f ca="1">IF(INDEX(Summary!$C$15:$C$25,MATCH(L$1,Summary!$B$15:$B$25,0))="x",INDEX('Week Selection'!M$3:M$59,MATCH($A3,'Week Selection'!$A$3:$A$59,0)),0)</f>
        <v>0</v>
      </c>
      <c r="M3" s="3"/>
      <c r="N3" s="7">
        <f ca="1">INDEX('Week Selection'!O$3:O$59,MATCH($A3,'Week Selection'!$A$3:$A$59,0))</f>
        <v>0.61247902634892737</v>
      </c>
      <c r="O3" s="7">
        <f ca="1">INDEX('Week Selection'!P$3:P$59,MATCH($A3,'Week Selection'!$A$3:$A$59,0))</f>
        <v>1.1060576263742088</v>
      </c>
      <c r="P3" s="7">
        <f ca="1">INDEX('Week Selection'!Q$3:Q$59,MATCH($A3,'Week Selection'!$A$3:$A$59,0))</f>
        <v>1.1375787145625025</v>
      </c>
      <c r="R3" s="33">
        <f ca="1">IF(INDEX(Summary!$C$15:$C$25,MATCH(R$1,Summary!$B$15:$B$25,0))="x",IF($A3=$A2,R2,SUM(B$2:B3)),0)</f>
        <v>0</v>
      </c>
      <c r="S3" s="33">
        <f ca="1">IF(INDEX(Summary!$C$15:$C$25,MATCH(S$1,Summary!$B$15:$B$25,0))="x",IF($A3=$A2,S2,SUM(C$2:C3)),0)</f>
        <v>0</v>
      </c>
      <c r="T3" s="33">
        <f ca="1">IF(INDEX(Summary!$C$15:$C$25,MATCH(T$1,Summary!$B$15:$B$25,0))="x",IF($A3=$A2,T2,SUM(D$2:D3)),0)</f>
        <v>13.058226392147233</v>
      </c>
      <c r="U3" s="33">
        <f ca="1">IF(INDEX(Summary!$C$15:$C$25,MATCH(U$1,Summary!$B$15:$B$25,0))="x",IF($A3=$A2,U2,SUM(E$2:E3)),0)</f>
        <v>39.083292552527013</v>
      </c>
      <c r="V3" s="33">
        <f ca="1">IF(INDEX(Summary!$C$15:$C$25,MATCH(V$1,Summary!$B$15:$B$25,0))="x",IF($A3=$A2,V2,SUM(F$2:F3)),0)</f>
        <v>4.7140965816193976</v>
      </c>
      <c r="W3" s="33">
        <f ca="1">IF(INDEX(Summary!$C$15:$C$25,MATCH(W$1,Summary!$B$15:$B$25,0))="x",IF($A3=$A2,W2,SUM(G$2:G3)),0)</f>
        <v>22.355348220646597</v>
      </c>
      <c r="X3" s="33">
        <f ca="1">IF(INDEX(Summary!$C$15:$C$25,MATCH(X$1,Summary!$B$15:$B$25,0))="x",IF($A3=$A2,X2,SUM(H$2:H3)),0)</f>
        <v>22.949501014098985</v>
      </c>
      <c r="Y3" s="33">
        <f ca="1">IF(INDEX(Summary!$C$15:$C$25,MATCH(Y$1,Summary!$B$15:$B$25,0))="x",IF($A3=$A2,Y2,SUM(I$2:I3)),0)</f>
        <v>0</v>
      </c>
      <c r="Z3" s="33">
        <f ca="1">IF(INDEX(Summary!$C$15:$C$25,MATCH(Z$1,Summary!$B$15:$B$25,0))="x",IF($A3=$A2,Z2,SUM(J$2:J3)),0)</f>
        <v>0</v>
      </c>
      <c r="AA3" s="33">
        <f ca="1">IF(INDEX(Summary!$C$15:$C$25,MATCH(AA$1,Summary!$B$15:$B$25,0))="x",IF($A3=$A2,AA2,SUM(K$2:K3)),0)</f>
        <v>0</v>
      </c>
      <c r="AB3" s="33">
        <f ca="1">IF(INDEX(Summary!$C$15:$C$25,MATCH(AB$1,Summary!$B$15:$B$25,0))="x",IF($A3=$A2,AB2,SUM(L$2:L3)),0)</f>
        <v>0</v>
      </c>
    </row>
    <row r="4" spans="1:28" x14ac:dyDescent="0.35">
      <c r="A4" s="5">
        <f t="shared" ref="A4:A58" ca="1" si="0">IF(NOW()&gt;A3+7,A3+7,A3)</f>
        <v>44122</v>
      </c>
      <c r="B4" s="33">
        <f ca="1">IF(INDEX(Summary!$C$15:$C$25,MATCH(B$1,Summary!$B$15:$B$25,0))="x",INDEX('Week Selection'!C$3:C$59,MATCH($A4,'Week Selection'!$A$3:$A$59,0)),0)</f>
        <v>0</v>
      </c>
      <c r="C4" s="33">
        <f ca="1">IF(INDEX(Summary!$C$15:$C$24,MATCH(C$1,Summary!$B$15:$B$24,0))="x",INDEX('Week Selection'!D$3:D$59,MATCH($A4,'Week Selection'!$A$3:$A$59,0)),0)</f>
        <v>8.0487302323771122</v>
      </c>
      <c r="D4" s="33">
        <f ca="1">IF(INDEX(Summary!$C$15:$C$24,MATCH(D$1,Summary!$B$15:$B$24,0))="x",INDEX('Week Selection'!E$3:E$59,MATCH($A4,'Week Selection'!$A$3:$A$59,0)),0)</f>
        <v>6.056110560752507</v>
      </c>
      <c r="E4" s="33">
        <f ca="1">IF(INDEX(Summary!$C$15:$C$24,MATCH(E$1,Summary!$B$15:$B$24,0))="x",INDEX('Week Selection'!F$3:F$59,MATCH($A4,'Week Selection'!$A$3:$A$59,0)),0)</f>
        <v>8.4643018245706116</v>
      </c>
      <c r="F4" s="33">
        <f ca="1">IF(INDEX(Summary!$C$15:$C$24,MATCH(F$1,Summary!$B$15:$B$24,0))="x",INDEX('Week Selection'!G$3:G$59,MATCH($A4,'Week Selection'!$A$3:$A$59,0)),0)</f>
        <v>2.8885998502998453</v>
      </c>
      <c r="G4" s="33">
        <f ca="1">IF(INDEX(Summary!$C$15:$C$24,MATCH(G$1,Summary!$B$15:$B$24,0))="x",INDEX('Week Selection'!H$3:H$59,MATCH($A4,'Week Selection'!$A$3:$A$59,0)),0)</f>
        <v>2.4618494656120764</v>
      </c>
      <c r="H4" s="33">
        <f ca="1">IF(INDEX(Summary!$C$15:$C$24,MATCH(H$1,Summary!$B$15:$B$24,0))="x",INDEX('Week Selection'!I$3:I$59,MATCH($A4,'Week Selection'!$A$3:$A$59,0)),0)</f>
        <v>18.488604071019989</v>
      </c>
      <c r="I4" s="33">
        <f ca="1">IF(INDEX(Summary!$C$15:$C$24,MATCH(I$1,Summary!$B$15:$B$24,0))="x",INDEX('Week Selection'!J$3:J$59,MATCH($A4,'Week Selection'!$A$3:$A$59,0)),0)</f>
        <v>0</v>
      </c>
      <c r="J4" s="33">
        <f ca="1">IF(INDEX(Summary!$C$15:$C$24,MATCH(J$1,Summary!$B$15:$B$24,0))="x",INDEX('Week Selection'!K$3:K$59,MATCH($A4,'Week Selection'!$A$3:$A$59,0)),0)</f>
        <v>0</v>
      </c>
      <c r="K4" s="33">
        <f ca="1">IF(INDEX(Summary!$C$15:$C$24,MATCH(K$1,Summary!$B$15:$B$24,0))="x",INDEX('Week Selection'!L$3:L$59,MATCH($A4,'Week Selection'!$A$3:$A$59,0)),0)</f>
        <v>0</v>
      </c>
      <c r="L4" s="33">
        <f ca="1">IF(INDEX(Summary!$C$15:$C$25,MATCH(L$1,Summary!$B$15:$B$25,0))="x",INDEX('Week Selection'!M$3:M$59,MATCH($A4,'Week Selection'!$A$3:$A$59,0)),0)</f>
        <v>0</v>
      </c>
      <c r="M4" s="3"/>
      <c r="N4" s="7">
        <f ca="1">INDEX('Week Selection'!O$3:O$59,MATCH($A4,'Week Selection'!$A$3:$A$59,0))</f>
        <v>0.65570018622113546</v>
      </c>
      <c r="O4" s="7">
        <f ca="1">INDEX('Week Selection'!P$3:P$59,MATCH($A4,'Week Selection'!$A$3:$A$59,0))</f>
        <v>1.0088021360969908</v>
      </c>
      <c r="P4" s="7">
        <f ca="1">INDEX('Week Selection'!Q$3:Q$59,MATCH($A4,'Week Selection'!$A$3:$A$59,0))</f>
        <v>1.0312932445473808</v>
      </c>
      <c r="R4" s="33">
        <f ca="1">IF(INDEX(Summary!$C$15:$C$25,MATCH(R$1,Summary!$B$15:$B$25,0))="x",IF($A4=$A3,R3,SUM(B$2:B4)),0)</f>
        <v>0</v>
      </c>
      <c r="S4" s="33">
        <f ca="1">IF(INDEX(Summary!$C$15:$C$25,MATCH(S$1,Summary!$B$15:$B$25,0))="x",IF($A4=$A3,S3,SUM(C$2:C4)),0)</f>
        <v>8.0487302323771122</v>
      </c>
      <c r="T4" s="33">
        <f ca="1">IF(INDEX(Summary!$C$15:$C$25,MATCH(T$1,Summary!$B$15:$B$25,0))="x",IF($A4=$A3,T3,SUM(D$2:D4)),0)</f>
        <v>19.114336952899741</v>
      </c>
      <c r="U4" s="33">
        <f ca="1">IF(INDEX(Summary!$C$15:$C$25,MATCH(U$1,Summary!$B$15:$B$25,0))="x",IF($A4=$A3,U3,SUM(E$2:E4)),0)</f>
        <v>47.547594377097624</v>
      </c>
      <c r="V4" s="33">
        <f ca="1">IF(INDEX(Summary!$C$15:$C$25,MATCH(V$1,Summary!$B$15:$B$25,0))="x",IF($A4=$A3,V3,SUM(F$2:F4)),0)</f>
        <v>7.6026964319192434</v>
      </c>
      <c r="W4" s="33">
        <f ca="1">IF(INDEX(Summary!$C$15:$C$25,MATCH(W$1,Summary!$B$15:$B$25,0))="x",IF($A4=$A3,W3,SUM(G$2:G4)),0)</f>
        <v>24.817197686258673</v>
      </c>
      <c r="X4" s="33">
        <f ca="1">IF(INDEX(Summary!$C$15:$C$25,MATCH(X$1,Summary!$B$15:$B$25,0))="x",IF($A4=$A3,X3,SUM(H$2:H4)),0)</f>
        <v>41.438105085118977</v>
      </c>
      <c r="Y4" s="33">
        <f ca="1">IF(INDEX(Summary!$C$15:$C$25,MATCH(Y$1,Summary!$B$15:$B$25,0))="x",IF($A4=$A3,Y3,SUM(I$2:I4)),0)</f>
        <v>0</v>
      </c>
      <c r="Z4" s="33">
        <f ca="1">IF(INDEX(Summary!$C$15:$C$25,MATCH(Z$1,Summary!$B$15:$B$25,0))="x",IF($A4=$A3,Z3,SUM(J$2:J4)),0)</f>
        <v>0</v>
      </c>
      <c r="AA4" s="33">
        <f ca="1">IF(INDEX(Summary!$C$15:$C$25,MATCH(AA$1,Summary!$B$15:$B$25,0))="x",IF($A4=$A3,AA3,SUM(K$2:K4)),0)</f>
        <v>0</v>
      </c>
      <c r="AB4" s="33">
        <f ca="1">IF(INDEX(Summary!$C$15:$C$25,MATCH(AB$1,Summary!$B$15:$B$25,0))="x",IF($A4=$A3,AB3,SUM(L$2:L4)),0)</f>
        <v>0</v>
      </c>
    </row>
    <row r="5" spans="1:28" x14ac:dyDescent="0.35">
      <c r="A5" s="5">
        <f t="shared" ca="1" si="0"/>
        <v>44129</v>
      </c>
      <c r="B5" s="33">
        <f ca="1">IF(INDEX(Summary!$C$15:$C$25,MATCH(B$1,Summary!$B$15:$B$25,0))="x",INDEX('Week Selection'!C$3:C$59,MATCH($A5,'Week Selection'!$A$3:$A$59,0)),0)</f>
        <v>0</v>
      </c>
      <c r="C5" s="33">
        <f ca="1">IF(INDEX(Summary!$C$15:$C$24,MATCH(C$1,Summary!$B$15:$B$24,0))="x",INDEX('Week Selection'!D$3:D$59,MATCH($A5,'Week Selection'!$A$3:$A$59,0)),0)</f>
        <v>8.0487302323771122</v>
      </c>
      <c r="D5" s="33">
        <f ca="1">IF(INDEX(Summary!$C$15:$C$24,MATCH(D$1,Summary!$B$15:$B$24,0))="x",INDEX('Week Selection'!E$3:E$59,MATCH($A5,'Week Selection'!$A$3:$A$59,0)),0)</f>
        <v>4.8982671796524802</v>
      </c>
      <c r="E5" s="33">
        <f ca="1">IF(INDEX(Summary!$C$15:$C$24,MATCH(E$1,Summary!$B$15:$B$24,0))="x",INDEX('Week Selection'!F$3:F$59,MATCH($A5,'Week Selection'!$A$3:$A$59,0)),0)</f>
        <v>6.7913956046136459</v>
      </c>
      <c r="F5" s="33">
        <f ca="1">IF(INDEX(Summary!$C$15:$C$24,MATCH(F$1,Summary!$B$15:$B$24,0))="x",INDEX('Week Selection'!G$3:G$59,MATCH($A5,'Week Selection'!$A$3:$A$59,0)),0)</f>
        <v>4.2303343585137725</v>
      </c>
      <c r="G5" s="33">
        <f ca="1">IF(INDEX(Summary!$C$15:$C$24,MATCH(G$1,Summary!$B$15:$B$24,0))="x",INDEX('Week Selection'!H$3:H$59,MATCH($A5,'Week Selection'!$A$3:$A$59,0)),0)</f>
        <v>5.873616781031366</v>
      </c>
      <c r="H5" s="33">
        <f ca="1">IF(INDEX(Summary!$C$15:$C$24,MATCH(H$1,Summary!$B$15:$B$24,0))="x",INDEX('Week Selection'!I$3:I$59,MATCH($A5,'Week Selection'!$A$3:$A$59,0)),0)</f>
        <v>18.268661338691835</v>
      </c>
      <c r="I5" s="33">
        <f ca="1">IF(INDEX(Summary!$C$15:$C$24,MATCH(I$1,Summary!$B$15:$B$24,0))="x",INDEX('Week Selection'!J$3:J$59,MATCH($A5,'Week Selection'!$A$3:$A$59,0)),0)</f>
        <v>0</v>
      </c>
      <c r="J5" s="33">
        <f ca="1">IF(INDEX(Summary!$C$15:$C$24,MATCH(J$1,Summary!$B$15:$B$24,0))="x",INDEX('Week Selection'!K$3:K$59,MATCH($A5,'Week Selection'!$A$3:$A$59,0)),0)</f>
        <v>0</v>
      </c>
      <c r="K5" s="33">
        <f ca="1">IF(INDEX(Summary!$C$15:$C$24,MATCH(K$1,Summary!$B$15:$B$24,0))="x",INDEX('Week Selection'!L$3:L$59,MATCH($A5,'Week Selection'!$A$3:$A$59,0)),0)</f>
        <v>0</v>
      </c>
      <c r="L5" s="33">
        <f ca="1">IF(INDEX(Summary!$C$15:$C$25,MATCH(L$1,Summary!$B$15:$B$25,0))="x",INDEX('Week Selection'!M$3:M$59,MATCH($A5,'Week Selection'!$A$3:$A$59,0)),0)</f>
        <v>0</v>
      </c>
      <c r="M5" s="3"/>
      <c r="N5" s="7">
        <f ca="1">INDEX('Week Selection'!O$3:O$59,MATCH($A5,'Week Selection'!$A$3:$A$59,0))</f>
        <v>0.7555968290245304</v>
      </c>
      <c r="O5" s="7">
        <f ca="1">INDEX('Week Selection'!P$3:P$59,MATCH($A5,'Week Selection'!$A$3:$A$59,0))</f>
        <v>1.0803184578806933</v>
      </c>
      <c r="P5" s="7">
        <f ca="1">INDEX('Week Selection'!Q$3:Q$59,MATCH($A5,'Week Selection'!$A$3:$A$59,0))</f>
        <v>1.0691334554417824</v>
      </c>
      <c r="R5" s="33">
        <f ca="1">IF(INDEX(Summary!$C$15:$C$25,MATCH(R$1,Summary!$B$15:$B$25,0))="x",IF($A5=$A4,R4,SUM(B$2:B5)),0)</f>
        <v>0</v>
      </c>
      <c r="S5" s="33">
        <f ca="1">IF(INDEX(Summary!$C$15:$C$25,MATCH(S$1,Summary!$B$15:$B$25,0))="x",IF($A5=$A4,S4,SUM(C$2:C5)),0)</f>
        <v>16.097460464754224</v>
      </c>
      <c r="T5" s="33">
        <f ca="1">IF(INDEX(Summary!$C$15:$C$25,MATCH(T$1,Summary!$B$15:$B$25,0))="x",IF($A5=$A4,T4,SUM(D$2:D5)),0)</f>
        <v>24.012604132552219</v>
      </c>
      <c r="U5" s="33">
        <f ca="1">IF(INDEX(Summary!$C$15:$C$25,MATCH(U$1,Summary!$B$15:$B$25,0))="x",IF($A5=$A4,U4,SUM(E$2:E5)),0)</f>
        <v>54.338989981711272</v>
      </c>
      <c r="V5" s="33">
        <f ca="1">IF(INDEX(Summary!$C$15:$C$25,MATCH(V$1,Summary!$B$15:$B$25,0))="x",IF($A5=$A4,V4,SUM(F$2:F5)),0)</f>
        <v>11.833030790433016</v>
      </c>
      <c r="W5" s="33">
        <f ca="1">IF(INDEX(Summary!$C$15:$C$25,MATCH(W$1,Summary!$B$15:$B$25,0))="x",IF($A5=$A4,W4,SUM(G$2:G5)),0)</f>
        <v>30.690814467290039</v>
      </c>
      <c r="X5" s="33">
        <f ca="1">IF(INDEX(Summary!$C$15:$C$25,MATCH(X$1,Summary!$B$15:$B$25,0))="x",IF($A5=$A4,X4,SUM(H$2:H5)),0)</f>
        <v>59.706766423810812</v>
      </c>
      <c r="Y5" s="33">
        <f ca="1">IF(INDEX(Summary!$C$15:$C$25,MATCH(Y$1,Summary!$B$15:$B$25,0))="x",IF($A5=$A4,Y4,SUM(I$2:I5)),0)</f>
        <v>0</v>
      </c>
      <c r="Z5" s="33">
        <f ca="1">IF(INDEX(Summary!$C$15:$C$25,MATCH(Z$1,Summary!$B$15:$B$25,0))="x",IF($A5=$A4,Z4,SUM(J$2:J5)),0)</f>
        <v>0</v>
      </c>
      <c r="AA5" s="33">
        <f ca="1">IF(INDEX(Summary!$C$15:$C$25,MATCH(AA$1,Summary!$B$15:$B$25,0))="x",IF($A5=$A4,AA4,SUM(K$2:K5)),0)</f>
        <v>0</v>
      </c>
      <c r="AB5" s="33">
        <f ca="1">IF(INDEX(Summary!$C$15:$C$25,MATCH(AB$1,Summary!$B$15:$B$25,0))="x",IF($A5=$A4,AB4,SUM(L$2:L5)),0)</f>
        <v>0</v>
      </c>
    </row>
    <row r="6" spans="1:28" x14ac:dyDescent="0.35">
      <c r="A6" s="5">
        <f t="shared" ca="1" si="0"/>
        <v>44136</v>
      </c>
      <c r="B6" s="33">
        <f ca="1">IF(INDEX(Summary!$C$15:$C$25,MATCH(B$1,Summary!$B$15:$B$25,0))="x",INDEX('Week Selection'!C$3:C$59,MATCH($A6,'Week Selection'!$A$3:$A$59,0)),0)</f>
        <v>0</v>
      </c>
      <c r="C6" s="33">
        <f ca="1">IF(INDEX(Summary!$C$15:$C$24,MATCH(C$1,Summary!$B$15:$B$24,0))="x",INDEX('Week Selection'!D$3:D$59,MATCH($A6,'Week Selection'!$A$3:$A$59,0)),0)</f>
        <v>0</v>
      </c>
      <c r="D6" s="33">
        <f ca="1">IF(INDEX(Summary!$C$15:$C$24,MATCH(D$1,Summary!$B$15:$B$24,0))="x",INDEX('Week Selection'!E$3:E$59,MATCH($A6,'Week Selection'!$A$3:$A$59,0)),0)</f>
        <v>6.9375583087284136</v>
      </c>
      <c r="E6" s="33">
        <f ca="1">IF(INDEX(Summary!$C$15:$C$24,MATCH(E$1,Summary!$B$15:$B$24,0))="x",INDEX('Week Selection'!F$3:F$59,MATCH($A6,'Week Selection'!$A$3:$A$59,0)),0)</f>
        <v>11.031790875107312</v>
      </c>
      <c r="F6" s="33">
        <f ca="1">IF(INDEX(Summary!$C$15:$C$24,MATCH(F$1,Summary!$B$15:$B$24,0))="x",INDEX('Week Selection'!G$3:G$59,MATCH($A6,'Week Selection'!$A$3:$A$59,0)),0)</f>
        <v>4.2208323853855676</v>
      </c>
      <c r="G6" s="33">
        <f ca="1">IF(INDEX(Summary!$C$15:$C$24,MATCH(G$1,Summary!$B$15:$B$24,0))="x",INDEX('Week Selection'!H$3:H$59,MATCH($A6,'Week Selection'!$A$3:$A$59,0)),0)</f>
        <v>6.5245019451447908</v>
      </c>
      <c r="H6" s="33">
        <f ca="1">IF(INDEX(Summary!$C$15:$C$24,MATCH(H$1,Summary!$B$15:$B$24,0))="x",INDEX('Week Selection'!I$3:I$59,MATCH($A6,'Week Selection'!$A$3:$A$59,0)),0)</f>
        <v>17.687643623978168</v>
      </c>
      <c r="I6" s="33">
        <f ca="1">IF(INDEX(Summary!$C$15:$C$24,MATCH(I$1,Summary!$B$15:$B$24,0))="x",INDEX('Week Selection'!J$3:J$59,MATCH($A6,'Week Selection'!$A$3:$A$59,0)),0)</f>
        <v>0</v>
      </c>
      <c r="J6" s="33">
        <f ca="1">IF(INDEX(Summary!$C$15:$C$24,MATCH(J$1,Summary!$B$15:$B$24,0))="x",INDEX('Week Selection'!K$3:K$59,MATCH($A6,'Week Selection'!$A$3:$A$59,0)),0)</f>
        <v>0</v>
      </c>
      <c r="K6" s="33">
        <f ca="1">IF(INDEX(Summary!$C$15:$C$24,MATCH(K$1,Summary!$B$15:$B$24,0))="x",INDEX('Week Selection'!L$3:L$59,MATCH($A6,'Week Selection'!$A$3:$A$59,0)),0)</f>
        <v>0</v>
      </c>
      <c r="L6" s="33">
        <f ca="1">IF(INDEX(Summary!$C$15:$C$25,MATCH(L$1,Summary!$B$15:$B$25,0))="x",INDEX('Week Selection'!M$3:M$59,MATCH($A6,'Week Selection'!$A$3:$A$59,0)),0)</f>
        <v>0</v>
      </c>
      <c r="M6" s="3"/>
      <c r="N6" s="7">
        <f ca="1">INDEX('Week Selection'!O$3:O$59,MATCH($A6,'Week Selection'!$A$3:$A$59,0))</f>
        <v>0.60530363922807395</v>
      </c>
      <c r="O6" s="7">
        <f ca="1">INDEX('Week Selection'!P$3:P$59,MATCH($A6,'Week Selection'!$A$3:$A$59,0))</f>
        <v>0.98661922074039587</v>
      </c>
      <c r="P6" s="7">
        <f ca="1">INDEX('Week Selection'!Q$3:Q$59,MATCH($A6,'Week Selection'!$A$3:$A$59,0))</f>
        <v>1.0311628252965388</v>
      </c>
      <c r="R6" s="33">
        <f ca="1">IF(INDEX(Summary!$C$15:$C$25,MATCH(R$1,Summary!$B$15:$B$25,0))="x",IF($A6=$A5,R5,SUM(B$2:B6)),0)</f>
        <v>0</v>
      </c>
      <c r="S6" s="33">
        <f ca="1">IF(INDEX(Summary!$C$15:$C$25,MATCH(S$1,Summary!$B$15:$B$25,0))="x",IF($A6=$A5,S5,SUM(C$2:C6)),0)</f>
        <v>16.097460464754224</v>
      </c>
      <c r="T6" s="33">
        <f ca="1">IF(INDEX(Summary!$C$15:$C$25,MATCH(T$1,Summary!$B$15:$B$25,0))="x",IF($A6=$A5,T5,SUM(D$2:D6)),0)</f>
        <v>30.950162441280632</v>
      </c>
      <c r="U6" s="33">
        <f ca="1">IF(INDEX(Summary!$C$15:$C$25,MATCH(U$1,Summary!$B$15:$B$25,0))="x",IF($A6=$A5,U5,SUM(E$2:E6)),0)</f>
        <v>65.370780856818584</v>
      </c>
      <c r="V6" s="33">
        <f ca="1">IF(INDEX(Summary!$C$15:$C$25,MATCH(V$1,Summary!$B$15:$B$25,0))="x",IF($A6=$A5,V5,SUM(F$2:F6)),0)</f>
        <v>16.053863175818584</v>
      </c>
      <c r="W6" s="33">
        <f ca="1">IF(INDEX(Summary!$C$15:$C$25,MATCH(W$1,Summary!$B$15:$B$25,0))="x",IF($A6=$A5,W5,SUM(G$2:G6)),0)</f>
        <v>37.215316412434831</v>
      </c>
      <c r="X6" s="33">
        <f ca="1">IF(INDEX(Summary!$C$15:$C$25,MATCH(X$1,Summary!$B$15:$B$25,0))="x",IF($A6=$A5,X5,SUM(H$2:H6)),0)</f>
        <v>77.39441004778898</v>
      </c>
      <c r="Y6" s="33">
        <f ca="1">IF(INDEX(Summary!$C$15:$C$25,MATCH(Y$1,Summary!$B$15:$B$25,0))="x",IF($A6=$A5,Y5,SUM(I$2:I6)),0)</f>
        <v>0</v>
      </c>
      <c r="Z6" s="33">
        <f ca="1">IF(INDEX(Summary!$C$15:$C$25,MATCH(Z$1,Summary!$B$15:$B$25,0))="x",IF($A6=$A5,Z5,SUM(J$2:J6)),0)</f>
        <v>0</v>
      </c>
      <c r="AA6" s="33">
        <f ca="1">IF(INDEX(Summary!$C$15:$C$25,MATCH(AA$1,Summary!$B$15:$B$25,0))="x",IF($A6=$A5,AA5,SUM(K$2:K6)),0)</f>
        <v>0</v>
      </c>
      <c r="AB6" s="33">
        <f ca="1">IF(INDEX(Summary!$C$15:$C$25,MATCH(AB$1,Summary!$B$15:$B$25,0))="x",IF($A6=$A5,AB5,SUM(L$2:L6)),0)</f>
        <v>0</v>
      </c>
    </row>
    <row r="7" spans="1:28" x14ac:dyDescent="0.35">
      <c r="A7" s="5">
        <f t="shared" ca="1" si="0"/>
        <v>44143</v>
      </c>
      <c r="B7" s="33">
        <f ca="1">IF(INDEX(Summary!$C$15:$C$25,MATCH(B$1,Summary!$B$15:$B$25,0))="x",INDEX('Week Selection'!C$3:C$59,MATCH($A7,'Week Selection'!$A$3:$A$59,0)),0)</f>
        <v>0</v>
      </c>
      <c r="C7" s="33">
        <f ca="1">IF(INDEX(Summary!$C$15:$C$24,MATCH(C$1,Summary!$B$15:$B$24,0))="x",INDEX('Week Selection'!D$3:D$59,MATCH($A7,'Week Selection'!$A$3:$A$59,0)),0)</f>
        <v>0</v>
      </c>
      <c r="D7" s="33">
        <f ca="1">IF(INDEX(Summary!$C$15:$C$24,MATCH(D$1,Summary!$B$15:$B$24,0))="x",INDEX('Week Selection'!E$3:E$59,MATCH($A7,'Week Selection'!$A$3:$A$59,0)),0)</f>
        <v>4.9038565760753023</v>
      </c>
      <c r="E7" s="33">
        <f ca="1">IF(INDEX(Summary!$C$15:$C$24,MATCH(E$1,Summary!$B$15:$B$24,0))="x",INDEX('Week Selection'!F$3:F$59,MATCH($A7,'Week Selection'!$A$3:$A$59,0)),0)</f>
        <v>27.216166446813631</v>
      </c>
      <c r="F7" s="33">
        <f ca="1">IF(INDEX(Summary!$C$15:$C$24,MATCH(F$1,Summary!$B$15:$B$24,0))="x",INDEX('Week Selection'!G$3:G$59,MATCH($A7,'Week Selection'!$A$3:$A$59,0)),0)</f>
        <v>1.048011749077894</v>
      </c>
      <c r="G7" s="33">
        <f ca="1">IF(INDEX(Summary!$C$15:$C$24,MATCH(G$1,Summary!$B$15:$B$24,0))="x",INDEX('Week Selection'!H$3:H$59,MATCH($A7,'Week Selection'!$A$3:$A$59,0)),0)</f>
        <v>12.969634465829071</v>
      </c>
      <c r="H7" s="33">
        <f ca="1">IF(INDEX(Summary!$C$15:$C$24,MATCH(H$1,Summary!$B$15:$B$24,0))="x",INDEX('Week Selection'!I$3:I$59,MATCH($A7,'Week Selection'!$A$3:$A$59,0)),0)</f>
        <v>12.955102035832486</v>
      </c>
      <c r="I7" s="33">
        <f ca="1">IF(INDEX(Summary!$C$15:$C$24,MATCH(I$1,Summary!$B$15:$B$24,0))="x",INDEX('Week Selection'!J$3:J$59,MATCH($A7,'Week Selection'!$A$3:$A$59,0)),0)</f>
        <v>0</v>
      </c>
      <c r="J7" s="33">
        <f ca="1">IF(INDEX(Summary!$C$15:$C$24,MATCH(J$1,Summary!$B$15:$B$24,0))="x",INDEX('Week Selection'!K$3:K$59,MATCH($A7,'Week Selection'!$A$3:$A$59,0)),0)</f>
        <v>0</v>
      </c>
      <c r="K7" s="33">
        <f ca="1">IF(INDEX(Summary!$C$15:$C$24,MATCH(K$1,Summary!$B$15:$B$24,0))="x",INDEX('Week Selection'!L$3:L$59,MATCH($A7,'Week Selection'!$A$3:$A$59,0)),0)</f>
        <v>0</v>
      </c>
      <c r="L7" s="33">
        <f ca="1">IF(INDEX(Summary!$C$15:$C$25,MATCH(L$1,Summary!$B$15:$B$25,0))="x",INDEX('Week Selection'!M$3:M$59,MATCH($A7,'Week Selection'!$A$3:$A$59,0)),0)</f>
        <v>0</v>
      </c>
      <c r="M7" s="3"/>
      <c r="N7" s="7">
        <f ca="1">INDEX('Week Selection'!O$3:O$59,MATCH($A7,'Week Selection'!$A$3:$A$59,0))</f>
        <v>0.6481184125415389</v>
      </c>
      <c r="O7" s="7">
        <f ca="1">INDEX('Week Selection'!P$3:P$59,MATCH($A7,'Week Selection'!$A$3:$A$59,0))</f>
        <v>1.3547228674388267</v>
      </c>
      <c r="P7" s="7">
        <f ca="1">INDEX('Week Selection'!Q$3:Q$59,MATCH($A7,'Week Selection'!$A$3:$A$59,0))</f>
        <v>1.3131726949695195</v>
      </c>
      <c r="R7" s="33">
        <f ca="1">IF(INDEX(Summary!$C$15:$C$25,MATCH(R$1,Summary!$B$15:$B$25,0))="x",IF($A7=$A6,R6,SUM(B$2:B7)),0)</f>
        <v>0</v>
      </c>
      <c r="S7" s="33">
        <f ca="1">IF(INDEX(Summary!$C$15:$C$25,MATCH(S$1,Summary!$B$15:$B$25,0))="x",IF($A7=$A6,S6,SUM(C$2:C7)),0)</f>
        <v>16.097460464754224</v>
      </c>
      <c r="T7" s="33">
        <f ca="1">IF(INDEX(Summary!$C$15:$C$25,MATCH(T$1,Summary!$B$15:$B$25,0))="x",IF($A7=$A6,T6,SUM(D$2:D7)),0)</f>
        <v>35.854019017355938</v>
      </c>
      <c r="U7" s="33">
        <f ca="1">IF(INDEX(Summary!$C$15:$C$25,MATCH(U$1,Summary!$B$15:$B$25,0))="x",IF($A7=$A6,U6,SUM(E$2:E7)),0)</f>
        <v>92.586947303632215</v>
      </c>
      <c r="V7" s="33">
        <f ca="1">IF(INDEX(Summary!$C$15:$C$25,MATCH(V$1,Summary!$B$15:$B$25,0))="x",IF($A7=$A6,V6,SUM(F$2:F7)),0)</f>
        <v>17.101874924896478</v>
      </c>
      <c r="W7" s="33">
        <f ca="1">IF(INDEX(Summary!$C$15:$C$25,MATCH(W$1,Summary!$B$15:$B$25,0))="x",IF($A7=$A6,W6,SUM(G$2:G7)),0)</f>
        <v>50.184950878263905</v>
      </c>
      <c r="X7" s="33">
        <f ca="1">IF(INDEX(Summary!$C$15:$C$25,MATCH(X$1,Summary!$B$15:$B$25,0))="x",IF($A7=$A6,X6,SUM(H$2:H7)),0)</f>
        <v>90.349512083621462</v>
      </c>
      <c r="Y7" s="33">
        <f ca="1">IF(INDEX(Summary!$C$15:$C$25,MATCH(Y$1,Summary!$B$15:$B$25,0))="x",IF($A7=$A6,Y6,SUM(I$2:I7)),0)</f>
        <v>0</v>
      </c>
      <c r="Z7" s="33">
        <f ca="1">IF(INDEX(Summary!$C$15:$C$25,MATCH(Z$1,Summary!$B$15:$B$25,0))="x",IF($A7=$A6,Z6,SUM(J$2:J7)),0)</f>
        <v>0</v>
      </c>
      <c r="AA7" s="33">
        <f ca="1">IF(INDEX(Summary!$C$15:$C$25,MATCH(AA$1,Summary!$B$15:$B$25,0))="x",IF($A7=$A6,AA6,SUM(K$2:K7)),0)</f>
        <v>0</v>
      </c>
      <c r="AB7" s="33">
        <f ca="1">IF(INDEX(Summary!$C$15:$C$25,MATCH(AB$1,Summary!$B$15:$B$25,0))="x",IF($A7=$A6,AB6,SUM(L$2:L7)),0)</f>
        <v>0</v>
      </c>
    </row>
    <row r="8" spans="1:28" x14ac:dyDescent="0.35">
      <c r="A8" s="5">
        <f t="shared" ca="1" si="0"/>
        <v>44150</v>
      </c>
      <c r="B8" s="33">
        <f ca="1">IF(INDEX(Summary!$C$15:$C$25,MATCH(B$1,Summary!$B$15:$B$25,0))="x",INDEX('Week Selection'!C$3:C$59,MATCH($A8,'Week Selection'!$A$3:$A$59,0)),0)</f>
        <v>0</v>
      </c>
      <c r="C8" s="33">
        <f ca="1">IF(INDEX(Summary!$C$15:$C$24,MATCH(C$1,Summary!$B$15:$B$24,0))="x",INDEX('Week Selection'!D$3:D$59,MATCH($A8,'Week Selection'!$A$3:$A$59,0)),0)</f>
        <v>0</v>
      </c>
      <c r="D8" s="33">
        <f ca="1">IF(INDEX(Summary!$C$15:$C$24,MATCH(D$1,Summary!$B$15:$B$24,0))="x",INDEX('Week Selection'!E$3:E$59,MATCH($A8,'Week Selection'!$A$3:$A$59,0)),0)</f>
        <v>6.4635775284403705</v>
      </c>
      <c r="E8" s="33">
        <f ca="1">IF(INDEX(Summary!$C$15:$C$24,MATCH(E$1,Summary!$B$15:$B$24,0))="x",INDEX('Week Selection'!F$3:F$59,MATCH($A8,'Week Selection'!$A$3:$A$59,0)),0)</f>
        <v>16.411025579390483</v>
      </c>
      <c r="F8" s="33">
        <f ca="1">IF(INDEX(Summary!$C$15:$C$24,MATCH(F$1,Summary!$B$15:$B$24,0))="x",INDEX('Week Selection'!G$3:G$59,MATCH($A8,'Week Selection'!$A$3:$A$59,0)),0)</f>
        <v>3.1202803137982662</v>
      </c>
      <c r="G8" s="33">
        <f ca="1">IF(INDEX(Summary!$C$15:$C$24,MATCH(G$1,Summary!$B$15:$B$24,0))="x",INDEX('Week Selection'!H$3:H$59,MATCH($A8,'Week Selection'!$A$3:$A$59,0)),0)</f>
        <v>26.663654652890063</v>
      </c>
      <c r="H8" s="33">
        <f ca="1">IF(INDEX(Summary!$C$15:$C$24,MATCH(H$1,Summary!$B$15:$B$24,0))="x",INDEX('Week Selection'!I$3:I$59,MATCH($A8,'Week Selection'!$A$3:$A$59,0)),0)</f>
        <v>2.9654540449206732</v>
      </c>
      <c r="I8" s="33">
        <f ca="1">IF(INDEX(Summary!$C$15:$C$24,MATCH(I$1,Summary!$B$15:$B$24,0))="x",INDEX('Week Selection'!J$3:J$59,MATCH($A8,'Week Selection'!$A$3:$A$59,0)),0)</f>
        <v>0</v>
      </c>
      <c r="J8" s="33">
        <f ca="1">IF(INDEX(Summary!$C$15:$C$24,MATCH(J$1,Summary!$B$15:$B$24,0))="x",INDEX('Week Selection'!K$3:K$59,MATCH($A8,'Week Selection'!$A$3:$A$59,0)),0)</f>
        <v>0</v>
      </c>
      <c r="K8" s="33">
        <f ca="1">IF(INDEX(Summary!$C$15:$C$24,MATCH(K$1,Summary!$B$15:$B$24,0))="x",INDEX('Week Selection'!L$3:L$59,MATCH($A8,'Week Selection'!$A$3:$A$59,0)),0)</f>
        <v>0</v>
      </c>
      <c r="L8" s="33">
        <f ca="1">IF(INDEX(Summary!$C$15:$C$25,MATCH(L$1,Summary!$B$15:$B$25,0))="x",INDEX('Week Selection'!M$3:M$59,MATCH($A8,'Week Selection'!$A$3:$A$59,0)),0)</f>
        <v>0</v>
      </c>
      <c r="M8" s="3"/>
      <c r="N8" s="7">
        <f ca="1">INDEX('Week Selection'!O$3:O$59,MATCH($A8,'Week Selection'!$A$3:$A$59,0))</f>
        <v>0.74072771744526844</v>
      </c>
      <c r="O8" s="7">
        <f ca="1">INDEX('Week Selection'!P$3:P$59,MATCH($A8,'Week Selection'!$A$3:$A$59,0))</f>
        <v>1.2290103647749873</v>
      </c>
      <c r="P8" s="7">
        <f ca="1">INDEX('Week Selection'!Q$3:Q$59,MATCH($A8,'Week Selection'!$A$3:$A$59,0))</f>
        <v>1.2360887137653302</v>
      </c>
      <c r="R8" s="33">
        <f ca="1">IF(INDEX(Summary!$C$15:$C$25,MATCH(R$1,Summary!$B$15:$B$25,0))="x",IF($A8=$A7,R7,SUM(B$2:B8)),0)</f>
        <v>0</v>
      </c>
      <c r="S8" s="33">
        <f ca="1">IF(INDEX(Summary!$C$15:$C$25,MATCH(S$1,Summary!$B$15:$B$25,0))="x",IF($A8=$A7,S7,SUM(C$2:C8)),0)</f>
        <v>16.097460464754224</v>
      </c>
      <c r="T8" s="33">
        <f ca="1">IF(INDEX(Summary!$C$15:$C$25,MATCH(T$1,Summary!$B$15:$B$25,0))="x",IF($A8=$A7,T7,SUM(D$2:D8)),0)</f>
        <v>42.317596545796306</v>
      </c>
      <c r="U8" s="33">
        <f ca="1">IF(INDEX(Summary!$C$15:$C$25,MATCH(U$1,Summary!$B$15:$B$25,0))="x",IF($A8=$A7,U7,SUM(E$2:E8)),0)</f>
        <v>108.9979728830227</v>
      </c>
      <c r="V8" s="33">
        <f ca="1">IF(INDEX(Summary!$C$15:$C$25,MATCH(V$1,Summary!$B$15:$B$25,0))="x",IF($A8=$A7,V7,SUM(F$2:F8)),0)</f>
        <v>20.222155238694743</v>
      </c>
      <c r="W8" s="33">
        <f ca="1">IF(INDEX(Summary!$C$15:$C$25,MATCH(W$1,Summary!$B$15:$B$25,0))="x",IF($A8=$A7,W7,SUM(G$2:G8)),0)</f>
        <v>76.848605531153964</v>
      </c>
      <c r="X8" s="33">
        <f ca="1">IF(INDEX(Summary!$C$15:$C$25,MATCH(X$1,Summary!$B$15:$B$25,0))="x",IF($A8=$A7,X7,SUM(H$2:H8)),0)</f>
        <v>93.314966128542139</v>
      </c>
      <c r="Y8" s="33">
        <f ca="1">IF(INDEX(Summary!$C$15:$C$25,MATCH(Y$1,Summary!$B$15:$B$25,0))="x",IF($A8=$A7,Y7,SUM(I$2:I8)),0)</f>
        <v>0</v>
      </c>
      <c r="Z8" s="33">
        <f ca="1">IF(INDEX(Summary!$C$15:$C$25,MATCH(Z$1,Summary!$B$15:$B$25,0))="x",IF($A8=$A7,Z7,SUM(J$2:J8)),0)</f>
        <v>0</v>
      </c>
      <c r="AA8" s="33">
        <f ca="1">IF(INDEX(Summary!$C$15:$C$25,MATCH(AA$1,Summary!$B$15:$B$25,0))="x",IF($A8=$A7,AA7,SUM(K$2:K8)),0)</f>
        <v>0</v>
      </c>
      <c r="AB8" s="33">
        <f ca="1">IF(INDEX(Summary!$C$15:$C$25,MATCH(AB$1,Summary!$B$15:$B$25,0))="x",IF($A8=$A7,AB7,SUM(L$2:L8)),0)</f>
        <v>0</v>
      </c>
    </row>
    <row r="9" spans="1:28" x14ac:dyDescent="0.35">
      <c r="A9" s="5">
        <f t="shared" ca="1" si="0"/>
        <v>44157</v>
      </c>
      <c r="B9" s="33">
        <f ca="1">IF(INDEX(Summary!$C$15:$C$25,MATCH(B$1,Summary!$B$15:$B$25,0))="x",INDEX('Week Selection'!C$3:C$59,MATCH($A9,'Week Selection'!$A$3:$A$59,0)),0)</f>
        <v>16.097460464754224</v>
      </c>
      <c r="C9" s="33">
        <f ca="1">IF(INDEX(Summary!$C$15:$C$24,MATCH(C$1,Summary!$B$15:$B$24,0))="x",INDEX('Week Selection'!D$3:D$59,MATCH($A9,'Week Selection'!$A$3:$A$59,0)),0)</f>
        <v>8.0487302323771122</v>
      </c>
      <c r="D9" s="33">
        <f ca="1">IF(INDEX(Summary!$C$15:$C$24,MATCH(D$1,Summary!$B$15:$B$24,0))="x",INDEX('Week Selection'!E$3:E$59,MATCH($A9,'Week Selection'!$A$3:$A$59,0)),0)</f>
        <v>1.756467691163613</v>
      </c>
      <c r="E9" s="33">
        <f ca="1">IF(INDEX(Summary!$C$15:$C$24,MATCH(E$1,Summary!$B$15:$B$24,0))="x",INDEX('Week Selection'!F$3:F$59,MATCH($A9,'Week Selection'!$A$3:$A$59,0)),0)</f>
        <v>11.264868687755362</v>
      </c>
      <c r="F9" s="33">
        <f ca="1">IF(INDEX(Summary!$C$15:$C$24,MATCH(F$1,Summary!$B$15:$B$24,0))="x",INDEX('Week Selection'!G$3:G$59,MATCH($A9,'Week Selection'!$A$3:$A$59,0)),0)</f>
        <v>0.42339674665839</v>
      </c>
      <c r="G9" s="33">
        <f ca="1">IF(INDEX(Summary!$C$15:$C$24,MATCH(G$1,Summary!$B$15:$B$24,0))="x",INDEX('Week Selection'!H$3:H$59,MATCH($A9,'Week Selection'!$A$3:$A$59,0)),0)</f>
        <v>12.611913122878418</v>
      </c>
      <c r="H9" s="33">
        <f ca="1">IF(INDEX(Summary!$C$15:$C$24,MATCH(H$1,Summary!$B$15:$B$24,0))="x",INDEX('Week Selection'!I$3:I$59,MATCH($A9,'Week Selection'!$A$3:$A$59,0)),0)</f>
        <v>1.4389899987678516</v>
      </c>
      <c r="I9" s="33">
        <f ca="1">IF(INDEX(Summary!$C$15:$C$24,MATCH(I$1,Summary!$B$15:$B$24,0))="x",INDEX('Week Selection'!J$3:J$59,MATCH($A9,'Week Selection'!$A$3:$A$59,0)),0)</f>
        <v>0</v>
      </c>
      <c r="J9" s="33">
        <f ca="1">IF(INDEX(Summary!$C$15:$C$24,MATCH(J$1,Summary!$B$15:$B$24,0))="x",INDEX('Week Selection'!K$3:K$59,MATCH($A9,'Week Selection'!$A$3:$A$59,0)),0)</f>
        <v>0</v>
      </c>
      <c r="K9" s="33">
        <f ca="1">IF(INDEX(Summary!$C$15:$C$24,MATCH(K$1,Summary!$B$15:$B$24,0))="x",INDEX('Week Selection'!L$3:L$59,MATCH($A9,'Week Selection'!$A$3:$A$59,0)),0)</f>
        <v>0</v>
      </c>
      <c r="L9" s="33">
        <f ca="1">IF(INDEX(Summary!$C$15:$C$25,MATCH(L$1,Summary!$B$15:$B$25,0))="x",INDEX('Week Selection'!M$3:M$59,MATCH($A9,'Week Selection'!$A$3:$A$59,0)),0)</f>
        <v>0</v>
      </c>
      <c r="M9" s="3"/>
      <c r="N9" s="7">
        <f ca="1">INDEX('Week Selection'!O$3:O$59,MATCH($A9,'Week Selection'!$A$3:$A$59,0))</f>
        <v>0.88627930696150325</v>
      </c>
      <c r="O9" s="7">
        <f ca="1">INDEX('Week Selection'!P$3:P$59,MATCH($A9,'Week Selection'!$A$3:$A$59,0))</f>
        <v>1.2471339813297839</v>
      </c>
      <c r="P9" s="7">
        <f ca="1">INDEX('Week Selection'!Q$3:Q$59,MATCH($A9,'Week Selection'!$A$3:$A$59,0))</f>
        <v>1.1475961543189994</v>
      </c>
      <c r="R9" s="33">
        <f ca="1">IF(INDEX(Summary!$C$15:$C$25,MATCH(R$1,Summary!$B$15:$B$25,0))="x",IF($A9=$A8,R8,SUM(B$2:B9)),0)</f>
        <v>16.097460464754224</v>
      </c>
      <c r="S9" s="33">
        <f ca="1">IF(INDEX(Summary!$C$15:$C$25,MATCH(S$1,Summary!$B$15:$B$25,0))="x",IF($A9=$A8,S8,SUM(C$2:C9)),0)</f>
        <v>24.146190697131338</v>
      </c>
      <c r="T9" s="33">
        <f ca="1">IF(INDEX(Summary!$C$15:$C$25,MATCH(T$1,Summary!$B$15:$B$25,0))="x",IF($A9=$A8,T8,SUM(D$2:D9)),0)</f>
        <v>44.07406423695992</v>
      </c>
      <c r="U9" s="33">
        <f ca="1">IF(INDEX(Summary!$C$15:$C$25,MATCH(U$1,Summary!$B$15:$B$25,0))="x",IF($A9=$A8,U8,SUM(E$2:E9)),0)</f>
        <v>120.26284157077806</v>
      </c>
      <c r="V9" s="33">
        <f ca="1">IF(INDEX(Summary!$C$15:$C$25,MATCH(V$1,Summary!$B$15:$B$25,0))="x",IF($A9=$A8,V8,SUM(F$2:F9)),0)</f>
        <v>20.645551985353134</v>
      </c>
      <c r="W9" s="33">
        <f ca="1">IF(INDEX(Summary!$C$15:$C$25,MATCH(W$1,Summary!$B$15:$B$25,0))="x",IF($A9=$A8,W8,SUM(G$2:G9)),0)</f>
        <v>89.460518654032384</v>
      </c>
      <c r="X9" s="33">
        <f ca="1">IF(INDEX(Summary!$C$15:$C$25,MATCH(X$1,Summary!$B$15:$B$25,0))="x",IF($A9=$A8,X8,SUM(H$2:H9)),0)</f>
        <v>94.753956127309991</v>
      </c>
      <c r="Y9" s="33">
        <f ca="1">IF(INDEX(Summary!$C$15:$C$25,MATCH(Y$1,Summary!$B$15:$B$25,0))="x",IF($A9=$A8,Y8,SUM(I$2:I9)),0)</f>
        <v>0</v>
      </c>
      <c r="Z9" s="33">
        <f ca="1">IF(INDEX(Summary!$C$15:$C$25,MATCH(Z$1,Summary!$B$15:$B$25,0))="x",IF($A9=$A8,Z8,SUM(J$2:J9)),0)</f>
        <v>0</v>
      </c>
      <c r="AA9" s="33">
        <f ca="1">IF(INDEX(Summary!$C$15:$C$25,MATCH(AA$1,Summary!$B$15:$B$25,0))="x",IF($A9=$A8,AA8,SUM(K$2:K9)),0)</f>
        <v>0</v>
      </c>
      <c r="AB9" s="33">
        <f ca="1">IF(INDEX(Summary!$C$15:$C$25,MATCH(AB$1,Summary!$B$15:$B$25,0))="x",IF($A9=$A8,AB8,SUM(L$2:L9)),0)</f>
        <v>0</v>
      </c>
    </row>
    <row r="10" spans="1:28" x14ac:dyDescent="0.35">
      <c r="A10" s="5">
        <f t="shared" ca="1" si="0"/>
        <v>44164</v>
      </c>
      <c r="B10" s="33">
        <f ca="1">IF(INDEX(Summary!$C$15:$C$25,MATCH(B$1,Summary!$B$15:$B$25,0))="x",INDEX('Week Selection'!C$3:C$59,MATCH($A10,'Week Selection'!$A$3:$A$59,0)),0)</f>
        <v>0</v>
      </c>
      <c r="C10" s="33">
        <f ca="1">IF(INDEX(Summary!$C$15:$C$24,MATCH(C$1,Summary!$B$15:$B$24,0))="x",INDEX('Week Selection'!D$3:D$59,MATCH($A10,'Week Selection'!$A$3:$A$59,0)),0)</f>
        <v>0</v>
      </c>
      <c r="D10" s="33">
        <f ca="1">IF(INDEX(Summary!$C$15:$C$24,MATCH(D$1,Summary!$B$15:$B$24,0))="x",INDEX('Week Selection'!E$3:E$59,MATCH($A10,'Week Selection'!$A$3:$A$59,0)),0)</f>
        <v>5.1746628118981661</v>
      </c>
      <c r="E10" s="33">
        <f ca="1">IF(INDEX(Summary!$C$15:$C$24,MATCH(E$1,Summary!$B$15:$B$24,0))="x",INDEX('Week Selection'!F$3:F$59,MATCH($A10,'Week Selection'!$A$3:$A$59,0)),0)</f>
        <v>11.980590844224469</v>
      </c>
      <c r="F10" s="33">
        <f ca="1">IF(INDEX(Summary!$C$15:$C$24,MATCH(F$1,Summary!$B$15:$B$24,0))="x",INDEX('Week Selection'!G$3:G$59,MATCH($A10,'Week Selection'!$A$3:$A$59,0)),0)</f>
        <v>1.950978671920089</v>
      </c>
      <c r="G10" s="33">
        <f ca="1">IF(INDEX(Summary!$C$15:$C$24,MATCH(G$1,Summary!$B$15:$B$24,0))="x",INDEX('Week Selection'!H$3:H$59,MATCH($A10,'Week Selection'!$A$3:$A$59,0)),0)</f>
        <v>31.65079322942853</v>
      </c>
      <c r="H10" s="33">
        <f ca="1">IF(INDEX(Summary!$C$15:$C$24,MATCH(H$1,Summary!$B$15:$B$24,0))="x",INDEX('Week Selection'!I$3:I$59,MATCH($A10,'Week Selection'!$A$3:$A$59,0)),0)</f>
        <v>2.9145905414259561</v>
      </c>
      <c r="I10" s="33">
        <f ca="1">IF(INDEX(Summary!$C$15:$C$24,MATCH(I$1,Summary!$B$15:$B$24,0))="x",INDEX('Week Selection'!J$3:J$59,MATCH($A10,'Week Selection'!$A$3:$A$59,0)),0)</f>
        <v>0</v>
      </c>
      <c r="J10" s="33">
        <f ca="1">IF(INDEX(Summary!$C$15:$C$24,MATCH(J$1,Summary!$B$15:$B$24,0))="x",INDEX('Week Selection'!K$3:K$59,MATCH($A10,'Week Selection'!$A$3:$A$59,0)),0)</f>
        <v>0</v>
      </c>
      <c r="K10" s="33">
        <f ca="1">IF(INDEX(Summary!$C$15:$C$24,MATCH(K$1,Summary!$B$15:$B$24,0))="x",INDEX('Week Selection'!L$3:L$59,MATCH($A10,'Week Selection'!$A$3:$A$59,0)),0)</f>
        <v>0</v>
      </c>
      <c r="L10" s="33">
        <f ca="1">IF(INDEX(Summary!$C$15:$C$25,MATCH(L$1,Summary!$B$15:$B$25,0))="x",INDEX('Week Selection'!M$3:M$59,MATCH($A10,'Week Selection'!$A$3:$A$59,0)),0)</f>
        <v>0</v>
      </c>
      <c r="M10" s="3"/>
      <c r="N10" s="7">
        <f ca="1">INDEX('Week Selection'!O$3:O$59,MATCH($A10,'Week Selection'!$A$3:$A$59,0))</f>
        <v>0.86413459427136219</v>
      </c>
      <c r="O10" s="7">
        <f ca="1">INDEX('Week Selection'!P$3:P$59,MATCH($A10,'Week Selection'!$A$3:$A$59,0))</f>
        <v>1.2124238321749761</v>
      </c>
      <c r="P10" s="7">
        <f ca="1">INDEX('Week Selection'!Q$3:Q$59,MATCH($A10,'Week Selection'!$A$3:$A$59,0))</f>
        <v>1.1927025799754936</v>
      </c>
      <c r="R10" s="33">
        <f ca="1">IF(INDEX(Summary!$C$15:$C$25,MATCH(R$1,Summary!$B$15:$B$25,0))="x",IF($A10=$A9,R9,SUM(B$2:B10)),0)</f>
        <v>16.097460464754224</v>
      </c>
      <c r="S10" s="33">
        <f ca="1">IF(INDEX(Summary!$C$15:$C$25,MATCH(S$1,Summary!$B$15:$B$25,0))="x",IF($A10=$A9,S9,SUM(C$2:C10)),0)</f>
        <v>24.146190697131338</v>
      </c>
      <c r="T10" s="33">
        <f ca="1">IF(INDEX(Summary!$C$15:$C$25,MATCH(T$1,Summary!$B$15:$B$25,0))="x",IF($A10=$A9,T9,SUM(D$2:D10)),0)</f>
        <v>49.248727048858086</v>
      </c>
      <c r="U10" s="33">
        <f ca="1">IF(INDEX(Summary!$C$15:$C$25,MATCH(U$1,Summary!$B$15:$B$25,0))="x",IF($A10=$A9,U9,SUM(E$2:E10)),0)</f>
        <v>132.24343241500253</v>
      </c>
      <c r="V10" s="33">
        <f ca="1">IF(INDEX(Summary!$C$15:$C$25,MATCH(V$1,Summary!$B$15:$B$25,0))="x",IF($A10=$A9,V9,SUM(F$2:F10)),0)</f>
        <v>22.596530657273224</v>
      </c>
      <c r="W10" s="33">
        <f ca="1">IF(INDEX(Summary!$C$15:$C$25,MATCH(W$1,Summary!$B$15:$B$25,0))="x",IF($A10=$A9,W9,SUM(G$2:G10)),0)</f>
        <v>121.11131188346091</v>
      </c>
      <c r="X10" s="33">
        <f ca="1">IF(INDEX(Summary!$C$15:$C$25,MATCH(X$1,Summary!$B$15:$B$25,0))="x",IF($A10=$A9,X9,SUM(H$2:H10)),0)</f>
        <v>97.668546668735942</v>
      </c>
      <c r="Y10" s="33">
        <f ca="1">IF(INDEX(Summary!$C$15:$C$25,MATCH(Y$1,Summary!$B$15:$B$25,0))="x",IF($A10=$A9,Y9,SUM(I$2:I10)),0)</f>
        <v>0</v>
      </c>
      <c r="Z10" s="33">
        <f ca="1">IF(INDEX(Summary!$C$15:$C$25,MATCH(Z$1,Summary!$B$15:$B$25,0))="x",IF($A10=$A9,Z9,SUM(J$2:J10)),0)</f>
        <v>0</v>
      </c>
      <c r="AA10" s="33">
        <f ca="1">IF(INDEX(Summary!$C$15:$C$25,MATCH(AA$1,Summary!$B$15:$B$25,0))="x",IF($A10=$A9,AA9,SUM(K$2:K10)),0)</f>
        <v>0</v>
      </c>
      <c r="AB10" s="33">
        <f ca="1">IF(INDEX(Summary!$C$15:$C$25,MATCH(AB$1,Summary!$B$15:$B$25,0))="x",IF($A10=$A9,AB9,SUM(L$2:L10)),0)</f>
        <v>0</v>
      </c>
    </row>
    <row r="11" spans="1:28" x14ac:dyDescent="0.35">
      <c r="A11" s="5">
        <f t="shared" ca="1" si="0"/>
        <v>44171</v>
      </c>
      <c r="B11" s="33">
        <f ca="1">IF(INDEX(Summary!$C$15:$C$25,MATCH(B$1,Summary!$B$15:$B$25,0))="x",INDEX('Week Selection'!C$3:C$59,MATCH($A11,'Week Selection'!$A$3:$A$59,0)),0)</f>
        <v>0</v>
      </c>
      <c r="C11" s="33">
        <f ca="1">IF(INDEX(Summary!$C$15:$C$24,MATCH(C$1,Summary!$B$15:$B$24,0))="x",INDEX('Week Selection'!D$3:D$59,MATCH($A11,'Week Selection'!$A$3:$A$59,0)),0)</f>
        <v>0</v>
      </c>
      <c r="D11" s="33">
        <f ca="1">IF(INDEX(Summary!$C$15:$C$24,MATCH(D$1,Summary!$B$15:$B$24,0))="x",INDEX('Week Selection'!E$3:E$59,MATCH($A11,'Week Selection'!$A$3:$A$59,0)),0)</f>
        <v>7.0493462282248052</v>
      </c>
      <c r="E11" s="33">
        <f ca="1">IF(INDEX(Summary!$C$15:$C$24,MATCH(E$1,Summary!$B$15:$B$24,0))="x",INDEX('Week Selection'!F$3:F$59,MATCH($A11,'Week Selection'!$A$3:$A$59,0)),0)</f>
        <v>7.711130714440376</v>
      </c>
      <c r="F11" s="33">
        <f ca="1">IF(INDEX(Summary!$C$15:$C$24,MATCH(F$1,Summary!$B$15:$B$24,0))="x",INDEX('Week Selection'!G$3:G$59,MATCH($A11,'Week Selection'!$A$3:$A$59,0)),0)</f>
        <v>3.8946911294567883</v>
      </c>
      <c r="G11" s="33">
        <f ca="1">IF(INDEX(Summary!$C$15:$C$24,MATCH(G$1,Summary!$B$15:$B$24,0))="x",INDEX('Week Selection'!H$3:H$59,MATCH($A11,'Week Selection'!$A$3:$A$59,0)),0)</f>
        <v>26.083475349177085</v>
      </c>
      <c r="H11" s="33">
        <f ca="1">IF(INDEX(Summary!$C$15:$C$24,MATCH(H$1,Summary!$B$15:$B$24,0))="x",INDEX('Week Selection'!I$3:I$59,MATCH($A11,'Week Selection'!$A$3:$A$59,0)),0)</f>
        <v>7.5686011161118065</v>
      </c>
      <c r="I11" s="33">
        <f ca="1">IF(INDEX(Summary!$C$15:$C$24,MATCH(I$1,Summary!$B$15:$B$24,0))="x",INDEX('Week Selection'!J$3:J$59,MATCH($A11,'Week Selection'!$A$3:$A$59,0)),0)</f>
        <v>0</v>
      </c>
      <c r="J11" s="33">
        <f ca="1">IF(INDEX(Summary!$C$15:$C$24,MATCH(J$1,Summary!$B$15:$B$24,0))="x",INDEX('Week Selection'!K$3:K$59,MATCH($A11,'Week Selection'!$A$3:$A$59,0)),0)</f>
        <v>0</v>
      </c>
      <c r="K11" s="33">
        <f ca="1">IF(INDEX(Summary!$C$15:$C$24,MATCH(K$1,Summary!$B$15:$B$24,0))="x",INDEX('Week Selection'!L$3:L$59,MATCH($A11,'Week Selection'!$A$3:$A$59,0)),0)</f>
        <v>0</v>
      </c>
      <c r="L11" s="33">
        <f ca="1">IF(INDEX(Summary!$C$15:$C$25,MATCH(L$1,Summary!$B$15:$B$25,0))="x",INDEX('Week Selection'!M$3:M$59,MATCH($A11,'Week Selection'!$A$3:$A$59,0)),0)</f>
        <v>0</v>
      </c>
      <c r="M11" s="3"/>
      <c r="N11" s="7">
        <f ca="1">INDEX('Week Selection'!O$3:O$59,MATCH($A11,'Week Selection'!$A$3:$A$59,0))</f>
        <v>0.84130191163222234</v>
      </c>
      <c r="O11" s="7">
        <f ca="1">INDEX('Week Selection'!P$3:P$59,MATCH($A11,'Week Selection'!$A$3:$A$59,0))</f>
        <v>1.1314474577296516</v>
      </c>
      <c r="P11" s="7">
        <f ca="1">INDEX('Week Selection'!Q$3:Q$59,MATCH($A11,'Week Selection'!$A$3:$A$59,0))</f>
        <v>1.1623832119424637</v>
      </c>
      <c r="R11" s="33">
        <f ca="1">IF(INDEX(Summary!$C$15:$C$25,MATCH(R$1,Summary!$B$15:$B$25,0))="x",IF($A11=$A10,R10,SUM(B$2:B11)),0)</f>
        <v>16.097460464754224</v>
      </c>
      <c r="S11" s="33">
        <f ca="1">IF(INDEX(Summary!$C$15:$C$25,MATCH(S$1,Summary!$B$15:$B$25,0))="x",IF($A11=$A10,S10,SUM(C$2:C11)),0)</f>
        <v>24.146190697131338</v>
      </c>
      <c r="T11" s="33">
        <f ca="1">IF(INDEX(Summary!$C$15:$C$25,MATCH(T$1,Summary!$B$15:$B$25,0))="x",IF($A11=$A10,T10,SUM(D$2:D11)),0)</f>
        <v>56.298073277082892</v>
      </c>
      <c r="U11" s="33">
        <f ca="1">IF(INDEX(Summary!$C$15:$C$25,MATCH(U$1,Summary!$B$15:$B$25,0))="x",IF($A11=$A10,U10,SUM(E$2:E11)),0)</f>
        <v>139.9545631294429</v>
      </c>
      <c r="V11" s="33">
        <f ca="1">IF(INDEX(Summary!$C$15:$C$25,MATCH(V$1,Summary!$B$15:$B$25,0))="x",IF($A11=$A10,V10,SUM(F$2:F11)),0)</f>
        <v>26.491221786730012</v>
      </c>
      <c r="W11" s="33">
        <f ca="1">IF(INDEX(Summary!$C$15:$C$25,MATCH(W$1,Summary!$B$15:$B$25,0))="x",IF($A11=$A10,W10,SUM(G$2:G11)),0)</f>
        <v>147.19478723263799</v>
      </c>
      <c r="X11" s="33">
        <f ca="1">IF(INDEX(Summary!$C$15:$C$25,MATCH(X$1,Summary!$B$15:$B$25,0))="x",IF($A11=$A10,X10,SUM(H$2:H11)),0)</f>
        <v>105.23714778484775</v>
      </c>
      <c r="Y11" s="33">
        <f ca="1">IF(INDEX(Summary!$C$15:$C$25,MATCH(Y$1,Summary!$B$15:$B$25,0))="x",IF($A11=$A10,Y10,SUM(I$2:I11)),0)</f>
        <v>0</v>
      </c>
      <c r="Z11" s="33">
        <f ca="1">IF(INDEX(Summary!$C$15:$C$25,MATCH(Z$1,Summary!$B$15:$B$25,0))="x",IF($A11=$A10,Z10,SUM(J$2:J11)),0)</f>
        <v>0</v>
      </c>
      <c r="AA11" s="33">
        <f ca="1">IF(INDEX(Summary!$C$15:$C$25,MATCH(AA$1,Summary!$B$15:$B$25,0))="x",IF($A11=$A10,AA10,SUM(K$2:K11)),0)</f>
        <v>0</v>
      </c>
      <c r="AB11" s="33">
        <f ca="1">IF(INDEX(Summary!$C$15:$C$25,MATCH(AB$1,Summary!$B$15:$B$25,0))="x",IF($A11=$A10,AB10,SUM(L$2:L11)),0)</f>
        <v>0</v>
      </c>
    </row>
    <row r="12" spans="1:28" x14ac:dyDescent="0.35">
      <c r="A12" s="5">
        <f t="shared" ca="1" si="0"/>
        <v>44178</v>
      </c>
      <c r="B12" s="33">
        <f ca="1">IF(INDEX(Summary!$C$15:$C$25,MATCH(B$1,Summary!$B$15:$B$25,0))="x",INDEX('Week Selection'!C$3:C$59,MATCH($A12,'Week Selection'!$A$3:$A$59,0)),0)</f>
        <v>0</v>
      </c>
      <c r="C12" s="33">
        <f ca="1">IF(INDEX(Summary!$C$15:$C$24,MATCH(C$1,Summary!$B$15:$B$24,0))="x",INDEX('Week Selection'!D$3:D$59,MATCH($A12,'Week Selection'!$A$3:$A$59,0)),0)</f>
        <v>0</v>
      </c>
      <c r="D12" s="33">
        <f ca="1">IF(INDEX(Summary!$C$15:$C$24,MATCH(D$1,Summary!$B$15:$B$24,0))="x",INDEX('Week Selection'!E$3:E$59,MATCH($A12,'Week Selection'!$A$3:$A$59,0)),0)</f>
        <v>6.6896685960430302</v>
      </c>
      <c r="E12" s="33">
        <f ca="1">IF(INDEX(Summary!$C$15:$C$24,MATCH(E$1,Summary!$B$15:$B$24,0))="x",INDEX('Week Selection'!F$3:F$59,MATCH($A12,'Week Selection'!$A$3:$A$59,0)),0)</f>
        <v>12.808100921946838</v>
      </c>
      <c r="F12" s="33">
        <f ca="1">IF(INDEX(Summary!$C$15:$C$24,MATCH(F$1,Summary!$B$15:$B$24,0))="x",INDEX('Week Selection'!G$3:G$59,MATCH($A12,'Week Selection'!$A$3:$A$59,0)),0)</f>
        <v>1.1243070041442831</v>
      </c>
      <c r="G12" s="33">
        <f ca="1">IF(INDEX(Summary!$C$15:$C$24,MATCH(G$1,Summary!$B$15:$B$24,0))="x",INDEX('Week Selection'!H$3:H$59,MATCH($A12,'Week Selection'!$A$3:$A$59,0)),0)</f>
        <v>28.939097762602692</v>
      </c>
      <c r="H12" s="33">
        <f ca="1">IF(INDEX(Summary!$C$15:$C$24,MATCH(H$1,Summary!$B$15:$B$24,0))="x",INDEX('Week Selection'!I$3:I$59,MATCH($A12,'Week Selection'!$A$3:$A$59,0)),0)</f>
        <v>7.7443876204769362</v>
      </c>
      <c r="I12" s="33">
        <f ca="1">IF(INDEX(Summary!$C$15:$C$24,MATCH(I$1,Summary!$B$15:$B$24,0))="x",INDEX('Week Selection'!J$3:J$59,MATCH($A12,'Week Selection'!$A$3:$A$59,0)),0)</f>
        <v>0</v>
      </c>
      <c r="J12" s="33">
        <f ca="1">IF(INDEX(Summary!$C$15:$C$24,MATCH(J$1,Summary!$B$15:$B$24,0))="x",INDEX('Week Selection'!K$3:K$59,MATCH($A12,'Week Selection'!$A$3:$A$59,0)),0)</f>
        <v>0</v>
      </c>
      <c r="K12" s="33">
        <f ca="1">IF(INDEX(Summary!$C$15:$C$24,MATCH(K$1,Summary!$B$15:$B$24,0))="x",INDEX('Week Selection'!L$3:L$59,MATCH($A12,'Week Selection'!$A$3:$A$59,0)),0)</f>
        <v>0</v>
      </c>
      <c r="L12" s="33">
        <f ca="1">IF(INDEX(Summary!$C$15:$C$25,MATCH(L$1,Summary!$B$15:$B$25,0))="x",INDEX('Week Selection'!M$3:M$59,MATCH($A12,'Week Selection'!$A$3:$A$59,0)),0)</f>
        <v>0</v>
      </c>
      <c r="M12" s="3"/>
      <c r="N12" s="7">
        <f ca="1">INDEX('Week Selection'!O$3:O$59,MATCH($A12,'Week Selection'!$A$3:$A$59,0))</f>
        <v>0.91708713457699065</v>
      </c>
      <c r="O12" s="7">
        <f ca="1">INDEX('Week Selection'!P$3:P$59,MATCH($A12,'Week Selection'!$A$3:$A$59,0))</f>
        <v>1.2653973327292687</v>
      </c>
      <c r="P12" s="7">
        <f ca="1">INDEX('Week Selection'!Q$3:Q$59,MATCH($A12,'Week Selection'!$A$3:$A$59,0))</f>
        <v>1.2734569312269728</v>
      </c>
      <c r="R12" s="33">
        <f ca="1">IF(INDEX(Summary!$C$15:$C$25,MATCH(R$1,Summary!$B$15:$B$25,0))="x",IF($A12=$A11,R11,SUM(B$2:B12)),0)</f>
        <v>16.097460464754224</v>
      </c>
      <c r="S12" s="33">
        <f ca="1">IF(INDEX(Summary!$C$15:$C$25,MATCH(S$1,Summary!$B$15:$B$25,0))="x",IF($A12=$A11,S11,SUM(C$2:C12)),0)</f>
        <v>24.146190697131338</v>
      </c>
      <c r="T12" s="33">
        <f ca="1">IF(INDEX(Summary!$C$15:$C$25,MATCH(T$1,Summary!$B$15:$B$25,0))="x",IF($A12=$A11,T11,SUM(D$2:D12)),0)</f>
        <v>62.98774187312592</v>
      </c>
      <c r="U12" s="33">
        <f ca="1">IF(INDEX(Summary!$C$15:$C$25,MATCH(U$1,Summary!$B$15:$B$25,0))="x",IF($A12=$A11,U11,SUM(E$2:E12)),0)</f>
        <v>152.76266405138975</v>
      </c>
      <c r="V12" s="33">
        <f ca="1">IF(INDEX(Summary!$C$15:$C$25,MATCH(V$1,Summary!$B$15:$B$25,0))="x",IF($A12=$A11,V11,SUM(F$2:F12)),0)</f>
        <v>27.615528790874293</v>
      </c>
      <c r="W12" s="33">
        <f ca="1">IF(INDEX(Summary!$C$15:$C$25,MATCH(W$1,Summary!$B$15:$B$25,0))="x",IF($A12=$A11,W11,SUM(G$2:G12)),0)</f>
        <v>176.13388499524069</v>
      </c>
      <c r="X12" s="33">
        <f ca="1">IF(INDEX(Summary!$C$15:$C$25,MATCH(X$1,Summary!$B$15:$B$25,0))="x",IF($A12=$A11,X11,SUM(H$2:H12)),0)</f>
        <v>112.98153540532469</v>
      </c>
      <c r="Y12" s="33">
        <f ca="1">IF(INDEX(Summary!$C$15:$C$25,MATCH(Y$1,Summary!$B$15:$B$25,0))="x",IF($A12=$A11,Y11,SUM(I$2:I12)),0)</f>
        <v>0</v>
      </c>
      <c r="Z12" s="33">
        <f ca="1">IF(INDEX(Summary!$C$15:$C$25,MATCH(Z$1,Summary!$B$15:$B$25,0))="x",IF($A12=$A11,Z11,SUM(J$2:J12)),0)</f>
        <v>0</v>
      </c>
      <c r="AA12" s="33">
        <f ca="1">IF(INDEX(Summary!$C$15:$C$25,MATCH(AA$1,Summary!$B$15:$B$25,0))="x",IF($A12=$A11,AA11,SUM(K$2:K12)),0)</f>
        <v>0</v>
      </c>
      <c r="AB12" s="33">
        <f ca="1">IF(INDEX(Summary!$C$15:$C$25,MATCH(AB$1,Summary!$B$15:$B$25,0))="x",IF($A12=$A11,AB11,SUM(L$2:L12)),0)</f>
        <v>0</v>
      </c>
    </row>
    <row r="13" spans="1:28" x14ac:dyDescent="0.35">
      <c r="A13" s="5">
        <f t="shared" ca="1" si="0"/>
        <v>44185</v>
      </c>
      <c r="B13" s="33">
        <f ca="1">IF(INDEX(Summary!$C$15:$C$25,MATCH(B$1,Summary!$B$15:$B$25,0))="x",INDEX('Week Selection'!C$3:C$59,MATCH($A13,'Week Selection'!$A$3:$A$59,0)),0)</f>
        <v>16.097460464754224</v>
      </c>
      <c r="C13" s="33">
        <f ca="1">IF(INDEX(Summary!$C$15:$C$24,MATCH(C$1,Summary!$B$15:$B$24,0))="x",INDEX('Week Selection'!D$3:D$59,MATCH($A13,'Week Selection'!$A$3:$A$59,0)),0)</f>
        <v>24.146190697131338</v>
      </c>
      <c r="D13" s="33">
        <f ca="1">IF(INDEX(Summary!$C$15:$C$24,MATCH(D$1,Summary!$B$15:$B$24,0))="x",INDEX('Week Selection'!E$3:E$59,MATCH($A13,'Week Selection'!$A$3:$A$59,0)),0)</f>
        <v>0</v>
      </c>
      <c r="E13" s="33">
        <f ca="1">IF(INDEX(Summary!$C$15:$C$24,MATCH(E$1,Summary!$B$15:$B$24,0))="x",INDEX('Week Selection'!F$3:F$59,MATCH($A13,'Week Selection'!$A$3:$A$59,0)),0)</f>
        <v>2.3291013109795227</v>
      </c>
      <c r="F13" s="33">
        <f ca="1">IF(INDEX(Summary!$C$15:$C$24,MATCH(F$1,Summary!$B$15:$B$24,0))="x",INDEX('Week Selection'!G$3:G$59,MATCH($A13,'Week Selection'!$A$3:$A$59,0)),0)</f>
        <v>0</v>
      </c>
      <c r="G13" s="33">
        <f ca="1">IF(INDEX(Summary!$C$15:$C$24,MATCH(G$1,Summary!$B$15:$B$24,0))="x",INDEX('Week Selection'!H$3:H$59,MATCH($A13,'Week Selection'!$A$3:$A$59,0)),0)</f>
        <v>9.7255490378237955E-2</v>
      </c>
      <c r="H13" s="33">
        <f ca="1">IF(INDEX(Summary!$C$15:$C$24,MATCH(H$1,Summary!$B$15:$B$24,0))="x",INDEX('Week Selection'!I$3:I$59,MATCH($A13,'Week Selection'!$A$3:$A$59,0)),0)</f>
        <v>0</v>
      </c>
      <c r="I13" s="33">
        <f ca="1">IF(INDEX(Summary!$C$15:$C$24,MATCH(I$1,Summary!$B$15:$B$24,0))="x",INDEX('Week Selection'!J$3:J$59,MATCH($A13,'Week Selection'!$A$3:$A$59,0)),0)</f>
        <v>0</v>
      </c>
      <c r="J13" s="33">
        <f ca="1">IF(INDEX(Summary!$C$15:$C$24,MATCH(J$1,Summary!$B$15:$B$24,0))="x",INDEX('Week Selection'!K$3:K$59,MATCH($A13,'Week Selection'!$A$3:$A$59,0)),0)</f>
        <v>0</v>
      </c>
      <c r="K13" s="33">
        <f ca="1">IF(INDEX(Summary!$C$15:$C$24,MATCH(K$1,Summary!$B$15:$B$24,0))="x",INDEX('Week Selection'!L$3:L$59,MATCH($A13,'Week Selection'!$A$3:$A$59,0)),0)</f>
        <v>0</v>
      </c>
      <c r="L13" s="33">
        <f ca="1">IF(INDEX(Summary!$C$15:$C$25,MATCH(L$1,Summary!$B$15:$B$25,0))="x",INDEX('Week Selection'!M$3:M$59,MATCH($A13,'Week Selection'!$A$3:$A$59,0)),0)</f>
        <v>0</v>
      </c>
      <c r="M13" s="3"/>
      <c r="N13" s="7">
        <f ca="1">INDEX('Week Selection'!O$3:O$59,MATCH($A13,'Week Selection'!$A$3:$A$59,0))</f>
        <v>0</v>
      </c>
      <c r="O13" s="7">
        <f ca="1">INDEX('Week Selection'!P$3:P$59,MATCH($A13,'Week Selection'!$A$3:$A$59,0))</f>
        <v>1.066750199081083</v>
      </c>
      <c r="P13" s="7">
        <f ca="1">INDEX('Week Selection'!Q$3:Q$59,MATCH($A13,'Week Selection'!$A$3:$A$59,0))</f>
        <v>0.94822239918318496</v>
      </c>
      <c r="R13" s="33">
        <f ca="1">IF(INDEX(Summary!$C$15:$C$25,MATCH(R$1,Summary!$B$15:$B$25,0))="x",IF($A13=$A12,R12,SUM(B$2:B13)),0)</f>
        <v>32.194920929508449</v>
      </c>
      <c r="S13" s="33">
        <f ca="1">IF(INDEX(Summary!$C$15:$C$25,MATCH(S$1,Summary!$B$15:$B$25,0))="x",IF($A13=$A12,S12,SUM(C$2:C13)),0)</f>
        <v>48.292381394262677</v>
      </c>
      <c r="T13" s="33">
        <f ca="1">IF(INDEX(Summary!$C$15:$C$25,MATCH(T$1,Summary!$B$15:$B$25,0))="x",IF($A13=$A12,T12,SUM(D$2:D13)),0)</f>
        <v>62.98774187312592</v>
      </c>
      <c r="U13" s="33">
        <f ca="1">IF(INDEX(Summary!$C$15:$C$25,MATCH(U$1,Summary!$B$15:$B$25,0))="x",IF($A13=$A12,U12,SUM(E$2:E13)),0)</f>
        <v>155.09176536236927</v>
      </c>
      <c r="V13" s="33">
        <f ca="1">IF(INDEX(Summary!$C$15:$C$25,MATCH(V$1,Summary!$B$15:$B$25,0))="x",IF($A13=$A12,V12,SUM(F$2:F13)),0)</f>
        <v>27.615528790874293</v>
      </c>
      <c r="W13" s="33">
        <f ca="1">IF(INDEX(Summary!$C$15:$C$25,MATCH(W$1,Summary!$B$15:$B$25,0))="x",IF($A13=$A12,W12,SUM(G$2:G13)),0)</f>
        <v>176.23114048561894</v>
      </c>
      <c r="X13" s="33">
        <f ca="1">IF(INDEX(Summary!$C$15:$C$25,MATCH(X$1,Summary!$B$15:$B$25,0))="x",IF($A13=$A12,X12,SUM(H$2:H13)),0)</f>
        <v>112.98153540532469</v>
      </c>
      <c r="Y13" s="33">
        <f ca="1">IF(INDEX(Summary!$C$15:$C$25,MATCH(Y$1,Summary!$B$15:$B$25,0))="x",IF($A13=$A12,Y12,SUM(I$2:I13)),0)</f>
        <v>0</v>
      </c>
      <c r="Z13" s="33">
        <f ca="1">IF(INDEX(Summary!$C$15:$C$25,MATCH(Z$1,Summary!$B$15:$B$25,0))="x",IF($A13=$A12,Z12,SUM(J$2:J13)),0)</f>
        <v>0</v>
      </c>
      <c r="AA13" s="33">
        <f ca="1">IF(INDEX(Summary!$C$15:$C$25,MATCH(AA$1,Summary!$B$15:$B$25,0))="x",IF($A13=$A12,AA12,SUM(K$2:K13)),0)</f>
        <v>0</v>
      </c>
      <c r="AB13" s="33">
        <f ca="1">IF(INDEX(Summary!$C$15:$C$25,MATCH(AB$1,Summary!$B$15:$B$25,0))="x",IF($A13=$A12,AB12,SUM(L$2:L13)),0)</f>
        <v>0</v>
      </c>
    </row>
    <row r="14" spans="1:28" x14ac:dyDescent="0.35">
      <c r="A14" s="5">
        <f t="shared" ca="1" si="0"/>
        <v>44192</v>
      </c>
      <c r="B14" s="33">
        <f ca="1">IF(INDEX(Summary!$C$15:$C$25,MATCH(B$1,Summary!$B$15:$B$25,0))="x",INDEX('Week Selection'!C$3:C$59,MATCH($A14,'Week Selection'!$A$3:$A$59,0)),0)</f>
        <v>8.0487302323771122</v>
      </c>
      <c r="C14" s="33">
        <f ca="1">IF(INDEX(Summary!$C$15:$C$24,MATCH(C$1,Summary!$B$15:$B$24,0))="x",INDEX('Week Selection'!D$3:D$59,MATCH($A14,'Week Selection'!$A$3:$A$59,0)),0)</f>
        <v>24.146190697131338</v>
      </c>
      <c r="D14" s="33">
        <f ca="1">IF(INDEX(Summary!$C$15:$C$24,MATCH(D$1,Summary!$B$15:$B$24,0))="x",INDEX('Week Selection'!E$3:E$59,MATCH($A14,'Week Selection'!$A$3:$A$59,0)),0)</f>
        <v>1.8573562889092328</v>
      </c>
      <c r="E14" s="33">
        <f ca="1">IF(INDEX(Summary!$C$15:$C$24,MATCH(E$1,Summary!$B$15:$B$24,0))="x",INDEX('Week Selection'!F$3:F$59,MATCH($A14,'Week Selection'!$A$3:$A$59,0)),0)</f>
        <v>3.0478976357886354</v>
      </c>
      <c r="F14" s="33">
        <f ca="1">IF(INDEX(Summary!$C$15:$C$24,MATCH(F$1,Summary!$B$15:$B$24,0))="x",INDEX('Week Selection'!G$3:G$59,MATCH($A14,'Week Selection'!$A$3:$A$59,0)),0)</f>
        <v>0.79034059357492892</v>
      </c>
      <c r="G14" s="33">
        <f ca="1">IF(INDEX(Summary!$C$15:$C$24,MATCH(G$1,Summary!$B$15:$B$24,0))="x",INDEX('Week Selection'!H$3:H$59,MATCH($A14,'Week Selection'!$A$3:$A$59,0)),0)</f>
        <v>2.6795564397224689</v>
      </c>
      <c r="H14" s="33">
        <f ca="1">IF(INDEX(Summary!$C$15:$C$24,MATCH(H$1,Summary!$B$15:$B$24,0))="x",INDEX('Week Selection'!I$3:I$59,MATCH($A14,'Week Selection'!$A$3:$A$59,0)),0)</f>
        <v>1.9286210879856736</v>
      </c>
      <c r="I14" s="33">
        <f ca="1">IF(INDEX(Summary!$C$15:$C$24,MATCH(I$1,Summary!$B$15:$B$24,0))="x",INDEX('Week Selection'!J$3:J$59,MATCH($A14,'Week Selection'!$A$3:$A$59,0)),0)</f>
        <v>0</v>
      </c>
      <c r="J14" s="33">
        <f ca="1">IF(INDEX(Summary!$C$15:$C$24,MATCH(J$1,Summary!$B$15:$B$24,0))="x",INDEX('Week Selection'!K$3:K$59,MATCH($A14,'Week Selection'!$A$3:$A$59,0)),0)</f>
        <v>0</v>
      </c>
      <c r="K14" s="33">
        <f ca="1">IF(INDEX(Summary!$C$15:$C$24,MATCH(K$1,Summary!$B$15:$B$24,0))="x",INDEX('Week Selection'!L$3:L$59,MATCH($A14,'Week Selection'!$A$3:$A$59,0)),0)</f>
        <v>0</v>
      </c>
      <c r="L14" s="33">
        <f ca="1">IF(INDEX(Summary!$C$15:$C$25,MATCH(L$1,Summary!$B$15:$B$25,0))="x",INDEX('Week Selection'!M$3:M$59,MATCH($A14,'Week Selection'!$A$3:$A$59,0)),0)</f>
        <v>0</v>
      </c>
      <c r="M14" s="3"/>
      <c r="N14" s="7">
        <f ca="1">INDEX('Week Selection'!O$3:O$59,MATCH($A14,'Week Selection'!$A$3:$A$59,0))</f>
        <v>0.59040753925609202</v>
      </c>
      <c r="O14" s="7">
        <f ca="1">INDEX('Week Selection'!P$3:P$59,MATCH($A14,'Week Selection'!$A$3:$A$59,0))</f>
        <v>1.016033417164504</v>
      </c>
      <c r="P14" s="7">
        <f ca="1">INDEX('Week Selection'!Q$3:Q$59,MATCH($A14,'Week Selection'!$A$3:$A$59,0))</f>
        <v>0.94441539945531983</v>
      </c>
      <c r="R14" s="33">
        <f ca="1">IF(INDEX(Summary!$C$15:$C$25,MATCH(R$1,Summary!$B$15:$B$25,0))="x",IF($A14=$A13,R13,SUM(B$2:B14)),0)</f>
        <v>40.243651161885559</v>
      </c>
      <c r="S14" s="33">
        <f ca="1">IF(INDEX(Summary!$C$15:$C$25,MATCH(S$1,Summary!$B$15:$B$25,0))="x",IF($A14=$A13,S13,SUM(C$2:C14)),0)</f>
        <v>72.438572091394008</v>
      </c>
      <c r="T14" s="33">
        <f ca="1">IF(INDEX(Summary!$C$15:$C$25,MATCH(T$1,Summary!$B$15:$B$25,0))="x",IF($A14=$A13,T13,SUM(D$2:D14)),0)</f>
        <v>64.845098162035157</v>
      </c>
      <c r="U14" s="33">
        <f ca="1">IF(INDEX(Summary!$C$15:$C$25,MATCH(U$1,Summary!$B$15:$B$25,0))="x",IF($A14=$A13,U13,SUM(E$2:E14)),0)</f>
        <v>158.13966299815792</v>
      </c>
      <c r="V14" s="33">
        <f ca="1">IF(INDEX(Summary!$C$15:$C$25,MATCH(V$1,Summary!$B$15:$B$25,0))="x",IF($A14=$A13,V13,SUM(F$2:F14)),0)</f>
        <v>28.405869384449222</v>
      </c>
      <c r="W14" s="33">
        <f ca="1">IF(INDEX(Summary!$C$15:$C$25,MATCH(W$1,Summary!$B$15:$B$25,0))="x",IF($A14=$A13,W13,SUM(G$2:G14)),0)</f>
        <v>178.9106969253414</v>
      </c>
      <c r="X14" s="33">
        <f ca="1">IF(INDEX(Summary!$C$15:$C$25,MATCH(X$1,Summary!$B$15:$B$25,0))="x",IF($A14=$A13,X13,SUM(H$2:H14)),0)</f>
        <v>114.91015649331037</v>
      </c>
      <c r="Y14" s="33">
        <f ca="1">IF(INDEX(Summary!$C$15:$C$25,MATCH(Y$1,Summary!$B$15:$B$25,0))="x",IF($A14=$A13,Y13,SUM(I$2:I14)),0)</f>
        <v>0</v>
      </c>
      <c r="Z14" s="33">
        <f ca="1">IF(INDEX(Summary!$C$15:$C$25,MATCH(Z$1,Summary!$B$15:$B$25,0))="x",IF($A14=$A13,Z13,SUM(J$2:J14)),0)</f>
        <v>0</v>
      </c>
      <c r="AA14" s="33">
        <f ca="1">IF(INDEX(Summary!$C$15:$C$25,MATCH(AA$1,Summary!$B$15:$B$25,0))="x",IF($A14=$A13,AA13,SUM(K$2:K14)),0)</f>
        <v>0</v>
      </c>
      <c r="AB14" s="33">
        <f ca="1">IF(INDEX(Summary!$C$15:$C$25,MATCH(AB$1,Summary!$B$15:$B$25,0))="x",IF($A14=$A13,AB13,SUM(L$2:L14)),0)</f>
        <v>0</v>
      </c>
    </row>
    <row r="15" spans="1:28" x14ac:dyDescent="0.35">
      <c r="A15" s="5">
        <f t="shared" ca="1" si="0"/>
        <v>44199</v>
      </c>
      <c r="B15" s="33">
        <f ca="1">IF(INDEX(Summary!$C$15:$C$25,MATCH(B$1,Summary!$B$15:$B$25,0))="x",INDEX('Week Selection'!C$3:C$59,MATCH($A15,'Week Selection'!$A$3:$A$59,0)),0)</f>
        <v>0</v>
      </c>
      <c r="C15" s="33">
        <f ca="1">IF(INDEX(Summary!$C$15:$C$24,MATCH(C$1,Summary!$B$15:$B$24,0))="x",INDEX('Week Selection'!D$3:D$59,MATCH($A15,'Week Selection'!$A$3:$A$59,0)),0)</f>
        <v>0</v>
      </c>
      <c r="D15" s="33">
        <f ca="1">IF(INDEX(Summary!$C$15:$C$24,MATCH(D$1,Summary!$B$15:$B$24,0))="x",INDEX('Week Selection'!E$3:E$59,MATCH($A15,'Week Selection'!$A$3:$A$59,0)),0)</f>
        <v>9.243463626002649</v>
      </c>
      <c r="E15" s="33">
        <f ca="1">IF(INDEX(Summary!$C$15:$C$24,MATCH(E$1,Summary!$B$15:$B$24,0))="x",INDEX('Week Selection'!F$3:F$59,MATCH($A15,'Week Selection'!$A$3:$A$59,0)),0)</f>
        <v>21.178221423600782</v>
      </c>
      <c r="F15" s="33">
        <f ca="1">IF(INDEX(Summary!$C$15:$C$24,MATCH(F$1,Summary!$B$15:$B$24,0))="x",INDEX('Week Selection'!G$3:G$59,MATCH($A15,'Week Selection'!$A$3:$A$59,0)),0)</f>
        <v>3.2133437576060571</v>
      </c>
      <c r="G15" s="33">
        <f ca="1">IF(INDEX(Summary!$C$15:$C$24,MATCH(G$1,Summary!$B$15:$B$24,0))="x",INDEX('Week Selection'!H$3:H$59,MATCH($A15,'Week Selection'!$A$3:$A$59,0)),0)</f>
        <v>16.463006962872509</v>
      </c>
      <c r="H15" s="33">
        <f ca="1">IF(INDEX(Summary!$C$15:$C$24,MATCH(H$1,Summary!$B$15:$B$24,0))="x",INDEX('Week Selection'!I$3:I$59,MATCH($A15,'Week Selection'!$A$3:$A$59,0)),0)</f>
        <v>11.305391807648254</v>
      </c>
      <c r="I15" s="33">
        <f ca="1">IF(INDEX(Summary!$C$15:$C$24,MATCH(I$1,Summary!$B$15:$B$24,0))="x",INDEX('Week Selection'!J$3:J$59,MATCH($A15,'Week Selection'!$A$3:$A$59,0)),0)</f>
        <v>0</v>
      </c>
      <c r="J15" s="33">
        <f ca="1">IF(INDEX(Summary!$C$15:$C$24,MATCH(J$1,Summary!$B$15:$B$24,0))="x",INDEX('Week Selection'!K$3:K$59,MATCH($A15,'Week Selection'!$A$3:$A$59,0)),0)</f>
        <v>0</v>
      </c>
      <c r="K15" s="33">
        <f ca="1">IF(INDEX(Summary!$C$15:$C$24,MATCH(K$1,Summary!$B$15:$B$24,0))="x",INDEX('Week Selection'!L$3:L$59,MATCH($A15,'Week Selection'!$A$3:$A$59,0)),0)</f>
        <v>0</v>
      </c>
      <c r="L15" s="33">
        <f ca="1">IF(INDEX(Summary!$C$15:$C$25,MATCH(L$1,Summary!$B$15:$B$25,0))="x",INDEX('Week Selection'!M$3:M$59,MATCH($A15,'Week Selection'!$A$3:$A$59,0)),0)</f>
        <v>1.5546904960237469</v>
      </c>
      <c r="M15" s="3"/>
      <c r="N15" s="7">
        <f ca="1">INDEX('Week Selection'!O$3:O$59,MATCH($A15,'Week Selection'!$A$3:$A$59,0))</f>
        <v>0.73307723166361272</v>
      </c>
      <c r="O15" s="7">
        <f ca="1">INDEX('Week Selection'!P$3:P$59,MATCH($A15,'Week Selection'!$A$3:$A$59,0))</f>
        <v>1.3428663611937837</v>
      </c>
      <c r="P15" s="7">
        <f ca="1">INDEX('Week Selection'!Q$3:Q$59,MATCH($A15,'Week Selection'!$A$3:$A$59,0))</f>
        <v>1.3990692905278665</v>
      </c>
      <c r="R15" s="33">
        <f ca="1">IF(INDEX(Summary!$C$15:$C$25,MATCH(R$1,Summary!$B$15:$B$25,0))="x",IF($A15=$A14,R14,SUM(B$2:B15)),0)</f>
        <v>40.243651161885559</v>
      </c>
      <c r="S15" s="33">
        <f ca="1">IF(INDEX(Summary!$C$15:$C$25,MATCH(S$1,Summary!$B$15:$B$25,0))="x",IF($A15=$A14,S14,SUM(C$2:C15)),0)</f>
        <v>72.438572091394008</v>
      </c>
      <c r="T15" s="33">
        <f ca="1">IF(INDEX(Summary!$C$15:$C$25,MATCH(T$1,Summary!$B$15:$B$25,0))="x",IF($A15=$A14,T14,SUM(D$2:D15)),0)</f>
        <v>74.088561788037808</v>
      </c>
      <c r="U15" s="33">
        <f ca="1">IF(INDEX(Summary!$C$15:$C$25,MATCH(U$1,Summary!$B$15:$B$25,0))="x",IF($A15=$A14,U14,SUM(E$2:E15)),0)</f>
        <v>179.31788442175869</v>
      </c>
      <c r="V15" s="33">
        <f ca="1">IF(INDEX(Summary!$C$15:$C$25,MATCH(V$1,Summary!$B$15:$B$25,0))="x",IF($A15=$A14,V14,SUM(F$2:F15)),0)</f>
        <v>31.61921314205528</v>
      </c>
      <c r="W15" s="33">
        <f ca="1">IF(INDEX(Summary!$C$15:$C$25,MATCH(W$1,Summary!$B$15:$B$25,0))="x",IF($A15=$A14,W14,SUM(G$2:G15)),0)</f>
        <v>195.3737038882139</v>
      </c>
      <c r="X15" s="33">
        <f ca="1">IF(INDEX(Summary!$C$15:$C$25,MATCH(X$1,Summary!$B$15:$B$25,0))="x",IF($A15=$A14,X14,SUM(H$2:H15)),0)</f>
        <v>126.21554830095862</v>
      </c>
      <c r="Y15" s="33">
        <f ca="1">IF(INDEX(Summary!$C$15:$C$25,MATCH(Y$1,Summary!$B$15:$B$25,0))="x",IF($A15=$A14,Y14,SUM(I$2:I15)),0)</f>
        <v>0</v>
      </c>
      <c r="Z15" s="33">
        <f ca="1">IF(INDEX(Summary!$C$15:$C$25,MATCH(Z$1,Summary!$B$15:$B$25,0))="x",IF($A15=$A14,Z14,SUM(J$2:J15)),0)</f>
        <v>0</v>
      </c>
      <c r="AA15" s="33">
        <f ca="1">IF(INDEX(Summary!$C$15:$C$25,MATCH(AA$1,Summary!$B$15:$B$25,0))="x",IF($A15=$A14,AA14,SUM(K$2:K15)),0)</f>
        <v>0</v>
      </c>
      <c r="AB15" s="33">
        <f ca="1">IF(INDEX(Summary!$C$15:$C$25,MATCH(AB$1,Summary!$B$15:$B$25,0))="x",IF($A15=$A14,AB14,SUM(L$2:L15)),0)</f>
        <v>1.5546904960237469</v>
      </c>
    </row>
    <row r="16" spans="1:28" x14ac:dyDescent="0.35">
      <c r="A16" s="5">
        <f t="shared" ca="1" si="0"/>
        <v>44206</v>
      </c>
      <c r="B16" s="33">
        <f ca="1">IF(INDEX(Summary!$C$15:$C$25,MATCH(B$1,Summary!$B$15:$B$25,0))="x",INDEX('Week Selection'!C$3:C$59,MATCH($A16,'Week Selection'!$A$3:$A$59,0)),0)</f>
        <v>0</v>
      </c>
      <c r="C16" s="33">
        <f ca="1">IF(INDEX(Summary!$C$15:$C$24,MATCH(C$1,Summary!$B$15:$B$24,0))="x",INDEX('Week Selection'!D$3:D$59,MATCH($A16,'Week Selection'!$A$3:$A$59,0)),0)</f>
        <v>0</v>
      </c>
      <c r="D16" s="33">
        <f ca="1">IF(INDEX(Summary!$C$15:$C$24,MATCH(D$1,Summary!$B$15:$B$24,0))="x",INDEX('Week Selection'!E$3:E$59,MATCH($A16,'Week Selection'!$A$3:$A$59,0)),0)</f>
        <v>5.0150855561929406</v>
      </c>
      <c r="E16" s="33">
        <f ca="1">IF(INDEX(Summary!$C$15:$C$24,MATCH(E$1,Summary!$B$15:$B$24,0))="x",INDEX('Week Selection'!F$3:F$59,MATCH($A16,'Week Selection'!$A$3:$A$59,0)),0)</f>
        <v>24.268039530013112</v>
      </c>
      <c r="F16" s="33">
        <f ca="1">IF(INDEX(Summary!$C$15:$C$24,MATCH(F$1,Summary!$B$15:$B$24,0))="x",INDEX('Week Selection'!G$3:G$59,MATCH($A16,'Week Selection'!$A$3:$A$59,0)),0)</f>
        <v>3.1487862335342545</v>
      </c>
      <c r="G16" s="33">
        <f ca="1">IF(INDEX(Summary!$C$15:$C$24,MATCH(G$1,Summary!$B$15:$B$24,0))="x",INDEX('Week Selection'!H$3:H$59,MATCH($A16,'Week Selection'!$A$3:$A$59,0)),0)</f>
        <v>24.374517524357238</v>
      </c>
      <c r="H16" s="33">
        <f ca="1">IF(INDEX(Summary!$C$15:$C$24,MATCH(H$1,Summary!$B$15:$B$24,0))="x",INDEX('Week Selection'!I$3:I$59,MATCH($A16,'Week Selection'!$A$3:$A$59,0)),0)</f>
        <v>2.9106779636664517</v>
      </c>
      <c r="I16" s="33">
        <f ca="1">IF(INDEX(Summary!$C$15:$C$24,MATCH(I$1,Summary!$B$15:$B$24,0))="x",INDEX('Week Selection'!J$3:J$59,MATCH($A16,'Week Selection'!$A$3:$A$59,0)),0)</f>
        <v>0</v>
      </c>
      <c r="J16" s="33">
        <f ca="1">IF(INDEX(Summary!$C$15:$C$24,MATCH(J$1,Summary!$B$15:$B$24,0))="x",INDEX('Week Selection'!K$3:K$59,MATCH($A16,'Week Selection'!$A$3:$A$59,0)),0)</f>
        <v>0</v>
      </c>
      <c r="K16" s="33">
        <f ca="1">IF(INDEX(Summary!$C$15:$C$24,MATCH(K$1,Summary!$B$15:$B$24,0))="x",INDEX('Week Selection'!L$3:L$59,MATCH($A16,'Week Selection'!$A$3:$A$59,0)),0)</f>
        <v>0</v>
      </c>
      <c r="L16" s="33">
        <f ca="1">IF(INDEX(Summary!$C$15:$C$25,MATCH(L$1,Summary!$B$15:$B$25,0))="x",INDEX('Week Selection'!M$3:M$59,MATCH($A16,'Week Selection'!$A$3:$A$59,0)),0)</f>
        <v>3.510699624285158</v>
      </c>
      <c r="M16" s="3"/>
      <c r="N16" s="7">
        <f ca="1">INDEX('Week Selection'!O$3:O$59,MATCH($A16,'Week Selection'!$A$3:$A$59,0))</f>
        <v>0.76989737780772116</v>
      </c>
      <c r="O16" s="7">
        <f ca="1">INDEX('Week Selection'!P$3:P$59,MATCH($A16,'Week Selection'!$A$3:$A$59,0))</f>
        <v>1.4553180218964052</v>
      </c>
      <c r="P16" s="7">
        <f ca="1">INDEX('Week Selection'!Q$3:Q$59,MATCH($A16,'Week Selection'!$A$3:$A$59,0))</f>
        <v>1.4050623651566478</v>
      </c>
      <c r="R16" s="33">
        <f ca="1">IF(INDEX(Summary!$C$15:$C$25,MATCH(R$1,Summary!$B$15:$B$25,0))="x",IF($A16=$A15,R15,SUM(B$2:B16)),0)</f>
        <v>40.243651161885559</v>
      </c>
      <c r="S16" s="33">
        <f ca="1">IF(INDEX(Summary!$C$15:$C$25,MATCH(S$1,Summary!$B$15:$B$25,0))="x",IF($A16=$A15,S15,SUM(C$2:C16)),0)</f>
        <v>72.438572091394008</v>
      </c>
      <c r="T16" s="33">
        <f ca="1">IF(INDEX(Summary!$C$15:$C$25,MATCH(T$1,Summary!$B$15:$B$25,0))="x",IF($A16=$A15,T15,SUM(D$2:D16)),0)</f>
        <v>79.103647344230751</v>
      </c>
      <c r="U16" s="33">
        <f ca="1">IF(INDEX(Summary!$C$15:$C$25,MATCH(U$1,Summary!$B$15:$B$25,0))="x",IF($A16=$A15,U15,SUM(E$2:E16)),0)</f>
        <v>203.5859239517718</v>
      </c>
      <c r="V16" s="33">
        <f ca="1">IF(INDEX(Summary!$C$15:$C$25,MATCH(V$1,Summary!$B$15:$B$25,0))="x",IF($A16=$A15,V15,SUM(F$2:F16)),0)</f>
        <v>34.767999375589532</v>
      </c>
      <c r="W16" s="33">
        <f ca="1">IF(INDEX(Summary!$C$15:$C$25,MATCH(W$1,Summary!$B$15:$B$25,0))="x",IF($A16=$A15,W15,SUM(G$2:G16)),0)</f>
        <v>219.74822141257113</v>
      </c>
      <c r="X16" s="33">
        <f ca="1">IF(INDEX(Summary!$C$15:$C$25,MATCH(X$1,Summary!$B$15:$B$25,0))="x",IF($A16=$A15,X15,SUM(H$2:H16)),0)</f>
        <v>129.12622626462507</v>
      </c>
      <c r="Y16" s="33">
        <f ca="1">IF(INDEX(Summary!$C$15:$C$25,MATCH(Y$1,Summary!$B$15:$B$25,0))="x",IF($A16=$A15,Y15,SUM(I$2:I16)),0)</f>
        <v>0</v>
      </c>
      <c r="Z16" s="33">
        <f ca="1">IF(INDEX(Summary!$C$15:$C$25,MATCH(Z$1,Summary!$B$15:$B$25,0))="x",IF($A16=$A15,Z15,SUM(J$2:J16)),0)</f>
        <v>0</v>
      </c>
      <c r="AA16" s="33">
        <f ca="1">IF(INDEX(Summary!$C$15:$C$25,MATCH(AA$1,Summary!$B$15:$B$25,0))="x",IF($A16=$A15,AA15,SUM(K$2:K16)),0)</f>
        <v>0</v>
      </c>
      <c r="AB16" s="33">
        <f ca="1">IF(INDEX(Summary!$C$15:$C$25,MATCH(AB$1,Summary!$B$15:$B$25,0))="x",IF($A16=$A15,AB15,SUM(L$2:L16)),0)</f>
        <v>5.0653901203089049</v>
      </c>
    </row>
    <row r="17" spans="1:28" x14ac:dyDescent="0.35">
      <c r="A17" s="5">
        <f t="shared" ca="1" si="0"/>
        <v>44213</v>
      </c>
      <c r="B17" s="33">
        <f ca="1">IF(INDEX(Summary!$C$15:$C$25,MATCH(B$1,Summary!$B$15:$B$25,0))="x",INDEX('Week Selection'!C$3:C$59,MATCH($A17,'Week Selection'!$A$3:$A$59,0)),0)</f>
        <v>0</v>
      </c>
      <c r="C17" s="33">
        <f ca="1">IF(INDEX(Summary!$C$15:$C$24,MATCH(C$1,Summary!$B$15:$B$24,0))="x",INDEX('Week Selection'!D$3:D$59,MATCH($A17,'Week Selection'!$A$3:$A$59,0)),0)</f>
        <v>0</v>
      </c>
      <c r="D17" s="33">
        <f ca="1">IF(INDEX(Summary!$C$15:$C$24,MATCH(D$1,Summary!$B$15:$B$24,0))="x",INDEX('Week Selection'!E$3:E$59,MATCH($A17,'Week Selection'!$A$3:$A$59,0)),0)</f>
        <v>6.342287635640087</v>
      </c>
      <c r="E17" s="33">
        <f ca="1">IF(INDEX(Summary!$C$15:$C$24,MATCH(E$1,Summary!$B$15:$B$24,0))="x",INDEX('Week Selection'!F$3:F$59,MATCH($A17,'Week Selection'!$A$3:$A$59,0)),0)</f>
        <v>13.115517701484272</v>
      </c>
      <c r="F17" s="33">
        <f ca="1">IF(INDEX(Summary!$C$15:$C$24,MATCH(F$1,Summary!$B$15:$B$24,0))="x",INDEX('Week Selection'!G$3:G$59,MATCH($A17,'Week Selection'!$A$3:$A$59,0)),0)</f>
        <v>3.576933966668904</v>
      </c>
      <c r="G17" s="33">
        <f ca="1">IF(INDEX(Summary!$C$15:$C$24,MATCH(G$1,Summary!$B$15:$B$24,0))="x",INDEX('Week Selection'!H$3:H$59,MATCH($A17,'Week Selection'!$A$3:$A$59,0)),0)</f>
        <v>13.52689724658026</v>
      </c>
      <c r="H17" s="33">
        <f ca="1">IF(INDEX(Summary!$C$15:$C$24,MATCH(H$1,Summary!$B$15:$B$24,0))="x",INDEX('Week Selection'!I$3:I$59,MATCH($A17,'Week Selection'!$A$3:$A$59,0)),0)</f>
        <v>1.286120018418637</v>
      </c>
      <c r="I17" s="33">
        <f ca="1">IF(INDEX(Summary!$C$15:$C$24,MATCH(I$1,Summary!$B$15:$B$24,0))="x",INDEX('Week Selection'!J$3:J$59,MATCH($A17,'Week Selection'!$A$3:$A$59,0)),0)</f>
        <v>0</v>
      </c>
      <c r="J17" s="33">
        <f ca="1">IF(INDEX(Summary!$C$15:$C$24,MATCH(J$1,Summary!$B$15:$B$24,0))="x",INDEX('Week Selection'!K$3:K$59,MATCH($A17,'Week Selection'!$A$3:$A$59,0)),0)</f>
        <v>0</v>
      </c>
      <c r="K17" s="33">
        <f ca="1">IF(INDEX(Summary!$C$15:$C$24,MATCH(K$1,Summary!$B$15:$B$24,0))="x",INDEX('Week Selection'!L$3:L$59,MATCH($A17,'Week Selection'!$A$3:$A$59,0)),0)</f>
        <v>0</v>
      </c>
      <c r="L17" s="33">
        <f ca="1">IF(INDEX(Summary!$C$15:$C$25,MATCH(L$1,Summary!$B$15:$B$25,0))="x",INDEX('Week Selection'!M$3:M$59,MATCH($A17,'Week Selection'!$A$3:$A$59,0)),0)</f>
        <v>15.905464711904877</v>
      </c>
      <c r="M17" s="3"/>
      <c r="N17" s="7">
        <f ca="1">INDEX('Week Selection'!O$3:O$59,MATCH($A17,'Week Selection'!$A$3:$A$59,0))</f>
        <v>0.76796204942259438</v>
      </c>
      <c r="O17" s="7">
        <f ca="1">INDEX('Week Selection'!P$3:P$59,MATCH($A17,'Week Selection'!$A$3:$A$59,0))</f>
        <v>1.1852733411264238</v>
      </c>
      <c r="P17" s="7">
        <f ca="1">INDEX('Week Selection'!Q$3:Q$59,MATCH($A17,'Week Selection'!$A$3:$A$59,0))</f>
        <v>1.1945160284599341</v>
      </c>
      <c r="R17" s="33">
        <f ca="1">IF(INDEX(Summary!$C$15:$C$25,MATCH(R$1,Summary!$B$15:$B$25,0))="x",IF($A17=$A16,R16,SUM(B$2:B17)),0)</f>
        <v>40.243651161885559</v>
      </c>
      <c r="S17" s="33">
        <f ca="1">IF(INDEX(Summary!$C$15:$C$25,MATCH(S$1,Summary!$B$15:$B$25,0))="x",IF($A17=$A16,S16,SUM(C$2:C17)),0)</f>
        <v>72.438572091394008</v>
      </c>
      <c r="T17" s="33">
        <f ca="1">IF(INDEX(Summary!$C$15:$C$25,MATCH(T$1,Summary!$B$15:$B$25,0))="x",IF($A17=$A16,T16,SUM(D$2:D17)),0)</f>
        <v>85.445934979870842</v>
      </c>
      <c r="U17" s="33">
        <f ca="1">IF(INDEX(Summary!$C$15:$C$25,MATCH(U$1,Summary!$B$15:$B$25,0))="x",IF($A17=$A16,U16,SUM(E$2:E17)),0)</f>
        <v>216.70144165325607</v>
      </c>
      <c r="V17" s="33">
        <f ca="1">IF(INDEX(Summary!$C$15:$C$25,MATCH(V$1,Summary!$B$15:$B$25,0))="x",IF($A17=$A16,V16,SUM(F$2:F17)),0)</f>
        <v>38.344933342258436</v>
      </c>
      <c r="W17" s="33">
        <f ca="1">IF(INDEX(Summary!$C$15:$C$25,MATCH(W$1,Summary!$B$15:$B$25,0))="x",IF($A17=$A16,W16,SUM(G$2:G17)),0)</f>
        <v>233.27511865915139</v>
      </c>
      <c r="X17" s="33">
        <f ca="1">IF(INDEX(Summary!$C$15:$C$25,MATCH(X$1,Summary!$B$15:$B$25,0))="x",IF($A17=$A16,X16,SUM(H$2:H17)),0)</f>
        <v>130.41234628304372</v>
      </c>
      <c r="Y17" s="33">
        <f ca="1">IF(INDEX(Summary!$C$15:$C$25,MATCH(Y$1,Summary!$B$15:$B$25,0))="x",IF($A17=$A16,Y16,SUM(I$2:I17)),0)</f>
        <v>0</v>
      </c>
      <c r="Z17" s="33">
        <f ca="1">IF(INDEX(Summary!$C$15:$C$25,MATCH(Z$1,Summary!$B$15:$B$25,0))="x",IF($A17=$A16,Z16,SUM(J$2:J17)),0)</f>
        <v>0</v>
      </c>
      <c r="AA17" s="33">
        <f ca="1">IF(INDEX(Summary!$C$15:$C$25,MATCH(AA$1,Summary!$B$15:$B$25,0))="x",IF($A17=$A16,AA16,SUM(K$2:K17)),0)</f>
        <v>0</v>
      </c>
      <c r="AB17" s="33">
        <f ca="1">IF(INDEX(Summary!$C$15:$C$25,MATCH(AB$1,Summary!$B$15:$B$25,0))="x",IF($A17=$A16,AB16,SUM(L$2:L17)),0)</f>
        <v>20.970854832213782</v>
      </c>
    </row>
    <row r="18" spans="1:28" x14ac:dyDescent="0.35">
      <c r="A18" s="5">
        <f t="shared" ca="1" si="0"/>
        <v>44220</v>
      </c>
      <c r="B18" s="33">
        <f ca="1">IF(INDEX(Summary!$C$15:$C$25,MATCH(B$1,Summary!$B$15:$B$25,0))="x",INDEX('Week Selection'!C$3:C$59,MATCH($A18,'Week Selection'!$A$3:$A$59,0)),0)</f>
        <v>0</v>
      </c>
      <c r="C18" s="33">
        <f ca="1">IF(INDEX(Summary!$C$15:$C$24,MATCH(C$1,Summary!$B$15:$B$24,0))="x",INDEX('Week Selection'!D$3:D$59,MATCH($A18,'Week Selection'!$A$3:$A$59,0)),0)</f>
        <v>0</v>
      </c>
      <c r="D18" s="33">
        <f ca="1">IF(INDEX(Summary!$C$15:$C$24,MATCH(D$1,Summary!$B$15:$B$24,0))="x",INDEX('Week Selection'!E$3:E$59,MATCH($A18,'Week Selection'!$A$3:$A$59,0)),0)</f>
        <v>7.671725472075182</v>
      </c>
      <c r="E18" s="33">
        <f ca="1">IF(INDEX(Summary!$C$15:$C$24,MATCH(E$1,Summary!$B$15:$B$24,0))="x",INDEX('Week Selection'!F$3:F$59,MATCH($A18,'Week Selection'!$A$3:$A$59,0)),0)</f>
        <v>19.5092277803492</v>
      </c>
      <c r="F18" s="33">
        <f ca="1">IF(INDEX(Summary!$C$15:$C$24,MATCH(F$1,Summary!$B$15:$B$24,0))="x",INDEX('Week Selection'!G$3:G$59,MATCH($A18,'Week Selection'!$A$3:$A$59,0)),0)</f>
        <v>2.7821218563070915</v>
      </c>
      <c r="G18" s="33">
        <f ca="1">IF(INDEX(Summary!$C$15:$C$24,MATCH(G$1,Summary!$B$15:$B$24,0))="x",INDEX('Week Selection'!H$3:H$59,MATCH($A18,'Week Selection'!$A$3:$A$59,0)),0)</f>
        <v>16.008589068922372</v>
      </c>
      <c r="H18" s="33">
        <f ca="1">IF(INDEX(Summary!$C$15:$C$24,MATCH(H$1,Summary!$B$15:$B$24,0))="x",INDEX('Week Selection'!I$3:I$59,MATCH($A18,'Week Selection'!$A$3:$A$59,0)),0)</f>
        <v>0</v>
      </c>
      <c r="I18" s="33">
        <f ca="1">IF(INDEX(Summary!$C$15:$C$24,MATCH(I$1,Summary!$B$15:$B$24,0))="x",INDEX('Week Selection'!J$3:J$59,MATCH($A18,'Week Selection'!$A$3:$A$59,0)),0)</f>
        <v>0</v>
      </c>
      <c r="J18" s="33">
        <f ca="1">IF(INDEX(Summary!$C$15:$C$24,MATCH(J$1,Summary!$B$15:$B$24,0))="x",INDEX('Week Selection'!K$3:K$59,MATCH($A18,'Week Selection'!$A$3:$A$59,0)),0)</f>
        <v>0</v>
      </c>
      <c r="K18" s="33">
        <f ca="1">IF(INDEX(Summary!$C$15:$C$24,MATCH(K$1,Summary!$B$15:$B$24,0))="x",INDEX('Week Selection'!L$3:L$59,MATCH($A18,'Week Selection'!$A$3:$A$59,0)),0)</f>
        <v>0</v>
      </c>
      <c r="L18" s="33">
        <f ca="1">IF(INDEX(Summary!$C$15:$C$25,MATCH(L$1,Summary!$B$15:$B$25,0))="x",INDEX('Week Selection'!M$3:M$59,MATCH($A18,'Week Selection'!$A$3:$A$59,0)),0)</f>
        <v>11.070637176863949</v>
      </c>
      <c r="M18" s="3"/>
      <c r="N18" s="7">
        <f ca="1">INDEX('Week Selection'!O$3:O$59,MATCH($A18,'Week Selection'!$A$3:$A$59,0))</f>
        <v>0.67698065614465808</v>
      </c>
      <c r="O18" s="7">
        <f ca="1">INDEX('Week Selection'!P$3:P$59,MATCH($A18,'Week Selection'!$A$3:$A$59,0))</f>
        <v>1.2342643970610654</v>
      </c>
      <c r="P18" s="7">
        <f ca="1">INDEX('Week Selection'!Q$3:Q$59,MATCH($A18,'Week Selection'!$A$3:$A$59,0))</f>
        <v>1.2676066967670621</v>
      </c>
      <c r="R18" s="33">
        <f ca="1">IF(INDEX(Summary!$C$15:$C$25,MATCH(R$1,Summary!$B$15:$B$25,0))="x",IF($A18=$A17,R17,SUM(B$2:B18)),0)</f>
        <v>40.243651161885559</v>
      </c>
      <c r="S18" s="33">
        <f ca="1">IF(INDEX(Summary!$C$15:$C$25,MATCH(S$1,Summary!$B$15:$B$25,0))="x",IF($A18=$A17,S17,SUM(C$2:C18)),0)</f>
        <v>72.438572091394008</v>
      </c>
      <c r="T18" s="33">
        <f ca="1">IF(INDEX(Summary!$C$15:$C$25,MATCH(T$1,Summary!$B$15:$B$25,0))="x",IF($A18=$A17,T17,SUM(D$2:D18)),0)</f>
        <v>93.117660451946023</v>
      </c>
      <c r="U18" s="33">
        <f ca="1">IF(INDEX(Summary!$C$15:$C$25,MATCH(U$1,Summary!$B$15:$B$25,0))="x",IF($A18=$A17,U17,SUM(E$2:E18)),0)</f>
        <v>236.21066943360526</v>
      </c>
      <c r="V18" s="33">
        <f ca="1">IF(INDEX(Summary!$C$15:$C$25,MATCH(V$1,Summary!$B$15:$B$25,0))="x",IF($A18=$A17,V17,SUM(F$2:F18)),0)</f>
        <v>41.127055198565529</v>
      </c>
      <c r="W18" s="33">
        <f ca="1">IF(INDEX(Summary!$C$15:$C$25,MATCH(W$1,Summary!$B$15:$B$25,0))="x",IF($A18=$A17,W17,SUM(G$2:G18)),0)</f>
        <v>249.28370772807375</v>
      </c>
      <c r="X18" s="33">
        <f ca="1">IF(INDEX(Summary!$C$15:$C$25,MATCH(X$1,Summary!$B$15:$B$25,0))="x",IF($A18=$A17,X17,SUM(H$2:H18)),0)</f>
        <v>130.41234628304372</v>
      </c>
      <c r="Y18" s="33">
        <f ca="1">IF(INDEX(Summary!$C$15:$C$25,MATCH(Y$1,Summary!$B$15:$B$25,0))="x",IF($A18=$A17,Y17,SUM(I$2:I18)),0)</f>
        <v>0</v>
      </c>
      <c r="Z18" s="33">
        <f ca="1">IF(INDEX(Summary!$C$15:$C$25,MATCH(Z$1,Summary!$B$15:$B$25,0))="x",IF($A18=$A17,Z17,SUM(J$2:J18)),0)</f>
        <v>0</v>
      </c>
      <c r="AA18" s="33">
        <f ca="1">IF(INDEX(Summary!$C$15:$C$25,MATCH(AA$1,Summary!$B$15:$B$25,0))="x",IF($A18=$A17,AA17,SUM(K$2:K18)),0)</f>
        <v>0</v>
      </c>
      <c r="AB18" s="33">
        <f ca="1">IF(INDEX(Summary!$C$15:$C$25,MATCH(AB$1,Summary!$B$15:$B$25,0))="x",IF($A18=$A17,AB17,SUM(L$2:L18)),0)</f>
        <v>32.041492009077729</v>
      </c>
    </row>
    <row r="19" spans="1:28" x14ac:dyDescent="0.35">
      <c r="A19" s="5">
        <f t="shared" ca="1" si="0"/>
        <v>44227</v>
      </c>
      <c r="B19" s="33">
        <f ca="1">IF(INDEX(Summary!$C$15:$C$25,MATCH(B$1,Summary!$B$15:$B$25,0))="x",INDEX('Week Selection'!C$3:C$59,MATCH($A19,'Week Selection'!$A$3:$A$59,0)),0)</f>
        <v>0</v>
      </c>
      <c r="C19" s="33">
        <f ca="1">IF(INDEX(Summary!$C$15:$C$24,MATCH(C$1,Summary!$B$15:$B$24,0))="x",INDEX('Week Selection'!D$3:D$59,MATCH($A19,'Week Selection'!$A$3:$A$59,0)),0)</f>
        <v>0</v>
      </c>
      <c r="D19" s="33">
        <f ca="1">IF(INDEX(Summary!$C$15:$C$24,MATCH(D$1,Summary!$B$15:$B$24,0))="x",INDEX('Week Selection'!E$3:E$59,MATCH($A19,'Week Selection'!$A$3:$A$59,0)),0)</f>
        <v>4.9784750123026882</v>
      </c>
      <c r="E19" s="33">
        <f ca="1">IF(INDEX(Summary!$C$15:$C$24,MATCH(E$1,Summary!$B$15:$B$24,0))="x",INDEX('Week Selection'!F$3:F$59,MATCH($A19,'Week Selection'!$A$3:$A$59,0)),0)</f>
        <v>14.260226001385965</v>
      </c>
      <c r="F19" s="33">
        <f ca="1">IF(INDEX(Summary!$C$15:$C$24,MATCH(F$1,Summary!$B$15:$B$24,0))="x",INDEX('Week Selection'!G$3:G$59,MATCH($A19,'Week Selection'!$A$3:$A$59,0)),0)</f>
        <v>5.5002451284481921</v>
      </c>
      <c r="G19" s="33">
        <f ca="1">IF(INDEX(Summary!$C$15:$C$24,MATCH(G$1,Summary!$B$15:$B$24,0))="x",INDEX('Week Selection'!H$3:H$59,MATCH($A19,'Week Selection'!$A$3:$A$59,0)),0)</f>
        <v>17.127027206954459</v>
      </c>
      <c r="H19" s="33">
        <f ca="1">IF(INDEX(Summary!$C$15:$C$24,MATCH(H$1,Summary!$B$15:$B$24,0))="x",INDEX('Week Selection'!I$3:I$59,MATCH($A19,'Week Selection'!$A$3:$A$59,0)),0)</f>
        <v>0</v>
      </c>
      <c r="I19" s="33">
        <f ca="1">IF(INDEX(Summary!$C$15:$C$24,MATCH(I$1,Summary!$B$15:$B$24,0))="x",INDEX('Week Selection'!J$3:J$59,MATCH($A19,'Week Selection'!$A$3:$A$59,0)),0)</f>
        <v>0</v>
      </c>
      <c r="J19" s="33">
        <f ca="1">IF(INDEX(Summary!$C$15:$C$24,MATCH(J$1,Summary!$B$15:$B$24,0))="x",INDEX('Week Selection'!K$3:K$59,MATCH($A19,'Week Selection'!$A$3:$A$59,0)),0)</f>
        <v>0</v>
      </c>
      <c r="K19" s="33">
        <f ca="1">IF(INDEX(Summary!$C$15:$C$24,MATCH(K$1,Summary!$B$15:$B$24,0))="x",INDEX('Week Selection'!L$3:L$59,MATCH($A19,'Week Selection'!$A$3:$A$59,0)),0)</f>
        <v>0</v>
      </c>
      <c r="L19" s="33">
        <f ca="1">IF(INDEX(Summary!$C$15:$C$25,MATCH(L$1,Summary!$B$15:$B$25,0))="x",INDEX('Week Selection'!M$3:M$59,MATCH($A19,'Week Selection'!$A$3:$A$59,0)),0)</f>
        <v>11.883055885210977</v>
      </c>
      <c r="M19" s="3"/>
      <c r="N19" s="7">
        <f ca="1">INDEX('Week Selection'!O$3:O$59,MATCH($A19,'Week Selection'!$A$3:$A$59,0))</f>
        <v>0.72525207730413599</v>
      </c>
      <c r="O19" s="7">
        <f ca="1">INDEX('Week Selection'!P$3:P$59,MATCH($A19,'Week Selection'!$A$3:$A$59,0))</f>
        <v>1.2192638555499899</v>
      </c>
      <c r="P19" s="7">
        <f ca="1">INDEX('Week Selection'!Q$3:Q$59,MATCH($A19,'Week Selection'!$A$3:$A$59,0))</f>
        <v>1.194422871873384</v>
      </c>
      <c r="R19" s="33">
        <f ca="1">IF(INDEX(Summary!$C$15:$C$25,MATCH(R$1,Summary!$B$15:$B$25,0))="x",IF($A19=$A18,R18,SUM(B$2:B19)),0)</f>
        <v>40.243651161885559</v>
      </c>
      <c r="S19" s="33">
        <f ca="1">IF(INDEX(Summary!$C$15:$C$25,MATCH(S$1,Summary!$B$15:$B$25,0))="x",IF($A19=$A18,S18,SUM(C$2:C19)),0)</f>
        <v>72.438572091394008</v>
      </c>
      <c r="T19" s="33">
        <f ca="1">IF(INDEX(Summary!$C$15:$C$25,MATCH(T$1,Summary!$B$15:$B$25,0))="x",IF($A19=$A18,T18,SUM(D$2:D19)),0)</f>
        <v>98.096135464248704</v>
      </c>
      <c r="U19" s="33">
        <f ca="1">IF(INDEX(Summary!$C$15:$C$25,MATCH(U$1,Summary!$B$15:$B$25,0))="x",IF($A19=$A18,U18,SUM(E$2:E19)),0)</f>
        <v>250.47089543499123</v>
      </c>
      <c r="V19" s="33">
        <f ca="1">IF(INDEX(Summary!$C$15:$C$25,MATCH(V$1,Summary!$B$15:$B$25,0))="x",IF($A19=$A18,V18,SUM(F$2:F19)),0)</f>
        <v>46.627300327013721</v>
      </c>
      <c r="W19" s="33">
        <f ca="1">IF(INDEX(Summary!$C$15:$C$25,MATCH(W$1,Summary!$B$15:$B$25,0))="x",IF($A19=$A18,W18,SUM(G$2:G19)),0)</f>
        <v>266.41073493502819</v>
      </c>
      <c r="X19" s="33">
        <f ca="1">IF(INDEX(Summary!$C$15:$C$25,MATCH(X$1,Summary!$B$15:$B$25,0))="x",IF($A19=$A18,X18,SUM(H$2:H19)),0)</f>
        <v>130.41234628304372</v>
      </c>
      <c r="Y19" s="33">
        <f ca="1">IF(INDEX(Summary!$C$15:$C$25,MATCH(Y$1,Summary!$B$15:$B$25,0))="x",IF($A19=$A18,Y18,SUM(I$2:I19)),0)</f>
        <v>0</v>
      </c>
      <c r="Z19" s="33">
        <f ca="1">IF(INDEX(Summary!$C$15:$C$25,MATCH(Z$1,Summary!$B$15:$B$25,0))="x",IF($A19=$A18,Z18,SUM(J$2:J19)),0)</f>
        <v>0</v>
      </c>
      <c r="AA19" s="33">
        <f ca="1">IF(INDEX(Summary!$C$15:$C$25,MATCH(AA$1,Summary!$B$15:$B$25,0))="x",IF($A19=$A18,AA18,SUM(K$2:K19)),0)</f>
        <v>0</v>
      </c>
      <c r="AB19" s="33">
        <f ca="1">IF(INDEX(Summary!$C$15:$C$25,MATCH(AB$1,Summary!$B$15:$B$25,0))="x",IF($A19=$A18,AB18,SUM(L$2:L19)),0)</f>
        <v>43.924547894288708</v>
      </c>
    </row>
    <row r="20" spans="1:28" x14ac:dyDescent="0.35">
      <c r="A20" s="5">
        <f t="shared" ca="1" si="0"/>
        <v>44234</v>
      </c>
      <c r="B20" s="33">
        <f ca="1">IF(INDEX(Summary!$C$15:$C$25,MATCH(B$1,Summary!$B$15:$B$25,0))="x",INDEX('Week Selection'!C$3:C$59,MATCH($A20,'Week Selection'!$A$3:$A$59,0)),0)</f>
        <v>0</v>
      </c>
      <c r="C20" s="33">
        <f ca="1">IF(INDEX(Summary!$C$15:$C$24,MATCH(C$1,Summary!$B$15:$B$24,0))="x",INDEX('Week Selection'!D$3:D$59,MATCH($A20,'Week Selection'!$A$3:$A$59,0)),0)</f>
        <v>0</v>
      </c>
      <c r="D20" s="33">
        <f ca="1">IF(INDEX(Summary!$C$15:$C$24,MATCH(D$1,Summary!$B$15:$B$24,0))="x",INDEX('Week Selection'!E$3:E$59,MATCH($A20,'Week Selection'!$A$3:$A$59,0)),0)</f>
        <v>6.9230258790832018</v>
      </c>
      <c r="E20" s="33">
        <f ca="1">IF(INDEX(Summary!$C$15:$C$24,MATCH(E$1,Summary!$B$15:$B$24,0))="x",INDEX('Week Selection'!F$3:F$59,MATCH($A20,'Week Selection'!$A$3:$A$59,0)),0)</f>
        <v>8.3631337564328714</v>
      </c>
      <c r="F20" s="33">
        <f ca="1">IF(INDEX(Summary!$C$15:$C$24,MATCH(F$1,Summary!$B$15:$B$24,0))="x",INDEX('Week Selection'!G$3:G$59,MATCH($A20,'Week Selection'!$A$3:$A$59,0)),0)</f>
        <v>2.1860127732722026</v>
      </c>
      <c r="G20" s="33">
        <f ca="1">IF(INDEX(Summary!$C$15:$C$24,MATCH(G$1,Summary!$B$15:$B$24,0))="x",INDEX('Week Selection'!H$3:H$59,MATCH($A20,'Week Selection'!$A$3:$A$59,0)),0)</f>
        <v>28.061562591332166</v>
      </c>
      <c r="H20" s="33">
        <f ca="1">IF(INDEX(Summary!$C$15:$C$24,MATCH(H$1,Summary!$B$15:$B$24,0))="x",INDEX('Week Selection'!I$3:I$59,MATCH($A20,'Week Selection'!$A$3:$A$59,0)),0)</f>
        <v>0.95969929244910901</v>
      </c>
      <c r="I20" s="33">
        <f ca="1">IF(INDEX(Summary!$C$15:$C$24,MATCH(I$1,Summary!$B$15:$B$24,0))="x",INDEX('Week Selection'!J$3:J$59,MATCH($A20,'Week Selection'!$A$3:$A$59,0)),0)</f>
        <v>0</v>
      </c>
      <c r="J20" s="33">
        <f ca="1">IF(INDEX(Summary!$C$15:$C$24,MATCH(J$1,Summary!$B$15:$B$24,0))="x",INDEX('Week Selection'!K$3:K$59,MATCH($A20,'Week Selection'!$A$3:$A$59,0)),0)</f>
        <v>0</v>
      </c>
      <c r="K20" s="33">
        <f ca="1">IF(INDEX(Summary!$C$15:$C$24,MATCH(K$1,Summary!$B$15:$B$24,0))="x",INDEX('Week Selection'!L$3:L$59,MATCH($A20,'Week Selection'!$A$3:$A$59,0)),0)</f>
        <v>0</v>
      </c>
      <c r="L20" s="33">
        <f ca="1">IF(INDEX(Summary!$C$15:$C$25,MATCH(L$1,Summary!$B$15:$B$25,0))="x",INDEX('Week Selection'!M$3:M$59,MATCH($A20,'Week Selection'!$A$3:$A$59,0)),0)</f>
        <v>0.18137590008520257</v>
      </c>
      <c r="M20" s="3"/>
      <c r="N20" s="7">
        <f ca="1">INDEX('Week Selection'!O$3:O$59,MATCH($A20,'Week Selection'!$A$3:$A$59,0))</f>
        <v>0.73006594459666196</v>
      </c>
      <c r="O20" s="7">
        <f ca="1">INDEX('Week Selection'!P$3:P$59,MATCH($A20,'Week Selection'!$A$3:$A$59,0))</f>
        <v>0.99379460783928875</v>
      </c>
      <c r="P20" s="7">
        <f ca="1">INDEX('Week Selection'!Q$3:Q$59,MATCH($A20,'Week Selection'!$A$3:$A$59,0))</f>
        <v>1.0372180042812167</v>
      </c>
      <c r="R20" s="33">
        <f ca="1">IF(INDEX(Summary!$C$15:$C$25,MATCH(R$1,Summary!$B$15:$B$25,0))="x",IF($A20=$A19,R19,SUM(B$2:B20)),0)</f>
        <v>40.243651161885559</v>
      </c>
      <c r="S20" s="33">
        <f ca="1">IF(INDEX(Summary!$C$15:$C$25,MATCH(S$1,Summary!$B$15:$B$25,0))="x",IF($A20=$A19,S19,SUM(C$2:C20)),0)</f>
        <v>72.438572091394008</v>
      </c>
      <c r="T20" s="33">
        <f ca="1">IF(INDEX(Summary!$C$15:$C$25,MATCH(T$1,Summary!$B$15:$B$25,0))="x",IF($A20=$A19,T19,SUM(D$2:D20)),0)</f>
        <v>105.0191613433319</v>
      </c>
      <c r="U20" s="33">
        <f ca="1">IF(INDEX(Summary!$C$15:$C$25,MATCH(U$1,Summary!$B$15:$B$25,0))="x",IF($A20=$A19,U19,SUM(E$2:E20)),0)</f>
        <v>258.83402919142412</v>
      </c>
      <c r="V20" s="33">
        <f ca="1">IF(INDEX(Summary!$C$15:$C$25,MATCH(V$1,Summary!$B$15:$B$25,0))="x",IF($A20=$A19,V19,SUM(F$2:F20)),0)</f>
        <v>48.813313100285924</v>
      </c>
      <c r="W20" s="33">
        <f ca="1">IF(INDEX(Summary!$C$15:$C$25,MATCH(W$1,Summary!$B$15:$B$25,0))="x",IF($A20=$A19,W19,SUM(G$2:G20)),0)</f>
        <v>294.47229752636036</v>
      </c>
      <c r="X20" s="33">
        <f ca="1">IF(INDEX(Summary!$C$15:$C$25,MATCH(X$1,Summary!$B$15:$B$25,0))="x",IF($A20=$A19,X19,SUM(H$2:H20)),0)</f>
        <v>131.37204557549282</v>
      </c>
      <c r="Y20" s="33">
        <f ca="1">IF(INDEX(Summary!$C$15:$C$25,MATCH(Y$1,Summary!$B$15:$B$25,0))="x",IF($A20=$A19,Y19,SUM(I$2:I20)),0)</f>
        <v>0</v>
      </c>
      <c r="Z20" s="33">
        <f ca="1">IF(INDEX(Summary!$C$15:$C$25,MATCH(Z$1,Summary!$B$15:$B$25,0))="x",IF($A20=$A19,Z19,SUM(J$2:J20)),0)</f>
        <v>0</v>
      </c>
      <c r="AA20" s="33">
        <f ca="1">IF(INDEX(Summary!$C$15:$C$25,MATCH(AA$1,Summary!$B$15:$B$25,0))="x",IF($A20=$A19,AA19,SUM(K$2:K20)),0)</f>
        <v>0</v>
      </c>
      <c r="AB20" s="33">
        <f ca="1">IF(INDEX(Summary!$C$15:$C$25,MATCH(AB$1,Summary!$B$15:$B$25,0))="x",IF($A20=$A19,AB19,SUM(L$2:L20)),0)</f>
        <v>44.105923794373908</v>
      </c>
    </row>
    <row r="21" spans="1:28" x14ac:dyDescent="0.35">
      <c r="A21" s="5">
        <f t="shared" ca="1" si="0"/>
        <v>44241</v>
      </c>
      <c r="B21" s="33">
        <f ca="1">IF(INDEX(Summary!$C$15:$C$25,MATCH(B$1,Summary!$B$15:$B$25,0))="x",INDEX('Week Selection'!C$3:C$59,MATCH($A21,'Week Selection'!$A$3:$A$59,0)),0)</f>
        <v>0</v>
      </c>
      <c r="C21" s="33">
        <f ca="1">IF(INDEX(Summary!$C$15:$C$24,MATCH(C$1,Summary!$B$15:$B$24,0))="x",INDEX('Week Selection'!D$3:D$59,MATCH($A21,'Week Selection'!$A$3:$A$59,0)),0)</f>
        <v>0</v>
      </c>
      <c r="D21" s="33">
        <f ca="1">IF(INDEX(Summary!$C$15:$C$24,MATCH(D$1,Summary!$B$15:$B$24,0))="x",INDEX('Week Selection'!E$3:E$59,MATCH($A21,'Week Selection'!$A$3:$A$59,0)),0)</f>
        <v>2.7077828895933949</v>
      </c>
      <c r="E21" s="33">
        <f ca="1">IF(INDEX(Summary!$C$15:$C$24,MATCH(E$1,Summary!$B$15:$B$24,0))="x",INDEX('Week Selection'!F$3:F$59,MATCH($A21,'Week Selection'!$A$3:$A$59,0)),0)</f>
        <v>19.754602263897649</v>
      </c>
      <c r="F21" s="33">
        <f ca="1">IF(INDEX(Summary!$C$15:$C$24,MATCH(F$1,Summary!$B$15:$B$24,0))="x",INDEX('Week Selection'!G$3:G$59,MATCH($A21,'Week Selection'!$A$3:$A$59,0)),0)</f>
        <v>2.6211472516279257</v>
      </c>
      <c r="G21" s="33">
        <f ca="1">IF(INDEX(Summary!$C$15:$C$24,MATCH(G$1,Summary!$B$15:$B$24,0))="x",INDEX('Week Selection'!H$3:H$59,MATCH($A21,'Week Selection'!$A$3:$A$59,0)),0)</f>
        <v>7.5356236801159957</v>
      </c>
      <c r="H21" s="33">
        <f ca="1">IF(INDEX(Summary!$C$15:$C$24,MATCH(H$1,Summary!$B$15:$B$24,0))="x",INDEX('Week Selection'!I$3:I$59,MATCH($A21,'Week Selection'!$A$3:$A$59,0)),0)</f>
        <v>0</v>
      </c>
      <c r="I21" s="33">
        <f ca="1">IF(INDEX(Summary!$C$15:$C$24,MATCH(I$1,Summary!$B$15:$B$24,0))="x",INDEX('Week Selection'!J$3:J$59,MATCH($A21,'Week Selection'!$A$3:$A$59,0)),0)</f>
        <v>0</v>
      </c>
      <c r="J21" s="33">
        <f ca="1">IF(INDEX(Summary!$C$15:$C$24,MATCH(J$1,Summary!$B$15:$B$24,0))="x",INDEX('Week Selection'!K$3:K$59,MATCH($A21,'Week Selection'!$A$3:$A$59,0)),0)</f>
        <v>0</v>
      </c>
      <c r="K21" s="33">
        <f ca="1">IF(INDEX(Summary!$C$15:$C$24,MATCH(K$1,Summary!$B$15:$B$24,0))="x",INDEX('Week Selection'!L$3:L$59,MATCH($A21,'Week Selection'!$A$3:$A$59,0)),0)</f>
        <v>0</v>
      </c>
      <c r="L21" s="33">
        <f ca="1">IF(INDEX(Summary!$C$15:$C$25,MATCH(L$1,Summary!$B$15:$B$25,0))="x",INDEX('Week Selection'!M$3:M$59,MATCH($A21,'Week Selection'!$A$3:$A$59,0)),0)</f>
        <v>9.1288810083826899</v>
      </c>
      <c r="M21" s="3"/>
      <c r="N21" s="7">
        <f ca="1">INDEX('Week Selection'!O$3:O$59,MATCH($A21,'Week Selection'!$A$3:$A$59,0))</f>
        <v>0.41661261721246712</v>
      </c>
      <c r="O21" s="7">
        <f ca="1">INDEX('Week Selection'!P$3:P$59,MATCH($A21,'Week Selection'!$A$3:$A$59,0))</f>
        <v>0.9760063551006064</v>
      </c>
      <c r="P21" s="7">
        <f ca="1">INDEX('Week Selection'!Q$3:Q$59,MATCH($A21,'Week Selection'!$A$3:$A$59,0))</f>
        <v>0.92773415763594791</v>
      </c>
      <c r="R21" s="33">
        <f ca="1">IF(INDEX(Summary!$C$15:$C$25,MATCH(R$1,Summary!$B$15:$B$25,0))="x",IF($A21=$A20,R20,SUM(B$2:B21)),0)</f>
        <v>40.243651161885559</v>
      </c>
      <c r="S21" s="33">
        <f ca="1">IF(INDEX(Summary!$C$15:$C$25,MATCH(S$1,Summary!$B$15:$B$25,0))="x",IF($A21=$A20,S20,SUM(C$2:C21)),0)</f>
        <v>72.438572091394008</v>
      </c>
      <c r="T21" s="33">
        <f ca="1">IF(INDEX(Summary!$C$15:$C$25,MATCH(T$1,Summary!$B$15:$B$25,0))="x",IF($A21=$A20,T20,SUM(D$2:D21)),0)</f>
        <v>107.72694423292529</v>
      </c>
      <c r="U21" s="33">
        <f ca="1">IF(INDEX(Summary!$C$15:$C$25,MATCH(U$1,Summary!$B$15:$B$25,0))="x",IF($A21=$A20,U20,SUM(E$2:E21)),0)</f>
        <v>278.58863145532177</v>
      </c>
      <c r="V21" s="33">
        <f ca="1">IF(INDEX(Summary!$C$15:$C$25,MATCH(V$1,Summary!$B$15:$B$25,0))="x",IF($A21=$A20,V20,SUM(F$2:F21)),0)</f>
        <v>51.434460351913849</v>
      </c>
      <c r="W21" s="33">
        <f ca="1">IF(INDEX(Summary!$C$15:$C$25,MATCH(W$1,Summary!$B$15:$B$25,0))="x",IF($A21=$A20,W20,SUM(G$2:G21)),0)</f>
        <v>302.00792120647634</v>
      </c>
      <c r="X21" s="33">
        <f ca="1">IF(INDEX(Summary!$C$15:$C$25,MATCH(X$1,Summary!$B$15:$B$25,0))="x",IF($A21=$A20,X20,SUM(H$2:H21)),0)</f>
        <v>131.37204557549282</v>
      </c>
      <c r="Y21" s="33">
        <f ca="1">IF(INDEX(Summary!$C$15:$C$25,MATCH(Y$1,Summary!$B$15:$B$25,0))="x",IF($A21=$A20,Y20,SUM(I$2:I21)),0)</f>
        <v>0</v>
      </c>
      <c r="Z21" s="33">
        <f ca="1">IF(INDEX(Summary!$C$15:$C$25,MATCH(Z$1,Summary!$B$15:$B$25,0))="x",IF($A21=$A20,Z20,SUM(J$2:J21)),0)</f>
        <v>0</v>
      </c>
      <c r="AA21" s="33">
        <f ca="1">IF(INDEX(Summary!$C$15:$C$25,MATCH(AA$1,Summary!$B$15:$B$25,0))="x",IF($A21=$A20,AA20,SUM(K$2:K21)),0)</f>
        <v>0</v>
      </c>
      <c r="AB21" s="33">
        <f ca="1">IF(INDEX(Summary!$C$15:$C$25,MATCH(AB$1,Summary!$B$15:$B$25,0))="x",IF($A21=$A20,AB20,SUM(L$2:L21)),0)</f>
        <v>53.234804802756599</v>
      </c>
    </row>
    <row r="22" spans="1:28" x14ac:dyDescent="0.35">
      <c r="A22" s="5">
        <f t="shared" ca="1" si="0"/>
        <v>44248</v>
      </c>
      <c r="B22" s="33">
        <f ca="1">IF(INDEX(Summary!$C$15:$C$25,MATCH(B$1,Summary!$B$15:$B$25,0))="x",INDEX('Week Selection'!C$3:C$59,MATCH($A22,'Week Selection'!$A$3:$A$59,0)),0)</f>
        <v>0</v>
      </c>
      <c r="C22" s="33">
        <f ca="1">IF(INDEX(Summary!$C$15:$C$24,MATCH(C$1,Summary!$B$15:$B$24,0))="x",INDEX('Week Selection'!D$3:D$59,MATCH($A22,'Week Selection'!$A$3:$A$59,0)),0)</f>
        <v>0</v>
      </c>
      <c r="D22" s="33">
        <f ca="1">IF(INDEX(Summary!$C$15:$C$24,MATCH(D$1,Summary!$B$15:$B$24,0))="x",INDEX('Week Selection'!E$3:E$59,MATCH($A22,'Week Selection'!$A$3:$A$59,0)),0)</f>
        <v>7.3494967935545343</v>
      </c>
      <c r="E22" s="33">
        <f ca="1">IF(INDEX(Summary!$C$15:$C$24,MATCH(E$1,Summary!$B$15:$B$24,0))="x",INDEX('Week Selection'!F$3:F$59,MATCH($A22,'Week Selection'!$A$3:$A$59,0)),0)</f>
        <v>11.788874561942935</v>
      </c>
      <c r="F22" s="33">
        <f ca="1">IF(INDEX(Summary!$C$15:$C$24,MATCH(F$1,Summary!$B$15:$B$24,0))="x",INDEX('Week Selection'!G$3:G$59,MATCH($A22,'Week Selection'!$A$3:$A$59,0)),0)</f>
        <v>4.8974287705843524</v>
      </c>
      <c r="G22" s="33">
        <f ca="1">IF(INDEX(Summary!$C$15:$C$24,MATCH(G$1,Summary!$B$15:$B$24,0))="x",INDEX('Week Selection'!H$3:H$59,MATCH($A22,'Week Selection'!$A$3:$A$59,0)),0)</f>
        <v>9.9519195682640529</v>
      </c>
      <c r="H22" s="33">
        <f ca="1">IF(INDEX(Summary!$C$15:$C$24,MATCH(H$1,Summary!$B$15:$B$24,0))="x",INDEX('Week Selection'!I$3:I$59,MATCH($A22,'Week Selection'!$A$3:$A$59,0)),0)</f>
        <v>10.762661457596392</v>
      </c>
      <c r="I22" s="33">
        <f ca="1">IF(INDEX(Summary!$C$15:$C$24,MATCH(I$1,Summary!$B$15:$B$24,0))="x",INDEX('Week Selection'!J$3:J$59,MATCH($A22,'Week Selection'!$A$3:$A$59,0)),0)</f>
        <v>0</v>
      </c>
      <c r="J22" s="33">
        <f ca="1">IF(INDEX(Summary!$C$15:$C$24,MATCH(J$1,Summary!$B$15:$B$24,0))="x",INDEX('Week Selection'!K$3:K$59,MATCH($A22,'Week Selection'!$A$3:$A$59,0)),0)</f>
        <v>0</v>
      </c>
      <c r="K22" s="33">
        <f ca="1">IF(INDEX(Summary!$C$15:$C$24,MATCH(K$1,Summary!$B$15:$B$24,0))="x",INDEX('Week Selection'!L$3:L$59,MATCH($A22,'Week Selection'!$A$3:$A$59,0)),0)</f>
        <v>0</v>
      </c>
      <c r="L22" s="33">
        <f ca="1">IF(INDEX(Summary!$C$15:$C$25,MATCH(L$1,Summary!$B$15:$B$25,0))="x",INDEX('Week Selection'!M$3:M$59,MATCH($A22,'Week Selection'!$A$3:$A$59,0)),0)</f>
        <v>9.0713102298833324</v>
      </c>
      <c r="M22" s="3"/>
      <c r="N22" s="7">
        <f ca="1">INDEX('Week Selection'!O$3:O$59,MATCH($A22,'Week Selection'!$A$3:$A$59,0))</f>
        <v>0.74464728139359448</v>
      </c>
      <c r="O22" s="7">
        <f ca="1">INDEX('Week Selection'!P$3:P$59,MATCH($A22,'Week Selection'!$A$3:$A$59,0))</f>
        <v>1.1618048647067767</v>
      </c>
      <c r="P22" s="7">
        <f ca="1">INDEX('Week Selection'!Q$3:Q$59,MATCH($A22,'Week Selection'!$A$3:$A$59,0))</f>
        <v>1.196037586262791</v>
      </c>
      <c r="R22" s="33">
        <f ca="1">IF(INDEX(Summary!$C$15:$C$25,MATCH(R$1,Summary!$B$15:$B$25,0))="x",IF($A22=$A21,R21,SUM(B$2:B22)),0)</f>
        <v>40.243651161885559</v>
      </c>
      <c r="S22" s="33">
        <f ca="1">IF(INDEX(Summary!$C$15:$C$25,MATCH(S$1,Summary!$B$15:$B$25,0))="x",IF($A22=$A21,S21,SUM(C$2:C22)),0)</f>
        <v>72.438572091394008</v>
      </c>
      <c r="T22" s="33">
        <f ca="1">IF(INDEX(Summary!$C$15:$C$25,MATCH(T$1,Summary!$B$15:$B$25,0))="x",IF($A22=$A21,T21,SUM(D$2:D22)),0)</f>
        <v>115.07644102647983</v>
      </c>
      <c r="U22" s="33">
        <f ca="1">IF(INDEX(Summary!$C$15:$C$25,MATCH(U$1,Summary!$B$15:$B$25,0))="x",IF($A22=$A21,U21,SUM(E$2:E22)),0)</f>
        <v>290.37750601726469</v>
      </c>
      <c r="V22" s="33">
        <f ca="1">IF(INDEX(Summary!$C$15:$C$25,MATCH(V$1,Summary!$B$15:$B$25,0))="x",IF($A22=$A21,V21,SUM(F$2:F22)),0)</f>
        <v>56.331889122498204</v>
      </c>
      <c r="W22" s="33">
        <f ca="1">IF(INDEX(Summary!$C$15:$C$25,MATCH(W$1,Summary!$B$15:$B$25,0))="x",IF($A22=$A21,W21,SUM(G$2:G22)),0)</f>
        <v>311.95984077474037</v>
      </c>
      <c r="X22" s="33">
        <f ca="1">IF(INDEX(Summary!$C$15:$C$25,MATCH(X$1,Summary!$B$15:$B$25,0))="x",IF($A22=$A21,X21,SUM(H$2:H22)),0)</f>
        <v>142.1347070330892</v>
      </c>
      <c r="Y22" s="33">
        <f ca="1">IF(INDEX(Summary!$C$15:$C$25,MATCH(Y$1,Summary!$B$15:$B$25,0))="x",IF($A22=$A21,Y21,SUM(I$2:I22)),0)</f>
        <v>0</v>
      </c>
      <c r="Z22" s="33">
        <f ca="1">IF(INDEX(Summary!$C$15:$C$25,MATCH(Z$1,Summary!$B$15:$B$25,0))="x",IF($A22=$A21,Z21,SUM(J$2:J22)),0)</f>
        <v>0</v>
      </c>
      <c r="AA22" s="33">
        <f ca="1">IF(INDEX(Summary!$C$15:$C$25,MATCH(AA$1,Summary!$B$15:$B$25,0))="x",IF($A22=$A21,AA21,SUM(K$2:K22)),0)</f>
        <v>0</v>
      </c>
      <c r="AB22" s="33">
        <f ca="1">IF(INDEX(Summary!$C$15:$C$25,MATCH(AB$1,Summary!$B$15:$B$25,0))="x",IF($A22=$A21,AB21,SUM(L$2:L22)),0)</f>
        <v>62.30611503263993</v>
      </c>
    </row>
    <row r="23" spans="1:28" x14ac:dyDescent="0.35">
      <c r="A23" s="5">
        <f t="shared" ca="1" si="0"/>
        <v>44255</v>
      </c>
      <c r="B23" s="33">
        <f ca="1">IF(INDEX(Summary!$C$15:$C$25,MATCH(B$1,Summary!$B$15:$B$25,0))="x",INDEX('Week Selection'!C$3:C$59,MATCH($A23,'Week Selection'!$A$3:$A$59,0)),0)</f>
        <v>0</v>
      </c>
      <c r="C23" s="33">
        <f ca="1">IF(INDEX(Summary!$C$15:$C$24,MATCH(C$1,Summary!$B$15:$B$24,0))="x",INDEX('Week Selection'!D$3:D$59,MATCH($A23,'Week Selection'!$A$3:$A$59,0)),0)</f>
        <v>0</v>
      </c>
      <c r="D23" s="33">
        <f ca="1">IF(INDEX(Summary!$C$15:$C$24,MATCH(D$1,Summary!$B$15:$B$24,0))="x",INDEX('Week Selection'!E$3:E$59,MATCH($A23,'Week Selection'!$A$3:$A$59,0)),0)</f>
        <v>4.8935161933519087</v>
      </c>
      <c r="E23" s="33">
        <f ca="1">IF(INDEX(Summary!$C$15:$C$24,MATCH(E$1,Summary!$B$15:$B$24,0))="x",INDEX('Week Selection'!F$3:F$59,MATCH($A23,'Week Selection'!$A$3:$A$59,0)),0)</f>
        <v>19.656508363397162</v>
      </c>
      <c r="F23" s="33">
        <f ca="1">IF(INDEX(Summary!$C$15:$C$24,MATCH(F$1,Summary!$B$15:$B$24,0))="x",INDEX('Week Selection'!G$3:G$59,MATCH($A23,'Week Selection'!$A$3:$A$59,0)),0)</f>
        <v>4.7417640924629438</v>
      </c>
      <c r="G23" s="33">
        <f ca="1">IF(INDEX(Summary!$C$15:$C$24,MATCH(G$1,Summary!$B$15:$B$24,0))="x",INDEX('Week Selection'!H$3:H$59,MATCH($A23,'Week Selection'!$A$3:$A$59,0)),0)</f>
        <v>11.886968461389301</v>
      </c>
      <c r="H23" s="33">
        <f ca="1">IF(INDEX(Summary!$C$15:$C$24,MATCH(H$1,Summary!$B$15:$B$24,0))="x",INDEX('Week Selection'!I$3:I$59,MATCH($A23,'Week Selection'!$A$3:$A$59,0)),0)</f>
        <v>6.3034413331807064</v>
      </c>
      <c r="I23" s="33">
        <f ca="1">IF(INDEX(Summary!$C$15:$C$24,MATCH(I$1,Summary!$B$15:$B$24,0))="x",INDEX('Week Selection'!J$3:J$59,MATCH($A23,'Week Selection'!$A$3:$A$59,0)),0)</f>
        <v>0</v>
      </c>
      <c r="J23" s="33">
        <f ca="1">IF(INDEX(Summary!$C$15:$C$24,MATCH(J$1,Summary!$B$15:$B$24,0))="x",INDEX('Week Selection'!K$3:K$59,MATCH($A23,'Week Selection'!$A$3:$A$59,0)),0)</f>
        <v>0</v>
      </c>
      <c r="K23" s="33">
        <f ca="1">IF(INDEX(Summary!$C$15:$C$24,MATCH(K$1,Summary!$B$15:$B$24,0))="x",INDEX('Week Selection'!L$3:L$59,MATCH($A23,'Week Selection'!$A$3:$A$59,0)),0)</f>
        <v>0</v>
      </c>
      <c r="L23" s="33">
        <f ca="1">IF(INDEX(Summary!$C$15:$C$25,MATCH(L$1,Summary!$B$15:$B$25,0))="x",INDEX('Week Selection'!M$3:M$59,MATCH($A23,'Week Selection'!$A$3:$A$59,0)),0)</f>
        <v>10.183041092910782</v>
      </c>
      <c r="M23" s="3"/>
      <c r="N23" s="7">
        <f ca="1">INDEX('Week Selection'!O$3:O$59,MATCH($A23,'Week Selection'!$A$3:$A$59,0))</f>
        <v>0.70933627218701978</v>
      </c>
      <c r="O23" s="7">
        <f ca="1">INDEX('Week Selection'!P$3:P$59,MATCH($A23,'Week Selection'!$A$3:$A$59,0))</f>
        <v>1.3192930835835226</v>
      </c>
      <c r="P23" s="7">
        <f ca="1">INDEX('Week Selection'!Q$3:Q$59,MATCH($A23,'Week Selection'!$A$3:$A$59,0))</f>
        <v>1.2814497674820624</v>
      </c>
      <c r="R23" s="33">
        <f ca="1">IF(INDEX(Summary!$C$15:$C$25,MATCH(R$1,Summary!$B$15:$B$25,0))="x",IF($A23=$A22,R22,SUM(B$2:B23)),0)</f>
        <v>40.243651161885559</v>
      </c>
      <c r="S23" s="33">
        <f ca="1">IF(INDEX(Summary!$C$15:$C$25,MATCH(S$1,Summary!$B$15:$B$25,0))="x",IF($A23=$A22,S22,SUM(C$2:C23)),0)</f>
        <v>72.438572091394008</v>
      </c>
      <c r="T23" s="33">
        <f ca="1">IF(INDEX(Summary!$C$15:$C$25,MATCH(T$1,Summary!$B$15:$B$25,0))="x",IF($A23=$A22,T22,SUM(D$2:D23)),0)</f>
        <v>119.96995721983174</v>
      </c>
      <c r="U23" s="33">
        <f ca="1">IF(INDEX(Summary!$C$15:$C$25,MATCH(U$1,Summary!$B$15:$B$25,0))="x",IF($A23=$A22,U22,SUM(E$2:E23)),0)</f>
        <v>310.03401438066186</v>
      </c>
      <c r="V23" s="33">
        <f ca="1">IF(INDEX(Summary!$C$15:$C$25,MATCH(V$1,Summary!$B$15:$B$25,0))="x",IF($A23=$A22,V22,SUM(F$2:F23)),0)</f>
        <v>61.073653214961148</v>
      </c>
      <c r="W23" s="33">
        <f ca="1">IF(INDEX(Summary!$C$15:$C$25,MATCH(W$1,Summary!$B$15:$B$25,0))="x",IF($A23=$A22,W22,SUM(G$2:G23)),0)</f>
        <v>323.84680923612967</v>
      </c>
      <c r="X23" s="33">
        <f ca="1">IF(INDEX(Summary!$C$15:$C$25,MATCH(X$1,Summary!$B$15:$B$25,0))="x",IF($A23=$A22,X22,SUM(H$2:H23)),0)</f>
        <v>148.4381483662699</v>
      </c>
      <c r="Y23" s="33">
        <f ca="1">IF(INDEX(Summary!$C$15:$C$25,MATCH(Y$1,Summary!$B$15:$B$25,0))="x",IF($A23=$A22,Y22,SUM(I$2:I23)),0)</f>
        <v>0</v>
      </c>
      <c r="Z23" s="33">
        <f ca="1">IF(INDEX(Summary!$C$15:$C$25,MATCH(Z$1,Summary!$B$15:$B$25,0))="x",IF($A23=$A22,Z22,SUM(J$2:J23)),0)</f>
        <v>0</v>
      </c>
      <c r="AA23" s="33">
        <f ca="1">IF(INDEX(Summary!$C$15:$C$25,MATCH(AA$1,Summary!$B$15:$B$25,0))="x",IF($A23=$A22,AA22,SUM(K$2:K23)),0)</f>
        <v>0</v>
      </c>
      <c r="AB23" s="33">
        <f ca="1">IF(INDEX(Summary!$C$15:$C$25,MATCH(AB$1,Summary!$B$15:$B$25,0))="x",IF($A23=$A22,AB22,SUM(L$2:L23)),0)</f>
        <v>72.489156125550707</v>
      </c>
    </row>
    <row r="24" spans="1:28" x14ac:dyDescent="0.35">
      <c r="A24" s="5">
        <f t="shared" ca="1" si="0"/>
        <v>44262</v>
      </c>
      <c r="B24" s="33">
        <f ca="1">IF(INDEX(Summary!$C$15:$C$25,MATCH(B$1,Summary!$B$15:$B$25,0))="x",INDEX('Week Selection'!C$3:C$59,MATCH($A24,'Week Selection'!$A$3:$A$59,0)),0)</f>
        <v>0</v>
      </c>
      <c r="C24" s="33">
        <f ca="1">IF(INDEX(Summary!$C$15:$C$24,MATCH(C$1,Summary!$B$15:$B$24,0))="x",INDEX('Week Selection'!D$3:D$59,MATCH($A24,'Week Selection'!$A$3:$A$59,0)),0)</f>
        <v>0</v>
      </c>
      <c r="D24" s="33">
        <f ca="1">IF(INDEX(Summary!$C$15:$C$24,MATCH(D$1,Summary!$B$15:$B$24,0))="x",INDEX('Week Selection'!E$3:E$59,MATCH($A24,'Week Selection'!$A$3:$A$59,0)),0)</f>
        <v>4.8937956633926571</v>
      </c>
      <c r="E24" s="33">
        <f ca="1">IF(INDEX(Summary!$C$15:$C$24,MATCH(E$1,Summary!$B$15:$B$24,0))="x",INDEX('Week Selection'!F$3:F$59,MATCH($A24,'Week Selection'!$A$3:$A$59,0)),0)</f>
        <v>16.676801359047708</v>
      </c>
      <c r="F24" s="33">
        <f ca="1">IF(INDEX(Summary!$C$15:$C$24,MATCH(F$1,Summary!$B$15:$B$24,0))="x",INDEX('Week Selection'!G$3:G$59,MATCH($A24,'Week Selection'!$A$3:$A$59,0)),0)</f>
        <v>4.8250460922233476</v>
      </c>
      <c r="G24" s="33">
        <f ca="1">IF(INDEX(Summary!$C$15:$C$24,MATCH(G$1,Summary!$B$15:$B$24,0))="x",INDEX('Week Selection'!H$3:H$59,MATCH($A24,'Week Selection'!$A$3:$A$59,0)),0)</f>
        <v>8.4324422671566168</v>
      </c>
      <c r="H24" s="33">
        <f ca="1">IF(INDEX(Summary!$C$15:$C$24,MATCH(H$1,Summary!$B$15:$B$24,0))="x",INDEX('Week Selection'!I$3:I$59,MATCH($A24,'Week Selection'!$A$3:$A$59,0)),0)</f>
        <v>9.7398019909278517</v>
      </c>
      <c r="I24" s="33">
        <f ca="1">IF(INDEX(Summary!$C$15:$C$24,MATCH(I$1,Summary!$B$15:$B$24,0))="x",INDEX('Week Selection'!J$3:J$59,MATCH($A24,'Week Selection'!$A$3:$A$59,0)),0)</f>
        <v>0</v>
      </c>
      <c r="J24" s="33">
        <f ca="1">IF(INDEX(Summary!$C$15:$C$24,MATCH(J$1,Summary!$B$15:$B$24,0))="x",INDEX('Week Selection'!K$3:K$59,MATCH($A24,'Week Selection'!$A$3:$A$59,0)),0)</f>
        <v>0</v>
      </c>
      <c r="K24" s="33">
        <f ca="1">IF(INDEX(Summary!$C$15:$C$24,MATCH(K$1,Summary!$B$15:$B$24,0))="x",INDEX('Week Selection'!L$3:L$59,MATCH($A24,'Week Selection'!$A$3:$A$59,0)),0)</f>
        <v>0</v>
      </c>
      <c r="L24" s="33">
        <f ca="1">IF(INDEX(Summary!$C$15:$C$25,MATCH(L$1,Summary!$B$15:$B$25,0))="x",INDEX('Week Selection'!M$3:M$59,MATCH($A24,'Week Selection'!$A$3:$A$59,0)),0)</f>
        <v>13.280684353436628</v>
      </c>
      <c r="M24" s="3"/>
      <c r="N24" s="7">
        <f ca="1">INDEX('Week Selection'!O$3:O$59,MATCH($A24,'Week Selection'!$A$3:$A$59,0))</f>
        <v>0.7863232152880274</v>
      </c>
      <c r="O24" s="7">
        <f ca="1">INDEX('Week Selection'!P$3:P$59,MATCH($A24,'Week Selection'!$A$3:$A$59,0))</f>
        <v>1.3238694015698038</v>
      </c>
      <c r="P24" s="7">
        <f ca="1">INDEX('Week Selection'!Q$3:Q$59,MATCH($A24,'Week Selection'!$A$3:$A$59,0))</f>
        <v>1.2855238161374403</v>
      </c>
      <c r="R24" s="33">
        <f ca="1">IF(INDEX(Summary!$C$15:$C$25,MATCH(R$1,Summary!$B$15:$B$25,0))="x",IF($A24=$A23,R23,SUM(B$2:B24)),0)</f>
        <v>40.243651161885559</v>
      </c>
      <c r="S24" s="33">
        <f ca="1">IF(INDEX(Summary!$C$15:$C$25,MATCH(S$1,Summary!$B$15:$B$25,0))="x",IF($A24=$A23,S23,SUM(C$2:C24)),0)</f>
        <v>72.438572091394008</v>
      </c>
      <c r="T24" s="33">
        <f ca="1">IF(INDEX(Summary!$C$15:$C$25,MATCH(T$1,Summary!$B$15:$B$25,0))="x",IF($A24=$A23,T23,SUM(D$2:D24)),0)</f>
        <v>124.86375288322439</v>
      </c>
      <c r="U24" s="33">
        <f ca="1">IF(INDEX(Summary!$C$15:$C$25,MATCH(U$1,Summary!$B$15:$B$25,0))="x",IF($A24=$A23,U23,SUM(E$2:E24)),0)</f>
        <v>326.71081573970957</v>
      </c>
      <c r="V24" s="33">
        <f ca="1">IF(INDEX(Summary!$C$15:$C$25,MATCH(V$1,Summary!$B$15:$B$25,0))="x",IF($A24=$A23,V23,SUM(F$2:F24)),0)</f>
        <v>65.898699307184501</v>
      </c>
      <c r="W24" s="33">
        <f ca="1">IF(INDEX(Summary!$C$15:$C$25,MATCH(W$1,Summary!$B$15:$B$25,0))="x",IF($A24=$A23,W23,SUM(G$2:G24)),0)</f>
        <v>332.27925150328628</v>
      </c>
      <c r="X24" s="33">
        <f ca="1">IF(INDEX(Summary!$C$15:$C$25,MATCH(X$1,Summary!$B$15:$B$25,0))="x",IF($A24=$A23,X23,SUM(H$2:H24)),0)</f>
        <v>158.17795035719774</v>
      </c>
      <c r="Y24" s="33">
        <f ca="1">IF(INDEX(Summary!$C$15:$C$25,MATCH(Y$1,Summary!$B$15:$B$25,0))="x",IF($A24=$A23,Y23,SUM(I$2:I24)),0)</f>
        <v>0</v>
      </c>
      <c r="Z24" s="33">
        <f ca="1">IF(INDEX(Summary!$C$15:$C$25,MATCH(Z$1,Summary!$B$15:$B$25,0))="x",IF($A24=$A23,Z23,SUM(J$2:J24)),0)</f>
        <v>0</v>
      </c>
      <c r="AA24" s="33">
        <f ca="1">IF(INDEX(Summary!$C$15:$C$25,MATCH(AA$1,Summary!$B$15:$B$25,0))="x",IF($A24=$A23,AA23,SUM(K$2:K24)),0)</f>
        <v>0</v>
      </c>
      <c r="AB24" s="33">
        <f ca="1">IF(INDEX(Summary!$C$15:$C$25,MATCH(AB$1,Summary!$B$15:$B$25,0))="x",IF($A24=$A23,AB23,SUM(L$2:L24)),0)</f>
        <v>85.769840478987334</v>
      </c>
    </row>
    <row r="25" spans="1:28" x14ac:dyDescent="0.35">
      <c r="A25" s="5">
        <f t="shared" ca="1" si="0"/>
        <v>44269</v>
      </c>
      <c r="B25" s="33">
        <f ca="1">IF(INDEX(Summary!$C$15:$C$25,MATCH(B$1,Summary!$B$15:$B$25,0))="x",INDEX('Week Selection'!C$3:C$59,MATCH($A25,'Week Selection'!$A$3:$A$59,0)),0)</f>
        <v>0</v>
      </c>
      <c r="C25" s="33">
        <f ca="1">IF(INDEX(Summary!$C$15:$C$24,MATCH(C$1,Summary!$B$15:$B$24,0))="x",INDEX('Week Selection'!D$3:D$59,MATCH($A25,'Week Selection'!$A$3:$A$59,0)),0)</f>
        <v>0</v>
      </c>
      <c r="D25" s="33">
        <f ca="1">IF(INDEX(Summary!$C$15:$C$24,MATCH(D$1,Summary!$B$15:$B$24,0))="x",INDEX('Week Selection'!E$3:E$59,MATCH($A25,'Week Selection'!$A$3:$A$59,0)),0)</f>
        <v>5.0969702073307772</v>
      </c>
      <c r="E25" s="33">
        <f ca="1">IF(INDEX(Summary!$C$15:$C$24,MATCH(E$1,Summary!$B$15:$B$24,0))="x",INDEX('Week Selection'!F$3:F$59,MATCH($A25,'Week Selection'!$A$3:$A$59,0)),0)</f>
        <v>19.09645088557652</v>
      </c>
      <c r="F25" s="33">
        <f ca="1">IF(INDEX(Summary!$C$15:$C$24,MATCH(F$1,Summary!$B$15:$B$24,0))="x",INDEX('Week Selection'!G$3:G$59,MATCH($A25,'Week Selection'!$A$3:$A$59,0)),0)</f>
        <v>3.0266579309630965</v>
      </c>
      <c r="G25" s="33">
        <f ca="1">IF(INDEX(Summary!$C$15:$C$24,MATCH(G$1,Summary!$B$15:$B$24,0))="x",INDEX('Week Selection'!H$3:H$59,MATCH($A25,'Week Selection'!$A$3:$A$59,0)),0)</f>
        <v>14.188961202133839</v>
      </c>
      <c r="H25" s="33">
        <f ca="1">IF(INDEX(Summary!$C$15:$C$24,MATCH(H$1,Summary!$B$15:$B$24,0))="x",INDEX('Week Selection'!I$3:I$59,MATCH($A25,'Week Selection'!$A$3:$A$59,0)),0)</f>
        <v>9.7973727687244612</v>
      </c>
      <c r="I25" s="33">
        <f ca="1">IF(INDEX(Summary!$C$15:$C$24,MATCH(I$1,Summary!$B$15:$B$24,0))="x",INDEX('Week Selection'!J$3:J$59,MATCH($A25,'Week Selection'!$A$3:$A$59,0)),0)</f>
        <v>0</v>
      </c>
      <c r="J25" s="33">
        <f ca="1">IF(INDEX(Summary!$C$15:$C$24,MATCH(J$1,Summary!$B$15:$B$24,0))="x",INDEX('Week Selection'!K$3:K$59,MATCH($A25,'Week Selection'!$A$3:$A$59,0)),0)</f>
        <v>0</v>
      </c>
      <c r="K25" s="33">
        <f ca="1">IF(INDEX(Summary!$C$15:$C$24,MATCH(K$1,Summary!$B$15:$B$24,0))="x",INDEX('Week Selection'!L$3:L$59,MATCH($A25,'Week Selection'!$A$3:$A$59,0)),0)</f>
        <v>0</v>
      </c>
      <c r="L25" s="33">
        <f ca="1">IF(INDEX(Summary!$C$15:$C$25,MATCH(L$1,Summary!$B$15:$B$25,0))="x",INDEX('Week Selection'!M$3:M$59,MATCH($A25,'Week Selection'!$A$3:$A$59,0)),0)</f>
        <v>7.9878058160240641</v>
      </c>
      <c r="M25" s="3"/>
      <c r="N25" s="7">
        <f ca="1">INDEX('Week Selection'!O$3:O$59,MATCH($A25,'Week Selection'!$A$3:$A$59,0))</f>
        <v>0.79935349467205907</v>
      </c>
      <c r="O25" s="7">
        <f ca="1">INDEX('Week Selection'!P$3:P$59,MATCH($A25,'Week Selection'!$A$3:$A$59,0))</f>
        <v>1.3524312150855493</v>
      </c>
      <c r="P25" s="7">
        <f ca="1">INDEX('Week Selection'!Q$3:Q$59,MATCH($A25,'Week Selection'!$A$3:$A$59,0))</f>
        <v>1.3154270846833946</v>
      </c>
      <c r="R25" s="33">
        <f ca="1">IF(INDEX(Summary!$C$15:$C$25,MATCH(R$1,Summary!$B$15:$B$25,0))="x",IF($A25=$A24,R24,SUM(B$2:B25)),0)</f>
        <v>40.243651161885559</v>
      </c>
      <c r="S25" s="33">
        <f ca="1">IF(INDEX(Summary!$C$15:$C$25,MATCH(S$1,Summary!$B$15:$B$25,0))="x",IF($A25=$A24,S24,SUM(C$2:C25)),0)</f>
        <v>72.438572091394008</v>
      </c>
      <c r="T25" s="33">
        <f ca="1">IF(INDEX(Summary!$C$15:$C$25,MATCH(T$1,Summary!$B$15:$B$25,0))="x",IF($A25=$A24,T24,SUM(D$2:D25)),0)</f>
        <v>129.96072309055518</v>
      </c>
      <c r="U25" s="33">
        <f ca="1">IF(INDEX(Summary!$C$15:$C$25,MATCH(U$1,Summary!$B$15:$B$25,0))="x",IF($A25=$A24,U24,SUM(E$2:E25)),0)</f>
        <v>345.8072666252861</v>
      </c>
      <c r="V25" s="33">
        <f ca="1">IF(INDEX(Summary!$C$15:$C$25,MATCH(V$1,Summary!$B$15:$B$25,0))="x",IF($A25=$A24,V24,SUM(F$2:F25)),0)</f>
        <v>68.925357238147598</v>
      </c>
      <c r="W25" s="33">
        <f ca="1">IF(INDEX(Summary!$C$15:$C$25,MATCH(W$1,Summary!$B$15:$B$25,0))="x",IF($A25=$A24,W24,SUM(G$2:G25)),0)</f>
        <v>346.46821270542011</v>
      </c>
      <c r="X25" s="33">
        <f ca="1">IF(INDEX(Summary!$C$15:$C$25,MATCH(X$1,Summary!$B$15:$B$25,0))="x",IF($A25=$A24,X24,SUM(H$2:H25)),0)</f>
        <v>167.97532312592222</v>
      </c>
      <c r="Y25" s="33">
        <f ca="1">IF(INDEX(Summary!$C$15:$C$25,MATCH(Y$1,Summary!$B$15:$B$25,0))="x",IF($A25=$A24,Y24,SUM(I$2:I25)),0)</f>
        <v>0</v>
      </c>
      <c r="Z25" s="33">
        <f ca="1">IF(INDEX(Summary!$C$15:$C$25,MATCH(Z$1,Summary!$B$15:$B$25,0))="x",IF($A25=$A24,Z24,SUM(J$2:J25)),0)</f>
        <v>0</v>
      </c>
      <c r="AA25" s="33">
        <f ca="1">IF(INDEX(Summary!$C$15:$C$25,MATCH(AA$1,Summary!$B$15:$B$25,0))="x",IF($A25=$A24,AA24,SUM(K$2:K25)),0)</f>
        <v>0</v>
      </c>
      <c r="AB25" s="33">
        <f ca="1">IF(INDEX(Summary!$C$15:$C$25,MATCH(AB$1,Summary!$B$15:$B$25,0))="x",IF($A25=$A24,AB24,SUM(L$2:L25)),0)</f>
        <v>93.757646295011398</v>
      </c>
    </row>
    <row r="26" spans="1:28" x14ac:dyDescent="0.35">
      <c r="A26" s="5">
        <f t="shared" ca="1" si="0"/>
        <v>44276</v>
      </c>
      <c r="B26" s="33">
        <f ca="1">IF(INDEX(Summary!$C$15:$C$25,MATCH(B$1,Summary!$B$15:$B$25,0))="x",INDEX('Week Selection'!C$3:C$59,MATCH($A26,'Week Selection'!$A$3:$A$59,0)),0)</f>
        <v>0</v>
      </c>
      <c r="C26" s="33">
        <f ca="1">IF(INDEX(Summary!$C$15:$C$24,MATCH(C$1,Summary!$B$15:$B$24,0))="x",INDEX('Week Selection'!D$3:D$59,MATCH($A26,'Week Selection'!$A$3:$A$59,0)),0)</f>
        <v>16.097460464754224</v>
      </c>
      <c r="D26" s="33">
        <f ca="1">IF(INDEX(Summary!$C$15:$C$24,MATCH(D$1,Summary!$B$15:$B$24,0))="x",INDEX('Week Selection'!E$3:E$59,MATCH($A26,'Week Selection'!$A$3:$A$59,0)),0)</f>
        <v>4.5869378230582916</v>
      </c>
      <c r="E26" s="33">
        <f ca="1">IF(INDEX(Summary!$C$15:$C$24,MATCH(E$1,Summary!$B$15:$B$24,0))="x",INDEX('Week Selection'!F$3:F$59,MATCH($A26,'Week Selection'!$A$3:$A$59,0)),0)</f>
        <v>14.67943070077116</v>
      </c>
      <c r="F26" s="33">
        <f ca="1">IF(INDEX(Summary!$C$15:$C$24,MATCH(F$1,Summary!$B$15:$B$24,0))="x",INDEX('Week Selection'!G$3:G$59,MATCH($A26,'Week Selection'!$A$3:$A$59,0)),0)</f>
        <v>2.4098680833598549</v>
      </c>
      <c r="G26" s="33">
        <f ca="1">IF(INDEX(Summary!$C$15:$C$24,MATCH(G$1,Summary!$B$15:$B$24,0))="x",INDEX('Week Selection'!H$3:H$59,MATCH($A26,'Week Selection'!$A$3:$A$59,0)),0)</f>
        <v>4.4975074873206289</v>
      </c>
      <c r="H26" s="33">
        <f ca="1">IF(INDEX(Summary!$C$15:$C$24,MATCH(H$1,Summary!$B$15:$B$24,0))="x",INDEX('Week Selection'!I$3:I$59,MATCH($A26,'Week Selection'!$A$3:$A$59,0)),0)</f>
        <v>8.7105147180656193</v>
      </c>
      <c r="I26" s="33">
        <f ca="1">IF(INDEX(Summary!$C$15:$C$24,MATCH(I$1,Summary!$B$15:$B$24,0))="x",INDEX('Week Selection'!J$3:J$59,MATCH($A26,'Week Selection'!$A$3:$A$59,0)),0)</f>
        <v>1.8732860677040732</v>
      </c>
      <c r="J26" s="33">
        <f ca="1">IF(INDEX(Summary!$C$15:$C$24,MATCH(J$1,Summary!$B$15:$B$24,0))="x",INDEX('Week Selection'!K$3:K$59,MATCH($A26,'Week Selection'!$A$3:$A$59,0)),0)</f>
        <v>0</v>
      </c>
      <c r="K26" s="33">
        <f ca="1">IF(INDEX(Summary!$C$15:$C$24,MATCH(K$1,Summary!$B$15:$B$24,0))="x",INDEX('Week Selection'!L$3:L$59,MATCH($A26,'Week Selection'!$A$3:$A$59,0)),0)</f>
        <v>0</v>
      </c>
      <c r="L26" s="33">
        <f ca="1">IF(INDEX(Summary!$C$15:$C$25,MATCH(L$1,Summary!$B$15:$B$25,0))="x",INDEX('Week Selection'!M$3:M$59,MATCH($A26,'Week Selection'!$A$3:$A$59,0)),0)</f>
        <v>0.75792209713355629</v>
      </c>
      <c r="M26" s="3"/>
      <c r="N26" s="7">
        <f ca="1">INDEX('Week Selection'!O$3:O$59,MATCH($A26,'Week Selection'!$A$3:$A$59,0))</f>
        <v>0.66265889224314234</v>
      </c>
      <c r="O26" s="7">
        <f ca="1">INDEX('Week Selection'!P$3:P$59,MATCH($A26,'Week Selection'!$A$3:$A$59,0))</f>
        <v>1.2256497404777278</v>
      </c>
      <c r="P26" s="7">
        <f ca="1">INDEX('Week Selection'!Q$3:Q$59,MATCH($A26,'Week Selection'!$A$3:$A$59,0))</f>
        <v>1.1913983876037202</v>
      </c>
      <c r="R26" s="33">
        <f ca="1">IF(INDEX(Summary!$C$15:$C$25,MATCH(R$1,Summary!$B$15:$B$25,0))="x",IF($A26=$A25,R25,SUM(B$2:B26)),0)</f>
        <v>40.243651161885559</v>
      </c>
      <c r="S26" s="33">
        <f ca="1">IF(INDEX(Summary!$C$15:$C$25,MATCH(S$1,Summary!$B$15:$B$25,0))="x",IF($A26=$A25,S25,SUM(C$2:C26)),0)</f>
        <v>88.536032556148228</v>
      </c>
      <c r="T26" s="33">
        <f ca="1">IF(INDEX(Summary!$C$15:$C$25,MATCH(T$1,Summary!$B$15:$B$25,0))="x",IF($A26=$A25,T25,SUM(D$2:D26)),0)</f>
        <v>134.54766091361347</v>
      </c>
      <c r="U26" s="33">
        <f ca="1">IF(INDEX(Summary!$C$15:$C$25,MATCH(U$1,Summary!$B$15:$B$25,0))="x",IF($A26=$A25,U25,SUM(E$2:E26)),0)</f>
        <v>360.48669732605725</v>
      </c>
      <c r="V26" s="33">
        <f ca="1">IF(INDEX(Summary!$C$15:$C$25,MATCH(V$1,Summary!$B$15:$B$25,0))="x",IF($A26=$A25,V25,SUM(F$2:F26)),0)</f>
        <v>71.335225321507451</v>
      </c>
      <c r="W26" s="33">
        <f ca="1">IF(INDEX(Summary!$C$15:$C$25,MATCH(W$1,Summary!$B$15:$B$25,0))="x",IF($A26=$A25,W25,SUM(G$2:G26)),0)</f>
        <v>350.96572019274072</v>
      </c>
      <c r="X26" s="33">
        <f ca="1">IF(INDEX(Summary!$C$15:$C$25,MATCH(X$1,Summary!$B$15:$B$25,0))="x",IF($A26=$A25,X25,SUM(H$2:H26)),0)</f>
        <v>176.68583784398783</v>
      </c>
      <c r="Y26" s="33">
        <f ca="1">IF(INDEX(Summary!$C$15:$C$25,MATCH(Y$1,Summary!$B$15:$B$25,0))="x",IF($A26=$A25,Y25,SUM(I$2:I26)),0)</f>
        <v>1.8732860677040732</v>
      </c>
      <c r="Z26" s="33">
        <f ca="1">IF(INDEX(Summary!$C$15:$C$25,MATCH(Z$1,Summary!$B$15:$B$25,0))="x",IF($A26=$A25,Z25,SUM(J$2:J26)),0)</f>
        <v>0</v>
      </c>
      <c r="AA26" s="33">
        <f ca="1">IF(INDEX(Summary!$C$15:$C$25,MATCH(AA$1,Summary!$B$15:$B$25,0))="x",IF($A26=$A25,AA25,SUM(K$2:K26)),0)</f>
        <v>0</v>
      </c>
      <c r="AB26" s="33">
        <f ca="1">IF(INDEX(Summary!$C$15:$C$25,MATCH(AB$1,Summary!$B$15:$B$25,0))="x",IF($A26=$A25,AB25,SUM(L$2:L26)),0)</f>
        <v>94.515568392144957</v>
      </c>
    </row>
    <row r="27" spans="1:28" x14ac:dyDescent="0.35">
      <c r="A27" s="5">
        <f t="shared" ca="1" si="0"/>
        <v>44283</v>
      </c>
      <c r="B27" s="33">
        <f ca="1">IF(INDEX(Summary!$C$15:$C$25,MATCH(B$1,Summary!$B$15:$B$25,0))="x",INDEX('Week Selection'!C$3:C$59,MATCH($A27,'Week Selection'!$A$3:$A$59,0)),0)</f>
        <v>0</v>
      </c>
      <c r="C27" s="33">
        <f ca="1">IF(INDEX(Summary!$C$15:$C$24,MATCH(C$1,Summary!$B$15:$B$24,0))="x",INDEX('Week Selection'!D$3:D$59,MATCH($A27,'Week Selection'!$A$3:$A$59,0)),0)</f>
        <v>0</v>
      </c>
      <c r="D27" s="33">
        <f ca="1">IF(INDEX(Summary!$C$15:$C$24,MATCH(D$1,Summary!$B$15:$B$24,0))="x",INDEX('Week Selection'!E$3:E$59,MATCH($A27,'Week Selection'!$A$3:$A$59,0)),0)</f>
        <v>5.9035200495656088</v>
      </c>
      <c r="E27" s="33">
        <f ca="1">IF(INDEX(Summary!$C$15:$C$24,MATCH(E$1,Summary!$B$15:$B$24,0))="x",INDEX('Week Selection'!F$3:F$59,MATCH($A27,'Week Selection'!$A$3:$A$59,0)),0)</f>
        <v>13.544783313903485</v>
      </c>
      <c r="F27" s="33">
        <f ca="1">IF(INDEX(Summary!$C$15:$C$24,MATCH(F$1,Summary!$B$15:$B$24,0))="x",INDEX('Week Selection'!G$3:G$59,MATCH($A27,'Week Selection'!$A$3:$A$59,0)),0)</f>
        <v>3.830972014804487</v>
      </c>
      <c r="G27" s="33">
        <f ca="1">IF(INDEX(Summary!$C$15:$C$24,MATCH(G$1,Summary!$B$15:$B$24,0))="x",INDEX('Week Selection'!H$3:H$59,MATCH($A27,'Week Selection'!$A$3:$A$59,0)),0)</f>
        <v>5.929510740340346</v>
      </c>
      <c r="H27" s="33">
        <f ca="1">IF(INDEX(Summary!$C$15:$C$24,MATCH(H$1,Summary!$B$15:$B$24,0))="x",INDEX('Week Selection'!I$3:I$59,MATCH($A27,'Week Selection'!$A$3:$A$59,0)),0)</f>
        <v>10.189748367915417</v>
      </c>
      <c r="I27" s="33">
        <f ca="1">IF(INDEX(Summary!$C$15:$C$24,MATCH(I$1,Summary!$B$15:$B$24,0))="x",INDEX('Week Selection'!J$3:J$59,MATCH($A27,'Week Selection'!$A$3:$A$59,0)),0)</f>
        <v>8.3564264817796055</v>
      </c>
      <c r="J27" s="33">
        <f ca="1">IF(INDEX(Summary!$C$15:$C$24,MATCH(J$1,Summary!$B$15:$B$24,0))="x",INDEX('Week Selection'!K$3:K$59,MATCH($A27,'Week Selection'!$A$3:$A$59,0)),0)</f>
        <v>0</v>
      </c>
      <c r="K27" s="33">
        <f ca="1">IF(INDEX(Summary!$C$15:$C$24,MATCH(K$1,Summary!$B$15:$B$24,0))="x",INDEX('Week Selection'!L$3:L$59,MATCH($A27,'Week Selection'!$A$3:$A$59,0)),0)</f>
        <v>0</v>
      </c>
      <c r="L27" s="33">
        <f ca="1">IF(INDEX(Summary!$C$15:$C$25,MATCH(L$1,Summary!$B$15:$B$25,0))="x",INDEX('Week Selection'!M$3:M$59,MATCH($A27,'Week Selection'!$A$3:$A$59,0)),0)</f>
        <v>5.5488728737251556</v>
      </c>
      <c r="M27" s="3"/>
      <c r="N27" s="7">
        <f ca="1">INDEX('Week Selection'!O$3:O$59,MATCH($A27,'Week Selection'!$A$3:$A$59,0))</f>
        <v>0.75061396159401306</v>
      </c>
      <c r="O27" s="7">
        <f ca="1">INDEX('Week Selection'!P$3:P$59,MATCH($A27,'Week Selection'!$A$3:$A$59,0))</f>
        <v>1.1850078448117123</v>
      </c>
      <c r="P27" s="7">
        <f ca="1">INDEX('Week Selection'!Q$3:Q$59,MATCH($A27,'Week Selection'!$A$3:$A$59,0))</f>
        <v>1.1845296409340913</v>
      </c>
      <c r="R27" s="33">
        <f ca="1">IF(INDEX(Summary!$C$15:$C$25,MATCH(R$1,Summary!$B$15:$B$25,0))="x",IF($A27=$A26,R26,SUM(B$2:B27)),0)</f>
        <v>40.243651161885559</v>
      </c>
      <c r="S27" s="33">
        <f ca="1">IF(INDEX(Summary!$C$15:$C$25,MATCH(S$1,Summary!$B$15:$B$25,0))="x",IF($A27=$A26,S26,SUM(C$2:C27)),0)</f>
        <v>88.536032556148228</v>
      </c>
      <c r="T27" s="33">
        <f ca="1">IF(INDEX(Summary!$C$15:$C$25,MATCH(T$1,Summary!$B$15:$B$25,0))="x",IF($A27=$A26,T26,SUM(D$2:D27)),0)</f>
        <v>140.45118096317907</v>
      </c>
      <c r="U27" s="33">
        <f ca="1">IF(INDEX(Summary!$C$15:$C$25,MATCH(U$1,Summary!$B$15:$B$25,0))="x",IF($A27=$A26,U26,SUM(E$2:E27)),0)</f>
        <v>374.03148063996076</v>
      </c>
      <c r="V27" s="33">
        <f ca="1">IF(INDEX(Summary!$C$15:$C$25,MATCH(V$1,Summary!$B$15:$B$25,0))="x",IF($A27=$A26,V26,SUM(F$2:F27)),0)</f>
        <v>75.166197336311939</v>
      </c>
      <c r="W27" s="33">
        <f ca="1">IF(INDEX(Summary!$C$15:$C$25,MATCH(W$1,Summary!$B$15:$B$25,0))="x",IF($A27=$A26,W26,SUM(G$2:G27)),0)</f>
        <v>356.89523093308105</v>
      </c>
      <c r="X27" s="33">
        <f ca="1">IF(INDEX(Summary!$C$15:$C$25,MATCH(X$1,Summary!$B$15:$B$25,0))="x",IF($A27=$A26,X26,SUM(H$2:H27)),0)</f>
        <v>186.87558621190325</v>
      </c>
      <c r="Y27" s="33">
        <f ca="1">IF(INDEX(Summary!$C$15:$C$25,MATCH(Y$1,Summary!$B$15:$B$25,0))="x",IF($A27=$A26,Y26,SUM(I$2:I27)),0)</f>
        <v>10.229712549483679</v>
      </c>
      <c r="Z27" s="33">
        <f ca="1">IF(INDEX(Summary!$C$15:$C$25,MATCH(Z$1,Summary!$B$15:$B$25,0))="x",IF($A27=$A26,Z26,SUM(J$2:J27)),0)</f>
        <v>0</v>
      </c>
      <c r="AA27" s="33">
        <f ca="1">IF(INDEX(Summary!$C$15:$C$25,MATCH(AA$1,Summary!$B$15:$B$25,0))="x",IF($A27=$A26,AA26,SUM(K$2:K27)),0)</f>
        <v>0</v>
      </c>
      <c r="AB27" s="33">
        <f ca="1">IF(INDEX(Summary!$C$15:$C$25,MATCH(AB$1,Summary!$B$15:$B$25,0))="x",IF($A27=$A26,AB26,SUM(L$2:L27)),0)</f>
        <v>100.06444126587012</v>
      </c>
    </row>
    <row r="28" spans="1:28" x14ac:dyDescent="0.35">
      <c r="A28" s="5">
        <f t="shared" ca="1" si="0"/>
        <v>44290</v>
      </c>
      <c r="B28" s="33">
        <f ca="1">IF(INDEX(Summary!$C$15:$C$25,MATCH(B$1,Summary!$B$15:$B$25,0))="x",INDEX('Week Selection'!C$3:C$59,MATCH($A28,'Week Selection'!$A$3:$A$59,0)),0)</f>
        <v>0</v>
      </c>
      <c r="C28" s="33">
        <f ca="1">IF(INDEX(Summary!$C$15:$C$24,MATCH(C$1,Summary!$B$15:$B$24,0))="x",INDEX('Week Selection'!D$3:D$59,MATCH($A28,'Week Selection'!$A$3:$A$59,0)),0)</f>
        <v>0</v>
      </c>
      <c r="D28" s="33">
        <f ca="1">IF(INDEX(Summary!$C$15:$C$24,MATCH(D$1,Summary!$B$15:$B$24,0))="x",INDEX('Week Selection'!E$3:E$59,MATCH($A28,'Week Selection'!$A$3:$A$59,0)),0)</f>
        <v>7.2698479004587657</v>
      </c>
      <c r="E28" s="33">
        <f ca="1">IF(INDEX(Summary!$C$15:$C$24,MATCH(E$1,Summary!$B$15:$B$24,0))="x",INDEX('Week Selection'!F$3:F$59,MATCH($A28,'Week Selection'!$A$3:$A$59,0)),0)</f>
        <v>16.108080317166991</v>
      </c>
      <c r="F28" s="33">
        <f ca="1">IF(INDEX(Summary!$C$15:$C$24,MATCH(F$1,Summary!$B$15:$B$24,0))="x",INDEX('Week Selection'!G$3:G$59,MATCH($A28,'Week Selection'!$A$3:$A$59,0)),0)</f>
        <v>5.5052755847895147</v>
      </c>
      <c r="G28" s="33">
        <f ca="1">IF(INDEX(Summary!$C$15:$C$24,MATCH(G$1,Summary!$B$15:$B$24,0))="x",INDEX('Week Selection'!H$3:H$59,MATCH($A28,'Week Selection'!$A$3:$A$59,0)),0)</f>
        <v>5.0964112677763387</v>
      </c>
      <c r="H28" s="33">
        <f ca="1">IF(INDEX(Summary!$C$15:$C$24,MATCH(H$1,Summary!$B$15:$B$24,0))="x",INDEX('Week Selection'!I$3:I$59,MATCH($A28,'Week Selection'!$A$3:$A$59,0)),0)</f>
        <v>14.424833713783883</v>
      </c>
      <c r="I28" s="33">
        <f ca="1">IF(INDEX(Summary!$C$15:$C$24,MATCH(I$1,Summary!$B$15:$B$24,0))="x",INDEX('Week Selection'!J$3:J$59,MATCH($A28,'Week Selection'!$A$3:$A$59,0)),0)</f>
        <v>8.7982682354913386</v>
      </c>
      <c r="J28" s="33">
        <f ca="1">IF(INDEX(Summary!$C$15:$C$24,MATCH(J$1,Summary!$B$15:$B$24,0))="x",INDEX('Week Selection'!K$3:K$59,MATCH($A28,'Week Selection'!$A$3:$A$59,0)),0)</f>
        <v>0</v>
      </c>
      <c r="K28" s="33">
        <f ca="1">IF(INDEX(Summary!$C$15:$C$24,MATCH(K$1,Summary!$B$15:$B$24,0))="x",INDEX('Week Selection'!L$3:L$59,MATCH($A28,'Week Selection'!$A$3:$A$59,0)),0)</f>
        <v>0</v>
      </c>
      <c r="L28" s="33">
        <f ca="1">IF(INDEX(Summary!$C$15:$C$25,MATCH(L$1,Summary!$B$15:$B$25,0))="x",INDEX('Week Selection'!M$3:M$59,MATCH($A28,'Week Selection'!$A$3:$A$59,0)),0)</f>
        <v>3.4215487580611854</v>
      </c>
      <c r="M28" s="3"/>
      <c r="N28" s="7">
        <f ca="1">INDEX('Week Selection'!O$3:O$59,MATCH($A28,'Week Selection'!$A$3:$A$59,0))</f>
        <v>0.79352654937781864</v>
      </c>
      <c r="O28" s="7">
        <f ca="1">INDEX('Week Selection'!P$3:P$59,MATCH($A28,'Week Selection'!$A$3:$A$59,0))</f>
        <v>1.3338604469267312</v>
      </c>
      <c r="P28" s="7">
        <f ca="1">INDEX('Week Selection'!Q$3:Q$59,MATCH($A28,'Week Selection'!$A$3:$A$59,0))</f>
        <v>1.3472059061672892</v>
      </c>
      <c r="R28" s="33">
        <f ca="1">IF(INDEX(Summary!$C$15:$C$25,MATCH(R$1,Summary!$B$15:$B$25,0))="x",IF($A28=$A27,R27,SUM(B$2:B28)),0)</f>
        <v>40.243651161885559</v>
      </c>
      <c r="S28" s="33">
        <f ca="1">IF(INDEX(Summary!$C$15:$C$25,MATCH(S$1,Summary!$B$15:$B$25,0))="x",IF($A28=$A27,S27,SUM(C$2:C28)),0)</f>
        <v>88.536032556148228</v>
      </c>
      <c r="T28" s="33">
        <f ca="1">IF(INDEX(Summary!$C$15:$C$25,MATCH(T$1,Summary!$B$15:$B$25,0))="x",IF($A28=$A27,T27,SUM(D$2:D28)),0)</f>
        <v>147.72102886363783</v>
      </c>
      <c r="U28" s="33">
        <f ca="1">IF(INDEX(Summary!$C$15:$C$25,MATCH(U$1,Summary!$B$15:$B$25,0))="x",IF($A28=$A27,U27,SUM(E$2:E28)),0)</f>
        <v>390.13956095712774</v>
      </c>
      <c r="V28" s="33">
        <f ca="1">IF(INDEX(Summary!$C$15:$C$25,MATCH(V$1,Summary!$B$15:$B$25,0))="x",IF($A28=$A27,V27,SUM(F$2:F28)),0)</f>
        <v>80.671472921101454</v>
      </c>
      <c r="W28" s="33">
        <f ca="1">IF(INDEX(Summary!$C$15:$C$25,MATCH(W$1,Summary!$B$15:$B$25,0))="x",IF($A28=$A27,W27,SUM(G$2:G28)),0)</f>
        <v>361.99164220085737</v>
      </c>
      <c r="X28" s="33">
        <f ca="1">IF(INDEX(Summary!$C$15:$C$25,MATCH(X$1,Summary!$B$15:$B$25,0))="x",IF($A28=$A27,X27,SUM(H$2:H28)),0)</f>
        <v>201.30041992568715</v>
      </c>
      <c r="Y28" s="33">
        <f ca="1">IF(INDEX(Summary!$C$15:$C$25,MATCH(Y$1,Summary!$B$15:$B$25,0))="x",IF($A28=$A27,Y27,SUM(I$2:I28)),0)</f>
        <v>19.027980784975018</v>
      </c>
      <c r="Z28" s="33">
        <f ca="1">IF(INDEX(Summary!$C$15:$C$25,MATCH(Z$1,Summary!$B$15:$B$25,0))="x",IF($A28=$A27,Z27,SUM(J$2:J28)),0)</f>
        <v>0</v>
      </c>
      <c r="AA28" s="33">
        <f ca="1">IF(INDEX(Summary!$C$15:$C$25,MATCH(AA$1,Summary!$B$15:$B$25,0))="x",IF($A28=$A27,AA27,SUM(K$2:K28)),0)</f>
        <v>0</v>
      </c>
      <c r="AB28" s="33">
        <f ca="1">IF(INDEX(Summary!$C$15:$C$25,MATCH(AB$1,Summary!$B$15:$B$25,0))="x",IF($A28=$A27,AB27,SUM(L$2:L28)),0)</f>
        <v>103.48599002393131</v>
      </c>
    </row>
    <row r="29" spans="1:28" x14ac:dyDescent="0.35">
      <c r="A29" s="5">
        <f t="shared" ca="1" si="0"/>
        <v>44297</v>
      </c>
      <c r="B29" s="33">
        <f ca="1">IF(INDEX(Summary!$C$15:$C$25,MATCH(B$1,Summary!$B$15:$B$25,0))="x",INDEX('Week Selection'!C$3:C$59,MATCH($A29,'Week Selection'!$A$3:$A$59,0)),0)</f>
        <v>0</v>
      </c>
      <c r="C29" s="33">
        <f ca="1">IF(INDEX(Summary!$C$15:$C$24,MATCH(C$1,Summary!$B$15:$B$24,0))="x",INDEX('Week Selection'!D$3:D$59,MATCH($A29,'Week Selection'!$A$3:$A$59,0)),0)</f>
        <v>0</v>
      </c>
      <c r="D29" s="33">
        <f ca="1">IF(INDEX(Summary!$C$15:$C$24,MATCH(D$1,Summary!$B$15:$B$24,0))="x",INDEX('Week Selection'!E$3:E$59,MATCH($A29,'Week Selection'!$A$3:$A$59,0)),0)</f>
        <v>3.3418998654924774</v>
      </c>
      <c r="E29" s="33">
        <f ca="1">IF(INDEX(Summary!$C$15:$C$24,MATCH(E$1,Summary!$B$15:$B$24,0))="x",INDEX('Week Selection'!F$3:F$59,MATCH($A29,'Week Selection'!$A$3:$A$59,0)),0)</f>
        <v>16.16369480696228</v>
      </c>
      <c r="F29" s="33">
        <f ca="1">IF(INDEX(Summary!$C$15:$C$24,MATCH(F$1,Summary!$B$15:$B$24,0))="x",INDEX('Week Selection'!G$3:G$59,MATCH($A29,'Week Selection'!$A$3:$A$59,0)),0)</f>
        <v>8.5612778449081013</v>
      </c>
      <c r="G29" s="33">
        <f ca="1">IF(INDEX(Summary!$C$15:$C$24,MATCH(G$1,Summary!$B$15:$B$24,0))="x",INDEX('Week Selection'!H$3:H$59,MATCH($A29,'Week Selection'!$A$3:$A$59,0)),0)</f>
        <v>2.8382952861838802</v>
      </c>
      <c r="H29" s="33">
        <f ca="1">IF(INDEX(Summary!$C$15:$C$24,MATCH(H$1,Summary!$B$15:$B$24,0))="x",INDEX('Week Selection'!I$3:I$59,MATCH($A29,'Week Selection'!$A$3:$A$59,0)),0)</f>
        <v>18.503974909909012</v>
      </c>
      <c r="I29" s="33">
        <f ca="1">IF(INDEX(Summary!$C$15:$C$24,MATCH(I$1,Summary!$B$15:$B$24,0))="x",INDEX('Week Selection'!J$3:J$59,MATCH($A29,'Week Selection'!$A$3:$A$59,0)),0)</f>
        <v>2.9693666221531174</v>
      </c>
      <c r="J29" s="33">
        <f ca="1">IF(INDEX(Summary!$C$15:$C$24,MATCH(J$1,Summary!$B$15:$B$24,0))="x",INDEX('Week Selection'!K$3:K$59,MATCH($A29,'Week Selection'!$A$3:$A$59,0)),0)</f>
        <v>0</v>
      </c>
      <c r="K29" s="33">
        <f ca="1">IF(INDEX(Summary!$C$15:$C$24,MATCH(K$1,Summary!$B$15:$B$24,0))="x",INDEX('Week Selection'!L$3:L$59,MATCH($A29,'Week Selection'!$A$3:$A$59,0)),0)</f>
        <v>0</v>
      </c>
      <c r="L29" s="33">
        <f ca="1">IF(INDEX(Summary!$C$15:$C$25,MATCH(L$1,Summary!$B$15:$B$25,0))="x",INDEX('Week Selection'!M$3:M$59,MATCH($A29,'Week Selection'!$A$3:$A$59,0)),0)</f>
        <v>3.2457622542231159</v>
      </c>
      <c r="M29" s="3"/>
      <c r="N29" s="7">
        <f ca="1">INDEX('Week Selection'!O$3:O$59,MATCH($A29,'Week Selection'!$A$3:$A$59,0))</f>
        <v>0.68893497681172811</v>
      </c>
      <c r="O29" s="7">
        <f ca="1">INDEX('Week Selection'!P$3:P$59,MATCH($A29,'Week Selection'!$A$3:$A$59,0))</f>
        <v>1.3070592931084877</v>
      </c>
      <c r="P29" s="7">
        <f ca="1">INDEX('Week Selection'!Q$3:Q$59,MATCH($A29,'Week Selection'!$A$3:$A$59,0))</f>
        <v>1.2360949242184884</v>
      </c>
      <c r="R29" s="33">
        <f ca="1">IF(INDEX(Summary!$C$15:$C$25,MATCH(R$1,Summary!$B$15:$B$25,0))="x",IF($A29=$A28,R28,SUM(B$2:B29)),0)</f>
        <v>40.243651161885559</v>
      </c>
      <c r="S29" s="33">
        <f ca="1">IF(INDEX(Summary!$C$15:$C$25,MATCH(S$1,Summary!$B$15:$B$25,0))="x",IF($A29=$A28,S28,SUM(C$2:C29)),0)</f>
        <v>88.536032556148228</v>
      </c>
      <c r="T29" s="33">
        <f ca="1">IF(INDEX(Summary!$C$15:$C$25,MATCH(T$1,Summary!$B$15:$B$25,0))="x",IF($A29=$A28,T28,SUM(D$2:D29)),0)</f>
        <v>151.06292872913031</v>
      </c>
      <c r="U29" s="33">
        <f ca="1">IF(INDEX(Summary!$C$15:$C$25,MATCH(U$1,Summary!$B$15:$B$25,0))="x",IF($A29=$A28,U28,SUM(E$2:E29)),0)</f>
        <v>406.30325576409001</v>
      </c>
      <c r="V29" s="33">
        <f ca="1">IF(INDEX(Summary!$C$15:$C$25,MATCH(V$1,Summary!$B$15:$B$25,0))="x",IF($A29=$A28,V28,SUM(F$2:F29)),0)</f>
        <v>89.232750766009559</v>
      </c>
      <c r="W29" s="33">
        <f ca="1">IF(INDEX(Summary!$C$15:$C$25,MATCH(W$1,Summary!$B$15:$B$25,0))="x",IF($A29=$A28,W28,SUM(G$2:G29)),0)</f>
        <v>364.82993748704126</v>
      </c>
      <c r="X29" s="33">
        <f ca="1">IF(INDEX(Summary!$C$15:$C$25,MATCH(X$1,Summary!$B$15:$B$25,0))="x",IF($A29=$A28,X28,SUM(H$2:H29)),0)</f>
        <v>219.80439483559616</v>
      </c>
      <c r="Y29" s="33">
        <f ca="1">IF(INDEX(Summary!$C$15:$C$25,MATCH(Y$1,Summary!$B$15:$B$25,0))="x",IF($A29=$A28,Y28,SUM(I$2:I29)),0)</f>
        <v>21.997347407128135</v>
      </c>
      <c r="Z29" s="33">
        <f ca="1">IF(INDEX(Summary!$C$15:$C$25,MATCH(Z$1,Summary!$B$15:$B$25,0))="x",IF($A29=$A28,Z28,SUM(J$2:J29)),0)</f>
        <v>0</v>
      </c>
      <c r="AA29" s="33">
        <f ca="1">IF(INDEX(Summary!$C$15:$C$25,MATCH(AA$1,Summary!$B$15:$B$25,0))="x",IF($A29=$A28,AA28,SUM(K$2:K29)),0)</f>
        <v>0</v>
      </c>
      <c r="AB29" s="33">
        <f ca="1">IF(INDEX(Summary!$C$15:$C$25,MATCH(AB$1,Summary!$B$15:$B$25,0))="x",IF($A29=$A28,AB28,SUM(L$2:L29)),0)</f>
        <v>106.73175227815442</v>
      </c>
    </row>
    <row r="30" spans="1:28" x14ac:dyDescent="0.35">
      <c r="A30" s="5">
        <f t="shared" ca="1" si="0"/>
        <v>44304</v>
      </c>
      <c r="B30" s="33">
        <f ca="1">IF(INDEX(Summary!$C$15:$C$25,MATCH(B$1,Summary!$B$15:$B$25,0))="x",INDEX('Week Selection'!C$3:C$59,MATCH($A30,'Week Selection'!$A$3:$A$59,0)),0)</f>
        <v>0</v>
      </c>
      <c r="C30" s="33">
        <f ca="1">IF(INDEX(Summary!$C$15:$C$24,MATCH(C$1,Summary!$B$15:$B$24,0))="x",INDEX('Week Selection'!D$3:D$59,MATCH($A30,'Week Selection'!$A$3:$A$59,0)),0)</f>
        <v>12.073095348477825</v>
      </c>
      <c r="D30" s="33">
        <f ca="1">IF(INDEX(Summary!$C$15:$C$24,MATCH(D$1,Summary!$B$15:$B$24,0))="x",INDEX('Week Selection'!E$3:E$59,MATCH($A30,'Week Selection'!$A$3:$A$59,0)),0)</f>
        <v>2.2332431695752248</v>
      </c>
      <c r="E30" s="33">
        <f ca="1">IF(INDEX(Summary!$C$15:$C$24,MATCH(E$1,Summary!$B$15:$B$24,0))="x",INDEX('Week Selection'!F$3:F$59,MATCH($A30,'Week Selection'!$A$3:$A$59,0)),0)</f>
        <v>6.2740970045522753</v>
      </c>
      <c r="F30" s="33">
        <f ca="1">IF(INDEX(Summary!$C$15:$C$24,MATCH(F$1,Summary!$B$15:$B$24,0))="x",INDEX('Week Selection'!G$3:G$59,MATCH($A30,'Week Selection'!$A$3:$A$59,0)),0)</f>
        <v>3.5224373556311184</v>
      </c>
      <c r="G30" s="33">
        <f ca="1">IF(INDEX(Summary!$C$15:$C$24,MATCH(G$1,Summary!$B$15:$B$24,0))="x",INDEX('Week Selection'!H$3:H$59,MATCH($A30,'Week Selection'!$A$3:$A$59,0)),0)</f>
        <v>0.14616270516888966</v>
      </c>
      <c r="H30" s="33">
        <f ca="1">IF(INDEX(Summary!$C$15:$C$24,MATCH(H$1,Summary!$B$15:$B$24,0))="x",INDEX('Week Selection'!I$3:I$59,MATCH($A30,'Week Selection'!$A$3:$A$59,0)),0)</f>
        <v>12.301142705487294</v>
      </c>
      <c r="I30" s="33">
        <f ca="1">IF(INDEX(Summary!$C$15:$C$24,MATCH(I$1,Summary!$B$15:$B$24,0))="x",INDEX('Week Selection'!J$3:J$59,MATCH($A30,'Week Selection'!$A$3:$A$59,0)),0)</f>
        <v>8.6456777239530691</v>
      </c>
      <c r="J30" s="33">
        <f ca="1">IF(INDEX(Summary!$C$15:$C$24,MATCH(J$1,Summary!$B$15:$B$24,0))="x",INDEX('Week Selection'!K$3:K$59,MATCH($A30,'Week Selection'!$A$3:$A$59,0)),0)</f>
        <v>2.6929709900831185</v>
      </c>
      <c r="K30" s="33">
        <f ca="1">IF(INDEX(Summary!$C$15:$C$24,MATCH(K$1,Summary!$B$15:$B$24,0))="x",INDEX('Week Selection'!L$3:L$59,MATCH($A30,'Week Selection'!$A$3:$A$59,0)),0)</f>
        <v>0</v>
      </c>
      <c r="L30" s="33">
        <f ca="1">IF(INDEX(Summary!$C$15:$C$25,MATCH(L$1,Summary!$B$15:$B$25,0))="x",INDEX('Week Selection'!M$3:M$59,MATCH($A30,'Week Selection'!$A$3:$A$59,0)),0)</f>
        <v>0</v>
      </c>
      <c r="M30" s="3"/>
      <c r="N30" s="7">
        <f ca="1">INDEX('Week Selection'!O$3:O$59,MATCH($A30,'Week Selection'!$A$3:$A$59,0))</f>
        <v>0.85172182243247285</v>
      </c>
      <c r="O30" s="7">
        <f ca="1">INDEX('Week Selection'!P$3:P$59,MATCH($A30,'Week Selection'!$A$3:$A$59,0))</f>
        <v>1.1413895958338398</v>
      </c>
      <c r="P30" s="7">
        <f ca="1">INDEX('Week Selection'!Q$3:Q$59,MATCH($A30,'Week Selection'!$A$3:$A$59,0))</f>
        <v>1.0641961556206405</v>
      </c>
      <c r="R30" s="33">
        <f ca="1">IF(INDEX(Summary!$C$15:$C$25,MATCH(R$1,Summary!$B$15:$B$25,0))="x",IF($A30=$A29,R29,SUM(B$2:B30)),0)</f>
        <v>40.243651161885559</v>
      </c>
      <c r="S30" s="33">
        <f ca="1">IF(INDEX(Summary!$C$15:$C$25,MATCH(S$1,Summary!$B$15:$B$25,0))="x",IF($A30=$A29,S29,SUM(C$2:C30)),0)</f>
        <v>100.60912790462605</v>
      </c>
      <c r="T30" s="33">
        <f ca="1">IF(INDEX(Summary!$C$15:$C$25,MATCH(T$1,Summary!$B$15:$B$25,0))="x",IF($A30=$A29,T29,SUM(D$2:D30)),0)</f>
        <v>153.29617189870552</v>
      </c>
      <c r="U30" s="33">
        <f ca="1">IF(INDEX(Summary!$C$15:$C$25,MATCH(U$1,Summary!$B$15:$B$25,0))="x",IF($A30=$A29,U29,SUM(E$2:E30)),0)</f>
        <v>412.5773527686423</v>
      </c>
      <c r="V30" s="33">
        <f ca="1">IF(INDEX(Summary!$C$15:$C$25,MATCH(V$1,Summary!$B$15:$B$25,0))="x",IF($A30=$A29,V29,SUM(F$2:F30)),0)</f>
        <v>92.755188121640671</v>
      </c>
      <c r="W30" s="33">
        <f ca="1">IF(INDEX(Summary!$C$15:$C$25,MATCH(W$1,Summary!$B$15:$B$25,0))="x",IF($A30=$A29,W29,SUM(G$2:G30)),0)</f>
        <v>364.97610019221014</v>
      </c>
      <c r="X30" s="33">
        <f ca="1">IF(INDEX(Summary!$C$15:$C$25,MATCH(X$1,Summary!$B$15:$B$25,0))="x",IF($A30=$A29,X29,SUM(H$2:H30)),0)</f>
        <v>232.10553754108344</v>
      </c>
      <c r="Y30" s="33">
        <f ca="1">IF(INDEX(Summary!$C$15:$C$25,MATCH(Y$1,Summary!$B$15:$B$25,0))="x",IF($A30=$A29,Y29,SUM(I$2:I30)),0)</f>
        <v>30.643025131081203</v>
      </c>
      <c r="Z30" s="33">
        <f ca="1">IF(INDEX(Summary!$C$15:$C$25,MATCH(Z$1,Summary!$B$15:$B$25,0))="x",IF($A30=$A29,Z29,SUM(J$2:J30)),0)</f>
        <v>2.6929709900831185</v>
      </c>
      <c r="AA30" s="33">
        <f ca="1">IF(INDEX(Summary!$C$15:$C$25,MATCH(AA$1,Summary!$B$15:$B$25,0))="x",IF($A30=$A29,AA29,SUM(K$2:K30)),0)</f>
        <v>0</v>
      </c>
      <c r="AB30" s="33">
        <f ca="1">IF(INDEX(Summary!$C$15:$C$25,MATCH(AB$1,Summary!$B$15:$B$25,0))="x",IF($A30=$A29,AB29,SUM(L$2:L30)),0)</f>
        <v>106.73175227815442</v>
      </c>
    </row>
    <row r="31" spans="1:28" x14ac:dyDescent="0.35">
      <c r="A31" s="5">
        <f t="shared" ca="1" si="0"/>
        <v>44311</v>
      </c>
      <c r="B31" s="33">
        <f ca="1">IF(INDEX(Summary!$C$15:$C$25,MATCH(B$1,Summary!$B$15:$B$25,0))="x",INDEX('Week Selection'!C$3:C$59,MATCH($A31,'Week Selection'!$A$3:$A$59,0)),0)</f>
        <v>0</v>
      </c>
      <c r="C31" s="33">
        <f ca="1">IF(INDEX(Summary!$C$15:$C$24,MATCH(C$1,Summary!$B$15:$B$24,0))="x",INDEX('Week Selection'!D$3:D$59,MATCH($A31,'Week Selection'!$A$3:$A$59,0)),0)</f>
        <v>0</v>
      </c>
      <c r="D31" s="33">
        <f ca="1">IF(INDEX(Summary!$C$15:$C$24,MATCH(D$1,Summary!$B$15:$B$24,0))="x",INDEX('Week Selection'!E$3:E$59,MATCH($A31,'Week Selection'!$A$3:$A$59,0)),0)</f>
        <v>1.748083597495659</v>
      </c>
      <c r="E31" s="33">
        <f ca="1">IF(INDEX(Summary!$C$15:$C$24,MATCH(E$1,Summary!$B$15:$B$24,0))="x",INDEX('Week Selection'!F$3:F$59,MATCH($A31,'Week Selection'!$A$3:$A$59,0)),0)</f>
        <v>2.8223655073890401</v>
      </c>
      <c r="F31" s="33">
        <f ca="1">IF(INDEX(Summary!$C$15:$C$24,MATCH(F$1,Summary!$B$15:$B$24,0))="x",INDEX('Week Selection'!G$3:G$59,MATCH($A31,'Week Selection'!$A$3:$A$59,0)),0)</f>
        <v>0.82527431862617928</v>
      </c>
      <c r="G31" s="33">
        <f ca="1">IF(INDEX(Summary!$C$15:$C$24,MATCH(G$1,Summary!$B$15:$B$24,0))="x",INDEX('Week Selection'!H$3:H$59,MATCH($A31,'Week Selection'!$A$3:$A$59,0)),0)</f>
        <v>0</v>
      </c>
      <c r="H31" s="33">
        <f ca="1">IF(INDEX(Summary!$C$15:$C$24,MATCH(H$1,Summary!$B$15:$B$24,0))="x",INDEX('Week Selection'!I$3:I$59,MATCH($A31,'Week Selection'!$A$3:$A$59,0)),0)</f>
        <v>7.4067881023645148</v>
      </c>
      <c r="I31" s="33">
        <f ca="1">IF(INDEX(Summary!$C$15:$C$24,MATCH(I$1,Summary!$B$15:$B$24,0))="x",INDEX('Week Selection'!J$3:J$59,MATCH($A31,'Week Selection'!$A$3:$A$59,0)),0)</f>
        <v>3.0632684748533494</v>
      </c>
      <c r="J31" s="33">
        <f ca="1">IF(INDEX(Summary!$C$15:$C$24,MATCH(J$1,Summary!$B$15:$B$24,0))="x",INDEX('Week Selection'!K$3:K$59,MATCH($A31,'Week Selection'!$A$3:$A$59,0)),0)</f>
        <v>0</v>
      </c>
      <c r="K31" s="33">
        <f ca="1">IF(INDEX(Summary!$C$15:$C$24,MATCH(K$1,Summary!$B$15:$B$24,0))="x",INDEX('Week Selection'!L$3:L$59,MATCH($A31,'Week Selection'!$A$3:$A$59,0)),0)</f>
        <v>2.1088791087863119</v>
      </c>
      <c r="L31" s="33">
        <f ca="1">IF(INDEX(Summary!$C$15:$C$25,MATCH(L$1,Summary!$B$15:$B$25,0))="x",INDEX('Week Selection'!M$3:M$59,MATCH($A31,'Week Selection'!$A$3:$A$59,0)),0)</f>
        <v>0</v>
      </c>
      <c r="M31" s="3"/>
      <c r="N31" s="7">
        <f ca="1">INDEX('Week Selection'!O$3:O$59,MATCH($A31,'Week Selection'!$A$3:$A$59,0))</f>
        <v>0.31447339215010439</v>
      </c>
      <c r="O31" s="7">
        <f ca="1">INDEX('Week Selection'!P$3:P$59,MATCH($A31,'Week Selection'!$A$3:$A$59,0))</f>
        <v>0.40566438780048486</v>
      </c>
      <c r="P31" s="7">
        <f ca="1">INDEX('Week Selection'!Q$3:Q$59,MATCH($A31,'Week Selection'!$A$3:$A$59,0))</f>
        <v>0.39943686910033449</v>
      </c>
      <c r="R31" s="33">
        <f ca="1">IF(INDEX(Summary!$C$15:$C$25,MATCH(R$1,Summary!$B$15:$B$25,0))="x",IF($A31=$A30,R30,SUM(B$2:B31)),0)</f>
        <v>40.243651161885559</v>
      </c>
      <c r="S31" s="33">
        <f ca="1">IF(INDEX(Summary!$C$15:$C$25,MATCH(S$1,Summary!$B$15:$B$25,0))="x",IF($A31=$A30,S30,SUM(C$2:C31)),0)</f>
        <v>100.60912790462605</v>
      </c>
      <c r="T31" s="33">
        <f ca="1">IF(INDEX(Summary!$C$15:$C$25,MATCH(T$1,Summary!$B$15:$B$25,0))="x",IF($A31=$A30,T30,SUM(D$2:D31)),0)</f>
        <v>155.04425549620117</v>
      </c>
      <c r="U31" s="33">
        <f ca="1">IF(INDEX(Summary!$C$15:$C$25,MATCH(U$1,Summary!$B$15:$B$25,0))="x",IF($A31=$A30,U30,SUM(E$2:E31)),0)</f>
        <v>415.39971827603136</v>
      </c>
      <c r="V31" s="33">
        <f ca="1">IF(INDEX(Summary!$C$15:$C$25,MATCH(V$1,Summary!$B$15:$B$25,0))="x",IF($A31=$A30,V30,SUM(F$2:F31)),0)</f>
        <v>93.580462440266857</v>
      </c>
      <c r="W31" s="33">
        <f ca="1">IF(INDEX(Summary!$C$15:$C$25,MATCH(W$1,Summary!$B$15:$B$25,0))="x",IF($A31=$A30,W30,SUM(G$2:G31)),0)</f>
        <v>364.97610019221014</v>
      </c>
      <c r="X31" s="33">
        <f ca="1">IF(INDEX(Summary!$C$15:$C$25,MATCH(X$1,Summary!$B$15:$B$25,0))="x",IF($A31=$A30,X30,SUM(H$2:H31)),0)</f>
        <v>239.51232564344795</v>
      </c>
      <c r="Y31" s="33">
        <f ca="1">IF(INDEX(Summary!$C$15:$C$25,MATCH(Y$1,Summary!$B$15:$B$25,0))="x",IF($A31=$A30,Y30,SUM(I$2:I31)),0)</f>
        <v>33.706293605934555</v>
      </c>
      <c r="Z31" s="33">
        <f ca="1">IF(INDEX(Summary!$C$15:$C$25,MATCH(Z$1,Summary!$B$15:$B$25,0))="x",IF($A31=$A30,Z30,SUM(J$2:J31)),0)</f>
        <v>2.6929709900831185</v>
      </c>
      <c r="AA31" s="33">
        <f ca="1">IF(INDEX(Summary!$C$15:$C$25,MATCH(AA$1,Summary!$B$15:$B$25,0))="x",IF($A31=$A30,AA30,SUM(K$2:K31)),0)</f>
        <v>2.1088791087863119</v>
      </c>
      <c r="AB31" s="33">
        <f ca="1">IF(INDEX(Summary!$C$15:$C$25,MATCH(AB$1,Summary!$B$15:$B$25,0))="x",IF($A31=$A30,AB30,SUM(L$2:L31)),0)</f>
        <v>106.73175227815442</v>
      </c>
    </row>
    <row r="32" spans="1:28" x14ac:dyDescent="0.35">
      <c r="A32" s="5">
        <f t="shared" ca="1" si="0"/>
        <v>44311</v>
      </c>
      <c r="B32" s="33">
        <f ca="1">IF(INDEX(Summary!$C$15:$C$25,MATCH(B$1,Summary!$B$15:$B$25,0))="x",INDEX('Week Selection'!C$3:C$59,MATCH($A32,'Week Selection'!$A$3:$A$59,0)),0)</f>
        <v>0</v>
      </c>
      <c r="C32" s="33">
        <f ca="1">IF(INDEX(Summary!$C$15:$C$24,MATCH(C$1,Summary!$B$15:$B$24,0))="x",INDEX('Week Selection'!D$3:D$59,MATCH($A32,'Week Selection'!$A$3:$A$59,0)),0)</f>
        <v>0</v>
      </c>
      <c r="D32" s="33">
        <f ca="1">IF(INDEX(Summary!$C$15:$C$24,MATCH(D$1,Summary!$B$15:$B$24,0))="x",INDEX('Week Selection'!E$3:E$59,MATCH($A32,'Week Selection'!$A$3:$A$59,0)),0)</f>
        <v>1.748083597495659</v>
      </c>
      <c r="E32" s="33">
        <f ca="1">IF(INDEX(Summary!$C$15:$C$24,MATCH(E$1,Summary!$B$15:$B$24,0))="x",INDEX('Week Selection'!F$3:F$59,MATCH($A32,'Week Selection'!$A$3:$A$59,0)),0)</f>
        <v>2.8223655073890401</v>
      </c>
      <c r="F32" s="33">
        <f ca="1">IF(INDEX(Summary!$C$15:$C$24,MATCH(F$1,Summary!$B$15:$B$24,0))="x",INDEX('Week Selection'!G$3:G$59,MATCH($A32,'Week Selection'!$A$3:$A$59,0)),0)</f>
        <v>0.82527431862617928</v>
      </c>
      <c r="G32" s="33">
        <f ca="1">IF(INDEX(Summary!$C$15:$C$24,MATCH(G$1,Summary!$B$15:$B$24,0))="x",INDEX('Week Selection'!H$3:H$59,MATCH($A32,'Week Selection'!$A$3:$A$59,0)),0)</f>
        <v>0</v>
      </c>
      <c r="H32" s="33">
        <f ca="1">IF(INDEX(Summary!$C$15:$C$24,MATCH(H$1,Summary!$B$15:$B$24,0))="x",INDEX('Week Selection'!I$3:I$59,MATCH($A32,'Week Selection'!$A$3:$A$59,0)),0)</f>
        <v>7.4067881023645148</v>
      </c>
      <c r="I32" s="33">
        <f ca="1">IF(INDEX(Summary!$C$15:$C$24,MATCH(I$1,Summary!$B$15:$B$24,0))="x",INDEX('Week Selection'!J$3:J$59,MATCH($A32,'Week Selection'!$A$3:$A$59,0)),0)</f>
        <v>3.0632684748533494</v>
      </c>
      <c r="J32" s="33">
        <f ca="1">IF(INDEX(Summary!$C$15:$C$24,MATCH(J$1,Summary!$B$15:$B$24,0))="x",INDEX('Week Selection'!K$3:K$59,MATCH($A32,'Week Selection'!$A$3:$A$59,0)),0)</f>
        <v>0</v>
      </c>
      <c r="K32" s="33">
        <f ca="1">IF(INDEX(Summary!$C$15:$C$24,MATCH(K$1,Summary!$B$15:$B$24,0))="x",INDEX('Week Selection'!L$3:L$59,MATCH($A32,'Week Selection'!$A$3:$A$59,0)),0)</f>
        <v>2.1088791087863119</v>
      </c>
      <c r="L32" s="33">
        <f ca="1">IF(INDEX(Summary!$C$15:$C$25,MATCH(L$1,Summary!$B$15:$B$25,0))="x",INDEX('Week Selection'!M$3:M$59,MATCH($A32,'Week Selection'!$A$3:$A$59,0)),0)</f>
        <v>0</v>
      </c>
      <c r="M32" s="3"/>
      <c r="N32" s="7">
        <f ca="1">INDEX('Week Selection'!O$3:O$59,MATCH($A32,'Week Selection'!$A$3:$A$59,0))</f>
        <v>0.31447339215010439</v>
      </c>
      <c r="O32" s="7">
        <f ca="1">INDEX('Week Selection'!P$3:P$59,MATCH($A32,'Week Selection'!$A$3:$A$59,0))</f>
        <v>0.40566438780048486</v>
      </c>
      <c r="P32" s="7">
        <f ca="1">INDEX('Week Selection'!Q$3:Q$59,MATCH($A32,'Week Selection'!$A$3:$A$59,0))</f>
        <v>0.39943686910033449</v>
      </c>
      <c r="R32" s="33">
        <f ca="1">IF(INDEX(Summary!$C$15:$C$25,MATCH(R$1,Summary!$B$15:$B$25,0))="x",IF($A32=$A31,R31,SUM(B$2:B32)),0)</f>
        <v>40.243651161885559</v>
      </c>
      <c r="S32" s="33">
        <f ca="1">IF(INDEX(Summary!$C$15:$C$25,MATCH(S$1,Summary!$B$15:$B$25,0))="x",IF($A32=$A31,S31,SUM(C$2:C32)),0)</f>
        <v>100.60912790462605</v>
      </c>
      <c r="T32" s="33">
        <f ca="1">IF(INDEX(Summary!$C$15:$C$25,MATCH(T$1,Summary!$B$15:$B$25,0))="x",IF($A32=$A31,T31,SUM(D$2:D32)),0)</f>
        <v>155.04425549620117</v>
      </c>
      <c r="U32" s="33">
        <f ca="1">IF(INDEX(Summary!$C$15:$C$25,MATCH(U$1,Summary!$B$15:$B$25,0))="x",IF($A32=$A31,U31,SUM(E$2:E32)),0)</f>
        <v>415.39971827603136</v>
      </c>
      <c r="V32" s="33">
        <f ca="1">IF(INDEX(Summary!$C$15:$C$25,MATCH(V$1,Summary!$B$15:$B$25,0))="x",IF($A32=$A31,V31,SUM(F$2:F32)),0)</f>
        <v>93.580462440266857</v>
      </c>
      <c r="W32" s="33">
        <f ca="1">IF(INDEX(Summary!$C$15:$C$25,MATCH(W$1,Summary!$B$15:$B$25,0))="x",IF($A32=$A31,W31,SUM(G$2:G32)),0)</f>
        <v>364.97610019221014</v>
      </c>
      <c r="X32" s="33">
        <f ca="1">IF(INDEX(Summary!$C$15:$C$25,MATCH(X$1,Summary!$B$15:$B$25,0))="x",IF($A32=$A31,X31,SUM(H$2:H32)),0)</f>
        <v>239.51232564344795</v>
      </c>
      <c r="Y32" s="33">
        <f ca="1">IF(INDEX(Summary!$C$15:$C$25,MATCH(Y$1,Summary!$B$15:$B$25,0))="x",IF($A32=$A31,Y31,SUM(I$2:I32)),0)</f>
        <v>33.706293605934555</v>
      </c>
      <c r="Z32" s="33">
        <f ca="1">IF(INDEX(Summary!$C$15:$C$25,MATCH(Z$1,Summary!$B$15:$B$25,0))="x",IF($A32=$A31,Z31,SUM(J$2:J32)),0)</f>
        <v>2.6929709900831185</v>
      </c>
      <c r="AA32" s="33">
        <f ca="1">IF(INDEX(Summary!$C$15:$C$25,MATCH(AA$1,Summary!$B$15:$B$25,0))="x",IF($A32=$A31,AA31,SUM(K$2:K32)),0)</f>
        <v>2.1088791087863119</v>
      </c>
      <c r="AB32" s="33">
        <f ca="1">IF(INDEX(Summary!$C$15:$C$25,MATCH(AB$1,Summary!$B$15:$B$25,0))="x",IF($A32=$A31,AB31,SUM(L$2:L32)),0)</f>
        <v>106.73175227815442</v>
      </c>
    </row>
    <row r="33" spans="1:28" x14ac:dyDescent="0.35">
      <c r="A33" s="5">
        <f t="shared" ca="1" si="0"/>
        <v>44311</v>
      </c>
      <c r="B33" s="33">
        <f ca="1">IF(INDEX(Summary!$C$15:$C$25,MATCH(B$1,Summary!$B$15:$B$25,0))="x",INDEX('Week Selection'!C$3:C$59,MATCH($A33,'Week Selection'!$A$3:$A$59,0)),0)</f>
        <v>0</v>
      </c>
      <c r="C33" s="33">
        <f ca="1">IF(INDEX(Summary!$C$15:$C$24,MATCH(C$1,Summary!$B$15:$B$24,0))="x",INDEX('Week Selection'!D$3:D$59,MATCH($A33,'Week Selection'!$A$3:$A$59,0)),0)</f>
        <v>0</v>
      </c>
      <c r="D33" s="33">
        <f ca="1">IF(INDEX(Summary!$C$15:$C$24,MATCH(D$1,Summary!$B$15:$B$24,0))="x",INDEX('Week Selection'!E$3:E$59,MATCH($A33,'Week Selection'!$A$3:$A$59,0)),0)</f>
        <v>1.748083597495659</v>
      </c>
      <c r="E33" s="33">
        <f ca="1">IF(INDEX(Summary!$C$15:$C$24,MATCH(E$1,Summary!$B$15:$B$24,0))="x",INDEX('Week Selection'!F$3:F$59,MATCH($A33,'Week Selection'!$A$3:$A$59,0)),0)</f>
        <v>2.8223655073890401</v>
      </c>
      <c r="F33" s="33">
        <f ca="1">IF(INDEX(Summary!$C$15:$C$24,MATCH(F$1,Summary!$B$15:$B$24,0))="x",INDEX('Week Selection'!G$3:G$59,MATCH($A33,'Week Selection'!$A$3:$A$59,0)),0)</f>
        <v>0.82527431862617928</v>
      </c>
      <c r="G33" s="33">
        <f ca="1">IF(INDEX(Summary!$C$15:$C$24,MATCH(G$1,Summary!$B$15:$B$24,0))="x",INDEX('Week Selection'!H$3:H$59,MATCH($A33,'Week Selection'!$A$3:$A$59,0)),0)</f>
        <v>0</v>
      </c>
      <c r="H33" s="33">
        <f ca="1">IF(INDEX(Summary!$C$15:$C$24,MATCH(H$1,Summary!$B$15:$B$24,0))="x",INDEX('Week Selection'!I$3:I$59,MATCH($A33,'Week Selection'!$A$3:$A$59,0)),0)</f>
        <v>7.4067881023645148</v>
      </c>
      <c r="I33" s="33">
        <f ca="1">IF(INDEX(Summary!$C$15:$C$24,MATCH(I$1,Summary!$B$15:$B$24,0))="x",INDEX('Week Selection'!J$3:J$59,MATCH($A33,'Week Selection'!$A$3:$A$59,0)),0)</f>
        <v>3.0632684748533494</v>
      </c>
      <c r="J33" s="33">
        <f ca="1">IF(INDEX(Summary!$C$15:$C$24,MATCH(J$1,Summary!$B$15:$B$24,0))="x",INDEX('Week Selection'!K$3:K$59,MATCH($A33,'Week Selection'!$A$3:$A$59,0)),0)</f>
        <v>0</v>
      </c>
      <c r="K33" s="33">
        <f ca="1">IF(INDEX(Summary!$C$15:$C$24,MATCH(K$1,Summary!$B$15:$B$24,0))="x",INDEX('Week Selection'!L$3:L$59,MATCH($A33,'Week Selection'!$A$3:$A$59,0)),0)</f>
        <v>2.1088791087863119</v>
      </c>
      <c r="L33" s="33">
        <f ca="1">IF(INDEX(Summary!$C$15:$C$25,MATCH(L$1,Summary!$B$15:$B$25,0))="x",INDEX('Week Selection'!M$3:M$59,MATCH($A33,'Week Selection'!$A$3:$A$59,0)),0)</f>
        <v>0</v>
      </c>
      <c r="M33" s="3"/>
      <c r="N33" s="7">
        <f ca="1">INDEX('Week Selection'!O$3:O$59,MATCH($A33,'Week Selection'!$A$3:$A$59,0))</f>
        <v>0.31447339215010439</v>
      </c>
      <c r="O33" s="7">
        <f ca="1">INDEX('Week Selection'!P$3:P$59,MATCH($A33,'Week Selection'!$A$3:$A$59,0))</f>
        <v>0.40566438780048486</v>
      </c>
      <c r="P33" s="7">
        <f ca="1">INDEX('Week Selection'!Q$3:Q$59,MATCH($A33,'Week Selection'!$A$3:$A$59,0))</f>
        <v>0.39943686910033449</v>
      </c>
      <c r="R33" s="33">
        <f ca="1">IF(INDEX(Summary!$C$15:$C$25,MATCH(R$1,Summary!$B$15:$B$25,0))="x",IF($A33=$A32,R32,SUM(B$2:B33)),0)</f>
        <v>40.243651161885559</v>
      </c>
      <c r="S33" s="33">
        <f ca="1">IF(INDEX(Summary!$C$15:$C$25,MATCH(S$1,Summary!$B$15:$B$25,0))="x",IF($A33=$A32,S32,SUM(C$2:C33)),0)</f>
        <v>100.60912790462605</v>
      </c>
      <c r="T33" s="33">
        <f ca="1">IF(INDEX(Summary!$C$15:$C$25,MATCH(T$1,Summary!$B$15:$B$25,0))="x",IF($A33=$A32,T32,SUM(D$2:D33)),0)</f>
        <v>155.04425549620117</v>
      </c>
      <c r="U33" s="33">
        <f ca="1">IF(INDEX(Summary!$C$15:$C$25,MATCH(U$1,Summary!$B$15:$B$25,0))="x",IF($A33=$A32,U32,SUM(E$2:E33)),0)</f>
        <v>415.39971827603136</v>
      </c>
      <c r="V33" s="33">
        <f ca="1">IF(INDEX(Summary!$C$15:$C$25,MATCH(V$1,Summary!$B$15:$B$25,0))="x",IF($A33=$A32,V32,SUM(F$2:F33)),0)</f>
        <v>93.580462440266857</v>
      </c>
      <c r="W33" s="33">
        <f ca="1">IF(INDEX(Summary!$C$15:$C$25,MATCH(W$1,Summary!$B$15:$B$25,0))="x",IF($A33=$A32,W32,SUM(G$2:G33)),0)</f>
        <v>364.97610019221014</v>
      </c>
      <c r="X33" s="33">
        <f ca="1">IF(INDEX(Summary!$C$15:$C$25,MATCH(X$1,Summary!$B$15:$B$25,0))="x",IF($A33=$A32,X32,SUM(H$2:H33)),0)</f>
        <v>239.51232564344795</v>
      </c>
      <c r="Y33" s="33">
        <f ca="1">IF(INDEX(Summary!$C$15:$C$25,MATCH(Y$1,Summary!$B$15:$B$25,0))="x",IF($A33=$A32,Y32,SUM(I$2:I33)),0)</f>
        <v>33.706293605934555</v>
      </c>
      <c r="Z33" s="33">
        <f ca="1">IF(INDEX(Summary!$C$15:$C$25,MATCH(Z$1,Summary!$B$15:$B$25,0))="x",IF($A33=$A32,Z32,SUM(J$2:J33)),0)</f>
        <v>2.6929709900831185</v>
      </c>
      <c r="AA33" s="33">
        <f ca="1">IF(INDEX(Summary!$C$15:$C$25,MATCH(AA$1,Summary!$B$15:$B$25,0))="x",IF($A33=$A32,AA32,SUM(K$2:K33)),0)</f>
        <v>2.1088791087863119</v>
      </c>
      <c r="AB33" s="33">
        <f ca="1">IF(INDEX(Summary!$C$15:$C$25,MATCH(AB$1,Summary!$B$15:$B$25,0))="x",IF($A33=$A32,AB32,SUM(L$2:L33)),0)</f>
        <v>106.73175227815442</v>
      </c>
    </row>
    <row r="34" spans="1:28" x14ac:dyDescent="0.35">
      <c r="A34" s="5">
        <f t="shared" ca="1" si="0"/>
        <v>44311</v>
      </c>
      <c r="B34" s="33">
        <f ca="1">IF(INDEX(Summary!$C$15:$C$25,MATCH(B$1,Summary!$B$15:$B$25,0))="x",INDEX('Week Selection'!C$3:C$59,MATCH($A34,'Week Selection'!$A$3:$A$59,0)),0)</f>
        <v>0</v>
      </c>
      <c r="C34" s="33">
        <f ca="1">IF(INDEX(Summary!$C$15:$C$24,MATCH(C$1,Summary!$B$15:$B$24,0))="x",INDEX('Week Selection'!D$3:D$59,MATCH($A34,'Week Selection'!$A$3:$A$59,0)),0)</f>
        <v>0</v>
      </c>
      <c r="D34" s="33">
        <f ca="1">IF(INDEX(Summary!$C$15:$C$24,MATCH(D$1,Summary!$B$15:$B$24,0))="x",INDEX('Week Selection'!E$3:E$59,MATCH($A34,'Week Selection'!$A$3:$A$59,0)),0)</f>
        <v>1.748083597495659</v>
      </c>
      <c r="E34" s="33">
        <f ca="1">IF(INDEX(Summary!$C$15:$C$24,MATCH(E$1,Summary!$B$15:$B$24,0))="x",INDEX('Week Selection'!F$3:F$59,MATCH($A34,'Week Selection'!$A$3:$A$59,0)),0)</f>
        <v>2.8223655073890401</v>
      </c>
      <c r="F34" s="33">
        <f ca="1">IF(INDEX(Summary!$C$15:$C$24,MATCH(F$1,Summary!$B$15:$B$24,0))="x",INDEX('Week Selection'!G$3:G$59,MATCH($A34,'Week Selection'!$A$3:$A$59,0)),0)</f>
        <v>0.82527431862617928</v>
      </c>
      <c r="G34" s="33">
        <f ca="1">IF(INDEX(Summary!$C$15:$C$24,MATCH(G$1,Summary!$B$15:$B$24,0))="x",INDEX('Week Selection'!H$3:H$59,MATCH($A34,'Week Selection'!$A$3:$A$59,0)),0)</f>
        <v>0</v>
      </c>
      <c r="H34" s="33">
        <f ca="1">IF(INDEX(Summary!$C$15:$C$24,MATCH(H$1,Summary!$B$15:$B$24,0))="x",INDEX('Week Selection'!I$3:I$59,MATCH($A34,'Week Selection'!$A$3:$A$59,0)),0)</f>
        <v>7.4067881023645148</v>
      </c>
      <c r="I34" s="33">
        <f ca="1">IF(INDEX(Summary!$C$15:$C$24,MATCH(I$1,Summary!$B$15:$B$24,0))="x",INDEX('Week Selection'!J$3:J$59,MATCH($A34,'Week Selection'!$A$3:$A$59,0)),0)</f>
        <v>3.0632684748533494</v>
      </c>
      <c r="J34" s="33">
        <f ca="1">IF(INDEX(Summary!$C$15:$C$24,MATCH(J$1,Summary!$B$15:$B$24,0))="x",INDEX('Week Selection'!K$3:K$59,MATCH($A34,'Week Selection'!$A$3:$A$59,0)),0)</f>
        <v>0</v>
      </c>
      <c r="K34" s="33">
        <f ca="1">IF(INDEX(Summary!$C$15:$C$24,MATCH(K$1,Summary!$B$15:$B$24,0))="x",INDEX('Week Selection'!L$3:L$59,MATCH($A34,'Week Selection'!$A$3:$A$59,0)),0)</f>
        <v>2.1088791087863119</v>
      </c>
      <c r="L34" s="33">
        <f ca="1">IF(INDEX(Summary!$C$15:$C$25,MATCH(L$1,Summary!$B$15:$B$25,0))="x",INDEX('Week Selection'!M$3:M$59,MATCH($A34,'Week Selection'!$A$3:$A$59,0)),0)</f>
        <v>0</v>
      </c>
      <c r="M34" s="3"/>
      <c r="N34" s="7">
        <f ca="1">INDEX('Week Selection'!O$3:O$59,MATCH($A34,'Week Selection'!$A$3:$A$59,0))</f>
        <v>0.31447339215010439</v>
      </c>
      <c r="O34" s="7">
        <f ca="1">INDEX('Week Selection'!P$3:P$59,MATCH($A34,'Week Selection'!$A$3:$A$59,0))</f>
        <v>0.40566438780048486</v>
      </c>
      <c r="P34" s="7">
        <f ca="1">INDEX('Week Selection'!Q$3:Q$59,MATCH($A34,'Week Selection'!$A$3:$A$59,0))</f>
        <v>0.39943686910033449</v>
      </c>
      <c r="R34" s="33">
        <f ca="1">IF(INDEX(Summary!$C$15:$C$25,MATCH(R$1,Summary!$B$15:$B$25,0))="x",IF($A34=$A33,R33,SUM(B$2:B34)),0)</f>
        <v>40.243651161885559</v>
      </c>
      <c r="S34" s="33">
        <f ca="1">IF(INDEX(Summary!$C$15:$C$25,MATCH(S$1,Summary!$B$15:$B$25,0))="x",IF($A34=$A33,S33,SUM(C$2:C34)),0)</f>
        <v>100.60912790462605</v>
      </c>
      <c r="T34" s="33">
        <f ca="1">IF(INDEX(Summary!$C$15:$C$25,MATCH(T$1,Summary!$B$15:$B$25,0))="x",IF($A34=$A33,T33,SUM(D$2:D34)),0)</f>
        <v>155.04425549620117</v>
      </c>
      <c r="U34" s="33">
        <f ca="1">IF(INDEX(Summary!$C$15:$C$25,MATCH(U$1,Summary!$B$15:$B$25,0))="x",IF($A34=$A33,U33,SUM(E$2:E34)),0)</f>
        <v>415.39971827603136</v>
      </c>
      <c r="V34" s="33">
        <f ca="1">IF(INDEX(Summary!$C$15:$C$25,MATCH(V$1,Summary!$B$15:$B$25,0))="x",IF($A34=$A33,V33,SUM(F$2:F34)),0)</f>
        <v>93.580462440266857</v>
      </c>
      <c r="W34" s="33">
        <f ca="1">IF(INDEX(Summary!$C$15:$C$25,MATCH(W$1,Summary!$B$15:$B$25,0))="x",IF($A34=$A33,W33,SUM(G$2:G34)),0)</f>
        <v>364.97610019221014</v>
      </c>
      <c r="X34" s="33">
        <f ca="1">IF(INDEX(Summary!$C$15:$C$25,MATCH(X$1,Summary!$B$15:$B$25,0))="x",IF($A34=$A33,X33,SUM(H$2:H34)),0)</f>
        <v>239.51232564344795</v>
      </c>
      <c r="Y34" s="33">
        <f ca="1">IF(INDEX(Summary!$C$15:$C$25,MATCH(Y$1,Summary!$B$15:$B$25,0))="x",IF($A34=$A33,Y33,SUM(I$2:I34)),0)</f>
        <v>33.706293605934555</v>
      </c>
      <c r="Z34" s="33">
        <f ca="1">IF(INDEX(Summary!$C$15:$C$25,MATCH(Z$1,Summary!$B$15:$B$25,0))="x",IF($A34=$A33,Z33,SUM(J$2:J34)),0)</f>
        <v>2.6929709900831185</v>
      </c>
      <c r="AA34" s="33">
        <f ca="1">IF(INDEX(Summary!$C$15:$C$25,MATCH(AA$1,Summary!$B$15:$B$25,0))="x",IF($A34=$A33,AA33,SUM(K$2:K34)),0)</f>
        <v>2.1088791087863119</v>
      </c>
      <c r="AB34" s="33">
        <f ca="1">IF(INDEX(Summary!$C$15:$C$25,MATCH(AB$1,Summary!$B$15:$B$25,0))="x",IF($A34=$A33,AB33,SUM(L$2:L34)),0)</f>
        <v>106.73175227815442</v>
      </c>
    </row>
    <row r="35" spans="1:28" x14ac:dyDescent="0.35">
      <c r="A35" s="5">
        <f t="shared" ca="1" si="0"/>
        <v>44311</v>
      </c>
      <c r="B35" s="33">
        <f ca="1">IF(INDEX(Summary!$C$15:$C$25,MATCH(B$1,Summary!$B$15:$B$25,0))="x",INDEX('Week Selection'!C$3:C$59,MATCH($A35,'Week Selection'!$A$3:$A$59,0)),0)</f>
        <v>0</v>
      </c>
      <c r="C35" s="33">
        <f ca="1">IF(INDEX(Summary!$C$15:$C$24,MATCH(C$1,Summary!$B$15:$B$24,0))="x",INDEX('Week Selection'!D$3:D$59,MATCH($A35,'Week Selection'!$A$3:$A$59,0)),0)</f>
        <v>0</v>
      </c>
      <c r="D35" s="33">
        <f ca="1">IF(INDEX(Summary!$C$15:$C$24,MATCH(D$1,Summary!$B$15:$B$24,0))="x",INDEX('Week Selection'!E$3:E$59,MATCH($A35,'Week Selection'!$A$3:$A$59,0)),0)</f>
        <v>1.748083597495659</v>
      </c>
      <c r="E35" s="33">
        <f ca="1">IF(INDEX(Summary!$C$15:$C$24,MATCH(E$1,Summary!$B$15:$B$24,0))="x",INDEX('Week Selection'!F$3:F$59,MATCH($A35,'Week Selection'!$A$3:$A$59,0)),0)</f>
        <v>2.8223655073890401</v>
      </c>
      <c r="F35" s="33">
        <f ca="1">IF(INDEX(Summary!$C$15:$C$24,MATCH(F$1,Summary!$B$15:$B$24,0))="x",INDEX('Week Selection'!G$3:G$59,MATCH($A35,'Week Selection'!$A$3:$A$59,0)),0)</f>
        <v>0.82527431862617928</v>
      </c>
      <c r="G35" s="33">
        <f ca="1">IF(INDEX(Summary!$C$15:$C$24,MATCH(G$1,Summary!$B$15:$B$24,0))="x",INDEX('Week Selection'!H$3:H$59,MATCH($A35,'Week Selection'!$A$3:$A$59,0)),0)</f>
        <v>0</v>
      </c>
      <c r="H35" s="33">
        <f ca="1">IF(INDEX(Summary!$C$15:$C$24,MATCH(H$1,Summary!$B$15:$B$24,0))="x",INDEX('Week Selection'!I$3:I$59,MATCH($A35,'Week Selection'!$A$3:$A$59,0)),0)</f>
        <v>7.4067881023645148</v>
      </c>
      <c r="I35" s="33">
        <f ca="1">IF(INDEX(Summary!$C$15:$C$24,MATCH(I$1,Summary!$B$15:$B$24,0))="x",INDEX('Week Selection'!J$3:J$59,MATCH($A35,'Week Selection'!$A$3:$A$59,0)),0)</f>
        <v>3.0632684748533494</v>
      </c>
      <c r="J35" s="33">
        <f ca="1">IF(INDEX(Summary!$C$15:$C$24,MATCH(J$1,Summary!$B$15:$B$24,0))="x",INDEX('Week Selection'!K$3:K$59,MATCH($A35,'Week Selection'!$A$3:$A$59,0)),0)</f>
        <v>0</v>
      </c>
      <c r="K35" s="33">
        <f ca="1">IF(INDEX(Summary!$C$15:$C$24,MATCH(K$1,Summary!$B$15:$B$24,0))="x",INDEX('Week Selection'!L$3:L$59,MATCH($A35,'Week Selection'!$A$3:$A$59,0)),0)</f>
        <v>2.1088791087863119</v>
      </c>
      <c r="L35" s="33">
        <f ca="1">IF(INDEX(Summary!$C$15:$C$25,MATCH(L$1,Summary!$B$15:$B$25,0))="x",INDEX('Week Selection'!M$3:M$59,MATCH($A35,'Week Selection'!$A$3:$A$59,0)),0)</f>
        <v>0</v>
      </c>
      <c r="M35" s="3"/>
      <c r="N35" s="7">
        <f ca="1">INDEX('Week Selection'!O$3:O$59,MATCH($A35,'Week Selection'!$A$3:$A$59,0))</f>
        <v>0.31447339215010439</v>
      </c>
      <c r="O35" s="7">
        <f ca="1">INDEX('Week Selection'!P$3:P$59,MATCH($A35,'Week Selection'!$A$3:$A$59,0))</f>
        <v>0.40566438780048486</v>
      </c>
      <c r="P35" s="7">
        <f ca="1">INDEX('Week Selection'!Q$3:Q$59,MATCH($A35,'Week Selection'!$A$3:$A$59,0))</f>
        <v>0.39943686910033449</v>
      </c>
      <c r="R35" s="33">
        <f ca="1">IF(INDEX(Summary!$C$15:$C$25,MATCH(R$1,Summary!$B$15:$B$25,0))="x",IF($A35=$A34,R34,SUM(B$2:B35)),0)</f>
        <v>40.243651161885559</v>
      </c>
      <c r="S35" s="33">
        <f ca="1">IF(INDEX(Summary!$C$15:$C$25,MATCH(S$1,Summary!$B$15:$B$25,0))="x",IF($A35=$A34,S34,SUM(C$2:C35)),0)</f>
        <v>100.60912790462605</v>
      </c>
      <c r="T35" s="33">
        <f ca="1">IF(INDEX(Summary!$C$15:$C$25,MATCH(T$1,Summary!$B$15:$B$25,0))="x",IF($A35=$A34,T34,SUM(D$2:D35)),0)</f>
        <v>155.04425549620117</v>
      </c>
      <c r="U35" s="33">
        <f ca="1">IF(INDEX(Summary!$C$15:$C$25,MATCH(U$1,Summary!$B$15:$B$25,0))="x",IF($A35=$A34,U34,SUM(E$2:E35)),0)</f>
        <v>415.39971827603136</v>
      </c>
      <c r="V35" s="33">
        <f ca="1">IF(INDEX(Summary!$C$15:$C$25,MATCH(V$1,Summary!$B$15:$B$25,0))="x",IF($A35=$A34,V34,SUM(F$2:F35)),0)</f>
        <v>93.580462440266857</v>
      </c>
      <c r="W35" s="33">
        <f ca="1">IF(INDEX(Summary!$C$15:$C$25,MATCH(W$1,Summary!$B$15:$B$25,0))="x",IF($A35=$A34,W34,SUM(G$2:G35)),0)</f>
        <v>364.97610019221014</v>
      </c>
      <c r="X35" s="33">
        <f ca="1">IF(INDEX(Summary!$C$15:$C$25,MATCH(X$1,Summary!$B$15:$B$25,0))="x",IF($A35=$A34,X34,SUM(H$2:H35)),0)</f>
        <v>239.51232564344795</v>
      </c>
      <c r="Y35" s="33">
        <f ca="1">IF(INDEX(Summary!$C$15:$C$25,MATCH(Y$1,Summary!$B$15:$B$25,0))="x",IF($A35=$A34,Y34,SUM(I$2:I35)),0)</f>
        <v>33.706293605934555</v>
      </c>
      <c r="Z35" s="33">
        <f ca="1">IF(INDEX(Summary!$C$15:$C$25,MATCH(Z$1,Summary!$B$15:$B$25,0))="x",IF($A35=$A34,Z34,SUM(J$2:J35)),0)</f>
        <v>2.6929709900831185</v>
      </c>
      <c r="AA35" s="33">
        <f ca="1">IF(INDEX(Summary!$C$15:$C$25,MATCH(AA$1,Summary!$B$15:$B$25,0))="x",IF($A35=$A34,AA34,SUM(K$2:K35)),0)</f>
        <v>2.1088791087863119</v>
      </c>
      <c r="AB35" s="33">
        <f ca="1">IF(INDEX(Summary!$C$15:$C$25,MATCH(AB$1,Summary!$B$15:$B$25,0))="x",IF($A35=$A34,AB34,SUM(L$2:L35)),0)</f>
        <v>106.73175227815442</v>
      </c>
    </row>
    <row r="36" spans="1:28" x14ac:dyDescent="0.35">
      <c r="A36" s="5">
        <f t="shared" ca="1" si="0"/>
        <v>44311</v>
      </c>
      <c r="B36" s="33">
        <f ca="1">IF(INDEX(Summary!$C$15:$C$25,MATCH(B$1,Summary!$B$15:$B$25,0))="x",INDEX('Week Selection'!C$3:C$59,MATCH($A36,'Week Selection'!$A$3:$A$59,0)),0)</f>
        <v>0</v>
      </c>
      <c r="C36" s="33">
        <f ca="1">IF(INDEX(Summary!$C$15:$C$24,MATCH(C$1,Summary!$B$15:$B$24,0))="x",INDEX('Week Selection'!D$3:D$59,MATCH($A36,'Week Selection'!$A$3:$A$59,0)),0)</f>
        <v>0</v>
      </c>
      <c r="D36" s="33">
        <f ca="1">IF(INDEX(Summary!$C$15:$C$24,MATCH(D$1,Summary!$B$15:$B$24,0))="x",INDEX('Week Selection'!E$3:E$59,MATCH($A36,'Week Selection'!$A$3:$A$59,0)),0)</f>
        <v>1.748083597495659</v>
      </c>
      <c r="E36" s="33">
        <f ca="1">IF(INDEX(Summary!$C$15:$C$24,MATCH(E$1,Summary!$B$15:$B$24,0))="x",INDEX('Week Selection'!F$3:F$59,MATCH($A36,'Week Selection'!$A$3:$A$59,0)),0)</f>
        <v>2.8223655073890401</v>
      </c>
      <c r="F36" s="33">
        <f ca="1">IF(INDEX(Summary!$C$15:$C$24,MATCH(F$1,Summary!$B$15:$B$24,0))="x",INDEX('Week Selection'!G$3:G$59,MATCH($A36,'Week Selection'!$A$3:$A$59,0)),0)</f>
        <v>0.82527431862617928</v>
      </c>
      <c r="G36" s="33">
        <f ca="1">IF(INDEX(Summary!$C$15:$C$24,MATCH(G$1,Summary!$B$15:$B$24,0))="x",INDEX('Week Selection'!H$3:H$59,MATCH($A36,'Week Selection'!$A$3:$A$59,0)),0)</f>
        <v>0</v>
      </c>
      <c r="H36" s="33">
        <f ca="1">IF(INDEX(Summary!$C$15:$C$24,MATCH(H$1,Summary!$B$15:$B$24,0))="x",INDEX('Week Selection'!I$3:I$59,MATCH($A36,'Week Selection'!$A$3:$A$59,0)),0)</f>
        <v>7.4067881023645148</v>
      </c>
      <c r="I36" s="33">
        <f ca="1">IF(INDEX(Summary!$C$15:$C$24,MATCH(I$1,Summary!$B$15:$B$24,0))="x",INDEX('Week Selection'!J$3:J$59,MATCH($A36,'Week Selection'!$A$3:$A$59,0)),0)</f>
        <v>3.0632684748533494</v>
      </c>
      <c r="J36" s="33">
        <f ca="1">IF(INDEX(Summary!$C$15:$C$24,MATCH(J$1,Summary!$B$15:$B$24,0))="x",INDEX('Week Selection'!K$3:K$59,MATCH($A36,'Week Selection'!$A$3:$A$59,0)),0)</f>
        <v>0</v>
      </c>
      <c r="K36" s="33">
        <f ca="1">IF(INDEX(Summary!$C$15:$C$24,MATCH(K$1,Summary!$B$15:$B$24,0))="x",INDEX('Week Selection'!L$3:L$59,MATCH($A36,'Week Selection'!$A$3:$A$59,0)),0)</f>
        <v>2.1088791087863119</v>
      </c>
      <c r="L36" s="33">
        <f ca="1">IF(INDEX(Summary!$C$15:$C$25,MATCH(L$1,Summary!$B$15:$B$25,0))="x",INDEX('Week Selection'!M$3:M$59,MATCH($A36,'Week Selection'!$A$3:$A$59,0)),0)</f>
        <v>0</v>
      </c>
      <c r="M36" s="3"/>
      <c r="N36" s="7">
        <f ca="1">INDEX('Week Selection'!O$3:O$59,MATCH($A36,'Week Selection'!$A$3:$A$59,0))</f>
        <v>0.31447339215010439</v>
      </c>
      <c r="O36" s="7">
        <f ca="1">INDEX('Week Selection'!P$3:P$59,MATCH($A36,'Week Selection'!$A$3:$A$59,0))</f>
        <v>0.40566438780048486</v>
      </c>
      <c r="P36" s="7">
        <f ca="1">INDEX('Week Selection'!Q$3:Q$59,MATCH($A36,'Week Selection'!$A$3:$A$59,0))</f>
        <v>0.39943686910033449</v>
      </c>
      <c r="R36" s="33">
        <f ca="1">IF(INDEX(Summary!$C$15:$C$25,MATCH(R$1,Summary!$B$15:$B$25,0))="x",IF($A36=$A35,R35,SUM(B$2:B36)),0)</f>
        <v>40.243651161885559</v>
      </c>
      <c r="S36" s="33">
        <f ca="1">IF(INDEX(Summary!$C$15:$C$25,MATCH(S$1,Summary!$B$15:$B$25,0))="x",IF($A36=$A35,S35,SUM(C$2:C36)),0)</f>
        <v>100.60912790462605</v>
      </c>
      <c r="T36" s="33">
        <f ca="1">IF(INDEX(Summary!$C$15:$C$25,MATCH(T$1,Summary!$B$15:$B$25,0))="x",IF($A36=$A35,T35,SUM(D$2:D36)),0)</f>
        <v>155.04425549620117</v>
      </c>
      <c r="U36" s="33">
        <f ca="1">IF(INDEX(Summary!$C$15:$C$25,MATCH(U$1,Summary!$B$15:$B$25,0))="x",IF($A36=$A35,U35,SUM(E$2:E36)),0)</f>
        <v>415.39971827603136</v>
      </c>
      <c r="V36" s="33">
        <f ca="1">IF(INDEX(Summary!$C$15:$C$25,MATCH(V$1,Summary!$B$15:$B$25,0))="x",IF($A36=$A35,V35,SUM(F$2:F36)),0)</f>
        <v>93.580462440266857</v>
      </c>
      <c r="W36" s="33">
        <f ca="1">IF(INDEX(Summary!$C$15:$C$25,MATCH(W$1,Summary!$B$15:$B$25,0))="x",IF($A36=$A35,W35,SUM(G$2:G36)),0)</f>
        <v>364.97610019221014</v>
      </c>
      <c r="X36" s="33">
        <f ca="1">IF(INDEX(Summary!$C$15:$C$25,MATCH(X$1,Summary!$B$15:$B$25,0))="x",IF($A36=$A35,X35,SUM(H$2:H36)),0)</f>
        <v>239.51232564344795</v>
      </c>
      <c r="Y36" s="33">
        <f ca="1">IF(INDEX(Summary!$C$15:$C$25,MATCH(Y$1,Summary!$B$15:$B$25,0))="x",IF($A36=$A35,Y35,SUM(I$2:I36)),0)</f>
        <v>33.706293605934555</v>
      </c>
      <c r="Z36" s="33">
        <f ca="1">IF(INDEX(Summary!$C$15:$C$25,MATCH(Z$1,Summary!$B$15:$B$25,0))="x",IF($A36=$A35,Z35,SUM(J$2:J36)),0)</f>
        <v>2.6929709900831185</v>
      </c>
      <c r="AA36" s="33">
        <f ca="1">IF(INDEX(Summary!$C$15:$C$25,MATCH(AA$1,Summary!$B$15:$B$25,0))="x",IF($A36=$A35,AA35,SUM(K$2:K36)),0)</f>
        <v>2.1088791087863119</v>
      </c>
      <c r="AB36" s="33">
        <f ca="1">IF(INDEX(Summary!$C$15:$C$25,MATCH(AB$1,Summary!$B$15:$B$25,0))="x",IF($A36=$A35,AB35,SUM(L$2:L36)),0)</f>
        <v>106.73175227815442</v>
      </c>
    </row>
    <row r="37" spans="1:28" x14ac:dyDescent="0.35">
      <c r="A37" s="5">
        <f t="shared" ca="1" si="0"/>
        <v>44311</v>
      </c>
      <c r="B37" s="33">
        <f ca="1">IF(INDEX(Summary!$C$15:$C$25,MATCH(B$1,Summary!$B$15:$B$25,0))="x",INDEX('Week Selection'!C$3:C$59,MATCH($A37,'Week Selection'!$A$3:$A$59,0)),0)</f>
        <v>0</v>
      </c>
      <c r="C37" s="33">
        <f ca="1">IF(INDEX(Summary!$C$15:$C$24,MATCH(C$1,Summary!$B$15:$B$24,0))="x",INDEX('Week Selection'!D$3:D$59,MATCH($A37,'Week Selection'!$A$3:$A$59,0)),0)</f>
        <v>0</v>
      </c>
      <c r="D37" s="33">
        <f ca="1">IF(INDEX(Summary!$C$15:$C$24,MATCH(D$1,Summary!$B$15:$B$24,0))="x",INDEX('Week Selection'!E$3:E$59,MATCH($A37,'Week Selection'!$A$3:$A$59,0)),0)</f>
        <v>1.748083597495659</v>
      </c>
      <c r="E37" s="33">
        <f ca="1">IF(INDEX(Summary!$C$15:$C$24,MATCH(E$1,Summary!$B$15:$B$24,0))="x",INDEX('Week Selection'!F$3:F$59,MATCH($A37,'Week Selection'!$A$3:$A$59,0)),0)</f>
        <v>2.8223655073890401</v>
      </c>
      <c r="F37" s="33">
        <f ca="1">IF(INDEX(Summary!$C$15:$C$24,MATCH(F$1,Summary!$B$15:$B$24,0))="x",INDEX('Week Selection'!G$3:G$59,MATCH($A37,'Week Selection'!$A$3:$A$59,0)),0)</f>
        <v>0.82527431862617928</v>
      </c>
      <c r="G37" s="33">
        <f ca="1">IF(INDEX(Summary!$C$15:$C$24,MATCH(G$1,Summary!$B$15:$B$24,0))="x",INDEX('Week Selection'!H$3:H$59,MATCH($A37,'Week Selection'!$A$3:$A$59,0)),0)</f>
        <v>0</v>
      </c>
      <c r="H37" s="33">
        <f ca="1">IF(INDEX(Summary!$C$15:$C$24,MATCH(H$1,Summary!$B$15:$B$24,0))="x",INDEX('Week Selection'!I$3:I$59,MATCH($A37,'Week Selection'!$A$3:$A$59,0)),0)</f>
        <v>7.4067881023645148</v>
      </c>
      <c r="I37" s="33">
        <f ca="1">IF(INDEX(Summary!$C$15:$C$24,MATCH(I$1,Summary!$B$15:$B$24,0))="x",INDEX('Week Selection'!J$3:J$59,MATCH($A37,'Week Selection'!$A$3:$A$59,0)),0)</f>
        <v>3.0632684748533494</v>
      </c>
      <c r="J37" s="33">
        <f ca="1">IF(INDEX(Summary!$C$15:$C$24,MATCH(J$1,Summary!$B$15:$B$24,0))="x",INDEX('Week Selection'!K$3:K$59,MATCH($A37,'Week Selection'!$A$3:$A$59,0)),0)</f>
        <v>0</v>
      </c>
      <c r="K37" s="33">
        <f ca="1">IF(INDEX(Summary!$C$15:$C$24,MATCH(K$1,Summary!$B$15:$B$24,0))="x",INDEX('Week Selection'!L$3:L$59,MATCH($A37,'Week Selection'!$A$3:$A$59,0)),0)</f>
        <v>2.1088791087863119</v>
      </c>
      <c r="L37" s="33">
        <f ca="1">IF(INDEX(Summary!$C$15:$C$25,MATCH(L$1,Summary!$B$15:$B$25,0))="x",INDEX('Week Selection'!M$3:M$59,MATCH($A37,'Week Selection'!$A$3:$A$59,0)),0)</f>
        <v>0</v>
      </c>
      <c r="M37" s="3"/>
      <c r="N37" s="7">
        <f ca="1">INDEX('Week Selection'!O$3:O$59,MATCH($A37,'Week Selection'!$A$3:$A$59,0))</f>
        <v>0.31447339215010439</v>
      </c>
      <c r="O37" s="7">
        <f ca="1">INDEX('Week Selection'!P$3:P$59,MATCH($A37,'Week Selection'!$A$3:$A$59,0))</f>
        <v>0.40566438780048486</v>
      </c>
      <c r="P37" s="7">
        <f ca="1">INDEX('Week Selection'!Q$3:Q$59,MATCH($A37,'Week Selection'!$A$3:$A$59,0))</f>
        <v>0.39943686910033449</v>
      </c>
      <c r="R37" s="33">
        <f ca="1">IF(INDEX(Summary!$C$15:$C$25,MATCH(R$1,Summary!$B$15:$B$25,0))="x",IF($A37=$A36,R36,SUM(B$2:B37)),0)</f>
        <v>40.243651161885559</v>
      </c>
      <c r="S37" s="33">
        <f ca="1">IF(INDEX(Summary!$C$15:$C$25,MATCH(S$1,Summary!$B$15:$B$25,0))="x",IF($A37=$A36,S36,SUM(C$2:C37)),0)</f>
        <v>100.60912790462605</v>
      </c>
      <c r="T37" s="33">
        <f ca="1">IF(INDEX(Summary!$C$15:$C$25,MATCH(T$1,Summary!$B$15:$B$25,0))="x",IF($A37=$A36,T36,SUM(D$2:D37)),0)</f>
        <v>155.04425549620117</v>
      </c>
      <c r="U37" s="33">
        <f ca="1">IF(INDEX(Summary!$C$15:$C$25,MATCH(U$1,Summary!$B$15:$B$25,0))="x",IF($A37=$A36,U36,SUM(E$2:E37)),0)</f>
        <v>415.39971827603136</v>
      </c>
      <c r="V37" s="33">
        <f ca="1">IF(INDEX(Summary!$C$15:$C$25,MATCH(V$1,Summary!$B$15:$B$25,0))="x",IF($A37=$A36,V36,SUM(F$2:F37)),0)</f>
        <v>93.580462440266857</v>
      </c>
      <c r="W37" s="33">
        <f ca="1">IF(INDEX(Summary!$C$15:$C$25,MATCH(W$1,Summary!$B$15:$B$25,0))="x",IF($A37=$A36,W36,SUM(G$2:G37)),0)</f>
        <v>364.97610019221014</v>
      </c>
      <c r="X37" s="33">
        <f ca="1">IF(INDEX(Summary!$C$15:$C$25,MATCH(X$1,Summary!$B$15:$B$25,0))="x",IF($A37=$A36,X36,SUM(H$2:H37)),0)</f>
        <v>239.51232564344795</v>
      </c>
      <c r="Y37" s="33">
        <f ca="1">IF(INDEX(Summary!$C$15:$C$25,MATCH(Y$1,Summary!$B$15:$B$25,0))="x",IF($A37=$A36,Y36,SUM(I$2:I37)),0)</f>
        <v>33.706293605934555</v>
      </c>
      <c r="Z37" s="33">
        <f ca="1">IF(INDEX(Summary!$C$15:$C$25,MATCH(Z$1,Summary!$B$15:$B$25,0))="x",IF($A37=$A36,Z36,SUM(J$2:J37)),0)</f>
        <v>2.6929709900831185</v>
      </c>
      <c r="AA37" s="33">
        <f ca="1">IF(INDEX(Summary!$C$15:$C$25,MATCH(AA$1,Summary!$B$15:$B$25,0))="x",IF($A37=$A36,AA36,SUM(K$2:K37)),0)</f>
        <v>2.1088791087863119</v>
      </c>
      <c r="AB37" s="33">
        <f ca="1">IF(INDEX(Summary!$C$15:$C$25,MATCH(AB$1,Summary!$B$15:$B$25,0))="x",IF($A37=$A36,AB36,SUM(L$2:L37)),0)</f>
        <v>106.73175227815442</v>
      </c>
    </row>
    <row r="38" spans="1:28" x14ac:dyDescent="0.35">
      <c r="A38" s="5">
        <f t="shared" ca="1" si="0"/>
        <v>44311</v>
      </c>
      <c r="B38" s="33">
        <f ca="1">IF(INDEX(Summary!$C$15:$C$25,MATCH(B$1,Summary!$B$15:$B$25,0))="x",INDEX('Week Selection'!C$3:C$59,MATCH($A38,'Week Selection'!$A$3:$A$59,0)),0)</f>
        <v>0</v>
      </c>
      <c r="C38" s="33">
        <f ca="1">IF(INDEX(Summary!$C$15:$C$24,MATCH(C$1,Summary!$B$15:$B$24,0))="x",INDEX('Week Selection'!D$3:D$59,MATCH($A38,'Week Selection'!$A$3:$A$59,0)),0)</f>
        <v>0</v>
      </c>
      <c r="D38" s="33">
        <f ca="1">IF(INDEX(Summary!$C$15:$C$24,MATCH(D$1,Summary!$B$15:$B$24,0))="x",INDEX('Week Selection'!E$3:E$59,MATCH($A38,'Week Selection'!$A$3:$A$59,0)),0)</f>
        <v>1.748083597495659</v>
      </c>
      <c r="E38" s="33">
        <f ca="1">IF(INDEX(Summary!$C$15:$C$24,MATCH(E$1,Summary!$B$15:$B$24,0))="x",INDEX('Week Selection'!F$3:F$59,MATCH($A38,'Week Selection'!$A$3:$A$59,0)),0)</f>
        <v>2.8223655073890401</v>
      </c>
      <c r="F38" s="33">
        <f ca="1">IF(INDEX(Summary!$C$15:$C$24,MATCH(F$1,Summary!$B$15:$B$24,0))="x",INDEX('Week Selection'!G$3:G$59,MATCH($A38,'Week Selection'!$A$3:$A$59,0)),0)</f>
        <v>0.82527431862617928</v>
      </c>
      <c r="G38" s="33">
        <f ca="1">IF(INDEX(Summary!$C$15:$C$24,MATCH(G$1,Summary!$B$15:$B$24,0))="x",INDEX('Week Selection'!H$3:H$59,MATCH($A38,'Week Selection'!$A$3:$A$59,0)),0)</f>
        <v>0</v>
      </c>
      <c r="H38" s="33">
        <f ca="1">IF(INDEX(Summary!$C$15:$C$24,MATCH(H$1,Summary!$B$15:$B$24,0))="x",INDEX('Week Selection'!I$3:I$59,MATCH($A38,'Week Selection'!$A$3:$A$59,0)),0)</f>
        <v>7.4067881023645148</v>
      </c>
      <c r="I38" s="33">
        <f ca="1">IF(INDEX(Summary!$C$15:$C$24,MATCH(I$1,Summary!$B$15:$B$24,0))="x",INDEX('Week Selection'!J$3:J$59,MATCH($A38,'Week Selection'!$A$3:$A$59,0)),0)</f>
        <v>3.0632684748533494</v>
      </c>
      <c r="J38" s="33">
        <f ca="1">IF(INDEX(Summary!$C$15:$C$24,MATCH(J$1,Summary!$B$15:$B$24,0))="x",INDEX('Week Selection'!K$3:K$59,MATCH($A38,'Week Selection'!$A$3:$A$59,0)),0)</f>
        <v>0</v>
      </c>
      <c r="K38" s="33">
        <f ca="1">IF(INDEX(Summary!$C$15:$C$24,MATCH(K$1,Summary!$B$15:$B$24,0))="x",INDEX('Week Selection'!L$3:L$59,MATCH($A38,'Week Selection'!$A$3:$A$59,0)),0)</f>
        <v>2.1088791087863119</v>
      </c>
      <c r="L38" s="33">
        <f ca="1">IF(INDEX(Summary!$C$15:$C$25,MATCH(L$1,Summary!$B$15:$B$25,0))="x",INDEX('Week Selection'!M$3:M$59,MATCH($A38,'Week Selection'!$A$3:$A$59,0)),0)</f>
        <v>0</v>
      </c>
      <c r="M38" s="3"/>
      <c r="N38" s="7">
        <f ca="1">INDEX('Week Selection'!O$3:O$59,MATCH($A38,'Week Selection'!$A$3:$A$59,0))</f>
        <v>0.31447339215010439</v>
      </c>
      <c r="O38" s="7">
        <f ca="1">INDEX('Week Selection'!P$3:P$59,MATCH($A38,'Week Selection'!$A$3:$A$59,0))</f>
        <v>0.40566438780048486</v>
      </c>
      <c r="P38" s="7">
        <f ca="1">INDEX('Week Selection'!Q$3:Q$59,MATCH($A38,'Week Selection'!$A$3:$A$59,0))</f>
        <v>0.39943686910033449</v>
      </c>
      <c r="R38" s="33">
        <f ca="1">IF(INDEX(Summary!$C$15:$C$25,MATCH(R$1,Summary!$B$15:$B$25,0))="x",IF($A38=$A37,R37,SUM(B$2:B38)),0)</f>
        <v>40.243651161885559</v>
      </c>
      <c r="S38" s="33">
        <f ca="1">IF(INDEX(Summary!$C$15:$C$25,MATCH(S$1,Summary!$B$15:$B$25,0))="x",IF($A38=$A37,S37,SUM(C$2:C38)),0)</f>
        <v>100.60912790462605</v>
      </c>
      <c r="T38" s="33">
        <f ca="1">IF(INDEX(Summary!$C$15:$C$25,MATCH(T$1,Summary!$B$15:$B$25,0))="x",IF($A38=$A37,T37,SUM(D$2:D38)),0)</f>
        <v>155.04425549620117</v>
      </c>
      <c r="U38" s="33">
        <f ca="1">IF(INDEX(Summary!$C$15:$C$25,MATCH(U$1,Summary!$B$15:$B$25,0))="x",IF($A38=$A37,U37,SUM(E$2:E38)),0)</f>
        <v>415.39971827603136</v>
      </c>
      <c r="V38" s="33">
        <f ca="1">IF(INDEX(Summary!$C$15:$C$25,MATCH(V$1,Summary!$B$15:$B$25,0))="x",IF($A38=$A37,V37,SUM(F$2:F38)),0)</f>
        <v>93.580462440266857</v>
      </c>
      <c r="W38" s="33">
        <f ca="1">IF(INDEX(Summary!$C$15:$C$25,MATCH(W$1,Summary!$B$15:$B$25,0))="x",IF($A38=$A37,W37,SUM(G$2:G38)),0)</f>
        <v>364.97610019221014</v>
      </c>
      <c r="X38" s="33">
        <f ca="1">IF(INDEX(Summary!$C$15:$C$25,MATCH(X$1,Summary!$B$15:$B$25,0))="x",IF($A38=$A37,X37,SUM(H$2:H38)),0)</f>
        <v>239.51232564344795</v>
      </c>
      <c r="Y38" s="33">
        <f ca="1">IF(INDEX(Summary!$C$15:$C$25,MATCH(Y$1,Summary!$B$15:$B$25,0))="x",IF($A38=$A37,Y37,SUM(I$2:I38)),0)</f>
        <v>33.706293605934555</v>
      </c>
      <c r="Z38" s="33">
        <f ca="1">IF(INDEX(Summary!$C$15:$C$25,MATCH(Z$1,Summary!$B$15:$B$25,0))="x",IF($A38=$A37,Z37,SUM(J$2:J38)),0)</f>
        <v>2.6929709900831185</v>
      </c>
      <c r="AA38" s="33">
        <f ca="1">IF(INDEX(Summary!$C$15:$C$25,MATCH(AA$1,Summary!$B$15:$B$25,0))="x",IF($A38=$A37,AA37,SUM(K$2:K38)),0)</f>
        <v>2.1088791087863119</v>
      </c>
      <c r="AB38" s="33">
        <f ca="1">IF(INDEX(Summary!$C$15:$C$25,MATCH(AB$1,Summary!$B$15:$B$25,0))="x",IF($A38=$A37,AB37,SUM(L$2:L38)),0)</f>
        <v>106.73175227815442</v>
      </c>
    </row>
    <row r="39" spans="1:28" x14ac:dyDescent="0.35">
      <c r="A39" s="5">
        <f t="shared" ca="1" si="0"/>
        <v>44311</v>
      </c>
      <c r="B39" s="33">
        <f ca="1">IF(INDEX(Summary!$C$15:$C$25,MATCH(B$1,Summary!$B$15:$B$25,0))="x",INDEX('Week Selection'!C$3:C$59,MATCH($A39,'Week Selection'!$A$3:$A$59,0)),0)</f>
        <v>0</v>
      </c>
      <c r="C39" s="33">
        <f ca="1">IF(INDEX(Summary!$C$15:$C$24,MATCH(C$1,Summary!$B$15:$B$24,0))="x",INDEX('Week Selection'!D$3:D$59,MATCH($A39,'Week Selection'!$A$3:$A$59,0)),0)</f>
        <v>0</v>
      </c>
      <c r="D39" s="33">
        <f ca="1">IF(INDEX(Summary!$C$15:$C$24,MATCH(D$1,Summary!$B$15:$B$24,0))="x",INDEX('Week Selection'!E$3:E$59,MATCH($A39,'Week Selection'!$A$3:$A$59,0)),0)</f>
        <v>1.748083597495659</v>
      </c>
      <c r="E39" s="33">
        <f ca="1">IF(INDEX(Summary!$C$15:$C$24,MATCH(E$1,Summary!$B$15:$B$24,0))="x",INDEX('Week Selection'!F$3:F$59,MATCH($A39,'Week Selection'!$A$3:$A$59,0)),0)</f>
        <v>2.8223655073890401</v>
      </c>
      <c r="F39" s="33">
        <f ca="1">IF(INDEX(Summary!$C$15:$C$24,MATCH(F$1,Summary!$B$15:$B$24,0))="x",INDEX('Week Selection'!G$3:G$59,MATCH($A39,'Week Selection'!$A$3:$A$59,0)),0)</f>
        <v>0.82527431862617928</v>
      </c>
      <c r="G39" s="33">
        <f ca="1">IF(INDEX(Summary!$C$15:$C$24,MATCH(G$1,Summary!$B$15:$B$24,0))="x",INDEX('Week Selection'!H$3:H$59,MATCH($A39,'Week Selection'!$A$3:$A$59,0)),0)</f>
        <v>0</v>
      </c>
      <c r="H39" s="33">
        <f ca="1">IF(INDEX(Summary!$C$15:$C$24,MATCH(H$1,Summary!$B$15:$B$24,0))="x",INDEX('Week Selection'!I$3:I$59,MATCH($A39,'Week Selection'!$A$3:$A$59,0)),0)</f>
        <v>7.4067881023645148</v>
      </c>
      <c r="I39" s="33">
        <f ca="1">IF(INDEX(Summary!$C$15:$C$24,MATCH(I$1,Summary!$B$15:$B$24,0))="x",INDEX('Week Selection'!J$3:J$59,MATCH($A39,'Week Selection'!$A$3:$A$59,0)),0)</f>
        <v>3.0632684748533494</v>
      </c>
      <c r="J39" s="33">
        <f ca="1">IF(INDEX(Summary!$C$15:$C$24,MATCH(J$1,Summary!$B$15:$B$24,0))="x",INDEX('Week Selection'!K$3:K$59,MATCH($A39,'Week Selection'!$A$3:$A$59,0)),0)</f>
        <v>0</v>
      </c>
      <c r="K39" s="33">
        <f ca="1">IF(INDEX(Summary!$C$15:$C$24,MATCH(K$1,Summary!$B$15:$B$24,0))="x",INDEX('Week Selection'!L$3:L$59,MATCH($A39,'Week Selection'!$A$3:$A$59,0)),0)</f>
        <v>2.1088791087863119</v>
      </c>
      <c r="L39" s="33">
        <f ca="1">IF(INDEX(Summary!$C$15:$C$25,MATCH(L$1,Summary!$B$15:$B$25,0))="x",INDEX('Week Selection'!M$3:M$59,MATCH($A39,'Week Selection'!$A$3:$A$59,0)),0)</f>
        <v>0</v>
      </c>
      <c r="M39" s="3"/>
      <c r="N39" s="7">
        <f ca="1">INDEX('Week Selection'!O$3:O$59,MATCH($A39,'Week Selection'!$A$3:$A$59,0))</f>
        <v>0.31447339215010439</v>
      </c>
      <c r="O39" s="7">
        <f ca="1">INDEX('Week Selection'!P$3:P$59,MATCH($A39,'Week Selection'!$A$3:$A$59,0))</f>
        <v>0.40566438780048486</v>
      </c>
      <c r="P39" s="7">
        <f ca="1">INDEX('Week Selection'!Q$3:Q$59,MATCH($A39,'Week Selection'!$A$3:$A$59,0))</f>
        <v>0.39943686910033449</v>
      </c>
      <c r="R39" s="33">
        <f ca="1">IF(INDEX(Summary!$C$15:$C$25,MATCH(R$1,Summary!$B$15:$B$25,0))="x",IF($A39=$A38,R38,SUM(B$2:B39)),0)</f>
        <v>40.243651161885559</v>
      </c>
      <c r="S39" s="33">
        <f ca="1">IF(INDEX(Summary!$C$15:$C$25,MATCH(S$1,Summary!$B$15:$B$25,0))="x",IF($A39=$A38,S38,SUM(C$2:C39)),0)</f>
        <v>100.60912790462605</v>
      </c>
      <c r="T39" s="33">
        <f ca="1">IF(INDEX(Summary!$C$15:$C$25,MATCH(T$1,Summary!$B$15:$B$25,0))="x",IF($A39=$A38,T38,SUM(D$2:D39)),0)</f>
        <v>155.04425549620117</v>
      </c>
      <c r="U39" s="33">
        <f ca="1">IF(INDEX(Summary!$C$15:$C$25,MATCH(U$1,Summary!$B$15:$B$25,0))="x",IF($A39=$A38,U38,SUM(E$2:E39)),0)</f>
        <v>415.39971827603136</v>
      </c>
      <c r="V39" s="33">
        <f ca="1">IF(INDEX(Summary!$C$15:$C$25,MATCH(V$1,Summary!$B$15:$B$25,0))="x",IF($A39=$A38,V38,SUM(F$2:F39)),0)</f>
        <v>93.580462440266857</v>
      </c>
      <c r="W39" s="33">
        <f ca="1">IF(INDEX(Summary!$C$15:$C$25,MATCH(W$1,Summary!$B$15:$B$25,0))="x",IF($A39=$A38,W38,SUM(G$2:G39)),0)</f>
        <v>364.97610019221014</v>
      </c>
      <c r="X39" s="33">
        <f ca="1">IF(INDEX(Summary!$C$15:$C$25,MATCH(X$1,Summary!$B$15:$B$25,0))="x",IF($A39=$A38,X38,SUM(H$2:H39)),0)</f>
        <v>239.51232564344795</v>
      </c>
      <c r="Y39" s="33">
        <f ca="1">IF(INDEX(Summary!$C$15:$C$25,MATCH(Y$1,Summary!$B$15:$B$25,0))="x",IF($A39=$A38,Y38,SUM(I$2:I39)),0)</f>
        <v>33.706293605934555</v>
      </c>
      <c r="Z39" s="33">
        <f ca="1">IF(INDEX(Summary!$C$15:$C$25,MATCH(Z$1,Summary!$B$15:$B$25,0))="x",IF($A39=$A38,Z38,SUM(J$2:J39)),0)</f>
        <v>2.6929709900831185</v>
      </c>
      <c r="AA39" s="33">
        <f ca="1">IF(INDEX(Summary!$C$15:$C$25,MATCH(AA$1,Summary!$B$15:$B$25,0))="x",IF($A39=$A38,AA38,SUM(K$2:K39)),0)</f>
        <v>2.1088791087863119</v>
      </c>
      <c r="AB39" s="33">
        <f ca="1">IF(INDEX(Summary!$C$15:$C$25,MATCH(AB$1,Summary!$B$15:$B$25,0))="x",IF($A39=$A38,AB38,SUM(L$2:L39)),0)</f>
        <v>106.73175227815442</v>
      </c>
    </row>
    <row r="40" spans="1:28" x14ac:dyDescent="0.35">
      <c r="A40" s="5">
        <f t="shared" ca="1" si="0"/>
        <v>44311</v>
      </c>
      <c r="B40" s="33">
        <f ca="1">IF(INDEX(Summary!$C$15:$C$25,MATCH(B$1,Summary!$B$15:$B$25,0))="x",INDEX('Week Selection'!C$3:C$59,MATCH($A40,'Week Selection'!$A$3:$A$59,0)),0)</f>
        <v>0</v>
      </c>
      <c r="C40" s="33">
        <f ca="1">IF(INDEX(Summary!$C$15:$C$24,MATCH(C$1,Summary!$B$15:$B$24,0))="x",INDEX('Week Selection'!D$3:D$59,MATCH($A40,'Week Selection'!$A$3:$A$59,0)),0)</f>
        <v>0</v>
      </c>
      <c r="D40" s="33">
        <f ca="1">IF(INDEX(Summary!$C$15:$C$24,MATCH(D$1,Summary!$B$15:$B$24,0))="x",INDEX('Week Selection'!E$3:E$59,MATCH($A40,'Week Selection'!$A$3:$A$59,0)),0)</f>
        <v>1.748083597495659</v>
      </c>
      <c r="E40" s="33">
        <f ca="1">IF(INDEX(Summary!$C$15:$C$24,MATCH(E$1,Summary!$B$15:$B$24,0))="x",INDEX('Week Selection'!F$3:F$59,MATCH($A40,'Week Selection'!$A$3:$A$59,0)),0)</f>
        <v>2.8223655073890401</v>
      </c>
      <c r="F40" s="33">
        <f ca="1">IF(INDEX(Summary!$C$15:$C$24,MATCH(F$1,Summary!$B$15:$B$24,0))="x",INDEX('Week Selection'!G$3:G$59,MATCH($A40,'Week Selection'!$A$3:$A$59,0)),0)</f>
        <v>0.82527431862617928</v>
      </c>
      <c r="G40" s="33">
        <f ca="1">IF(INDEX(Summary!$C$15:$C$24,MATCH(G$1,Summary!$B$15:$B$24,0))="x",INDEX('Week Selection'!H$3:H$59,MATCH($A40,'Week Selection'!$A$3:$A$59,0)),0)</f>
        <v>0</v>
      </c>
      <c r="H40" s="33">
        <f ca="1">IF(INDEX(Summary!$C$15:$C$24,MATCH(H$1,Summary!$B$15:$B$24,0))="x",INDEX('Week Selection'!I$3:I$59,MATCH($A40,'Week Selection'!$A$3:$A$59,0)),0)</f>
        <v>7.4067881023645148</v>
      </c>
      <c r="I40" s="33">
        <f ca="1">IF(INDEX(Summary!$C$15:$C$24,MATCH(I$1,Summary!$B$15:$B$24,0))="x",INDEX('Week Selection'!J$3:J$59,MATCH($A40,'Week Selection'!$A$3:$A$59,0)),0)</f>
        <v>3.0632684748533494</v>
      </c>
      <c r="J40" s="33">
        <f ca="1">IF(INDEX(Summary!$C$15:$C$24,MATCH(J$1,Summary!$B$15:$B$24,0))="x",INDEX('Week Selection'!K$3:K$59,MATCH($A40,'Week Selection'!$A$3:$A$59,0)),0)</f>
        <v>0</v>
      </c>
      <c r="K40" s="33">
        <f ca="1">IF(INDEX(Summary!$C$15:$C$24,MATCH(K$1,Summary!$B$15:$B$24,0))="x",INDEX('Week Selection'!L$3:L$59,MATCH($A40,'Week Selection'!$A$3:$A$59,0)),0)</f>
        <v>2.1088791087863119</v>
      </c>
      <c r="L40" s="33">
        <f ca="1">IF(INDEX(Summary!$C$15:$C$25,MATCH(L$1,Summary!$B$15:$B$25,0))="x",INDEX('Week Selection'!M$3:M$59,MATCH($A40,'Week Selection'!$A$3:$A$59,0)),0)</f>
        <v>0</v>
      </c>
      <c r="M40" s="3"/>
      <c r="N40" s="7">
        <f ca="1">INDEX('Week Selection'!O$3:O$59,MATCH($A40,'Week Selection'!$A$3:$A$59,0))</f>
        <v>0.31447339215010439</v>
      </c>
      <c r="O40" s="7">
        <f ca="1">INDEX('Week Selection'!P$3:P$59,MATCH($A40,'Week Selection'!$A$3:$A$59,0))</f>
        <v>0.40566438780048486</v>
      </c>
      <c r="P40" s="7">
        <f ca="1">INDEX('Week Selection'!Q$3:Q$59,MATCH($A40,'Week Selection'!$A$3:$A$59,0))</f>
        <v>0.39943686910033449</v>
      </c>
      <c r="R40" s="33">
        <f ca="1">IF(INDEX(Summary!$C$15:$C$25,MATCH(R$1,Summary!$B$15:$B$25,0))="x",IF($A40=$A39,R39,SUM(B$2:B40)),0)</f>
        <v>40.243651161885559</v>
      </c>
      <c r="S40" s="33">
        <f ca="1">IF(INDEX(Summary!$C$15:$C$25,MATCH(S$1,Summary!$B$15:$B$25,0))="x",IF($A40=$A39,S39,SUM(C$2:C40)),0)</f>
        <v>100.60912790462605</v>
      </c>
      <c r="T40" s="33">
        <f ca="1">IF(INDEX(Summary!$C$15:$C$25,MATCH(T$1,Summary!$B$15:$B$25,0))="x",IF($A40=$A39,T39,SUM(D$2:D40)),0)</f>
        <v>155.04425549620117</v>
      </c>
      <c r="U40" s="33">
        <f ca="1">IF(INDEX(Summary!$C$15:$C$25,MATCH(U$1,Summary!$B$15:$B$25,0))="x",IF($A40=$A39,U39,SUM(E$2:E40)),0)</f>
        <v>415.39971827603136</v>
      </c>
      <c r="V40" s="33">
        <f ca="1">IF(INDEX(Summary!$C$15:$C$25,MATCH(V$1,Summary!$B$15:$B$25,0))="x",IF($A40=$A39,V39,SUM(F$2:F40)),0)</f>
        <v>93.580462440266857</v>
      </c>
      <c r="W40" s="33">
        <f ca="1">IF(INDEX(Summary!$C$15:$C$25,MATCH(W$1,Summary!$B$15:$B$25,0))="x",IF($A40=$A39,W39,SUM(G$2:G40)),0)</f>
        <v>364.97610019221014</v>
      </c>
      <c r="X40" s="33">
        <f ca="1">IF(INDEX(Summary!$C$15:$C$25,MATCH(X$1,Summary!$B$15:$B$25,0))="x",IF($A40=$A39,X39,SUM(H$2:H40)),0)</f>
        <v>239.51232564344795</v>
      </c>
      <c r="Y40" s="33">
        <f ca="1">IF(INDEX(Summary!$C$15:$C$25,MATCH(Y$1,Summary!$B$15:$B$25,0))="x",IF($A40=$A39,Y39,SUM(I$2:I40)),0)</f>
        <v>33.706293605934555</v>
      </c>
      <c r="Z40" s="33">
        <f ca="1">IF(INDEX(Summary!$C$15:$C$25,MATCH(Z$1,Summary!$B$15:$B$25,0))="x",IF($A40=$A39,Z39,SUM(J$2:J40)),0)</f>
        <v>2.6929709900831185</v>
      </c>
      <c r="AA40" s="33">
        <f ca="1">IF(INDEX(Summary!$C$15:$C$25,MATCH(AA$1,Summary!$B$15:$B$25,0))="x",IF($A40=$A39,AA39,SUM(K$2:K40)),0)</f>
        <v>2.1088791087863119</v>
      </c>
      <c r="AB40" s="33">
        <f ca="1">IF(INDEX(Summary!$C$15:$C$25,MATCH(AB$1,Summary!$B$15:$B$25,0))="x",IF($A40=$A39,AB39,SUM(L$2:L40)),0)</f>
        <v>106.73175227815442</v>
      </c>
    </row>
    <row r="41" spans="1:28" x14ac:dyDescent="0.35">
      <c r="A41" s="5">
        <f t="shared" ca="1" si="0"/>
        <v>44311</v>
      </c>
      <c r="B41" s="33">
        <f ca="1">IF(INDEX(Summary!$C$15:$C$25,MATCH(B$1,Summary!$B$15:$B$25,0))="x",INDEX('Week Selection'!C$3:C$59,MATCH($A41,'Week Selection'!$A$3:$A$59,0)),0)</f>
        <v>0</v>
      </c>
      <c r="C41" s="33">
        <f ca="1">IF(INDEX(Summary!$C$15:$C$24,MATCH(C$1,Summary!$B$15:$B$24,0))="x",INDEX('Week Selection'!D$3:D$59,MATCH($A41,'Week Selection'!$A$3:$A$59,0)),0)</f>
        <v>0</v>
      </c>
      <c r="D41" s="33">
        <f ca="1">IF(INDEX(Summary!$C$15:$C$24,MATCH(D$1,Summary!$B$15:$B$24,0))="x",INDEX('Week Selection'!E$3:E$59,MATCH($A41,'Week Selection'!$A$3:$A$59,0)),0)</f>
        <v>1.748083597495659</v>
      </c>
      <c r="E41" s="33">
        <f ca="1">IF(INDEX(Summary!$C$15:$C$24,MATCH(E$1,Summary!$B$15:$B$24,0))="x",INDEX('Week Selection'!F$3:F$59,MATCH($A41,'Week Selection'!$A$3:$A$59,0)),0)</f>
        <v>2.8223655073890401</v>
      </c>
      <c r="F41" s="33">
        <f ca="1">IF(INDEX(Summary!$C$15:$C$24,MATCH(F$1,Summary!$B$15:$B$24,0))="x",INDEX('Week Selection'!G$3:G$59,MATCH($A41,'Week Selection'!$A$3:$A$59,0)),0)</f>
        <v>0.82527431862617928</v>
      </c>
      <c r="G41" s="33">
        <f ca="1">IF(INDEX(Summary!$C$15:$C$24,MATCH(G$1,Summary!$B$15:$B$24,0))="x",INDEX('Week Selection'!H$3:H$59,MATCH($A41,'Week Selection'!$A$3:$A$59,0)),0)</f>
        <v>0</v>
      </c>
      <c r="H41" s="33">
        <f ca="1">IF(INDEX(Summary!$C$15:$C$24,MATCH(H$1,Summary!$B$15:$B$24,0))="x",INDEX('Week Selection'!I$3:I$59,MATCH($A41,'Week Selection'!$A$3:$A$59,0)),0)</f>
        <v>7.4067881023645148</v>
      </c>
      <c r="I41" s="33">
        <f ca="1">IF(INDEX(Summary!$C$15:$C$24,MATCH(I$1,Summary!$B$15:$B$24,0))="x",INDEX('Week Selection'!J$3:J$59,MATCH($A41,'Week Selection'!$A$3:$A$59,0)),0)</f>
        <v>3.0632684748533494</v>
      </c>
      <c r="J41" s="33">
        <f ca="1">IF(INDEX(Summary!$C$15:$C$24,MATCH(J$1,Summary!$B$15:$B$24,0))="x",INDEX('Week Selection'!K$3:K$59,MATCH($A41,'Week Selection'!$A$3:$A$59,0)),0)</f>
        <v>0</v>
      </c>
      <c r="K41" s="33">
        <f ca="1">IF(INDEX(Summary!$C$15:$C$24,MATCH(K$1,Summary!$B$15:$B$24,0))="x",INDEX('Week Selection'!L$3:L$59,MATCH($A41,'Week Selection'!$A$3:$A$59,0)),0)</f>
        <v>2.1088791087863119</v>
      </c>
      <c r="L41" s="33">
        <f ca="1">IF(INDEX(Summary!$C$15:$C$25,MATCH(L$1,Summary!$B$15:$B$25,0))="x",INDEX('Week Selection'!M$3:M$59,MATCH($A41,'Week Selection'!$A$3:$A$59,0)),0)</f>
        <v>0</v>
      </c>
      <c r="M41" s="3"/>
      <c r="N41" s="7">
        <f ca="1">INDEX('Week Selection'!O$3:O$59,MATCH($A41,'Week Selection'!$A$3:$A$59,0))</f>
        <v>0.31447339215010439</v>
      </c>
      <c r="O41" s="7">
        <f ca="1">INDEX('Week Selection'!P$3:P$59,MATCH($A41,'Week Selection'!$A$3:$A$59,0))</f>
        <v>0.40566438780048486</v>
      </c>
      <c r="P41" s="7">
        <f ca="1">INDEX('Week Selection'!Q$3:Q$59,MATCH($A41,'Week Selection'!$A$3:$A$59,0))</f>
        <v>0.39943686910033449</v>
      </c>
      <c r="R41" s="33">
        <f ca="1">IF(INDEX(Summary!$C$15:$C$25,MATCH(R$1,Summary!$B$15:$B$25,0))="x",IF($A41=$A40,R40,SUM(B$2:B41)),0)</f>
        <v>40.243651161885559</v>
      </c>
      <c r="S41" s="33">
        <f ca="1">IF(INDEX(Summary!$C$15:$C$25,MATCH(S$1,Summary!$B$15:$B$25,0))="x",IF($A41=$A40,S40,SUM(C$2:C41)),0)</f>
        <v>100.60912790462605</v>
      </c>
      <c r="T41" s="33">
        <f ca="1">IF(INDEX(Summary!$C$15:$C$25,MATCH(T$1,Summary!$B$15:$B$25,0))="x",IF($A41=$A40,T40,SUM(D$2:D41)),0)</f>
        <v>155.04425549620117</v>
      </c>
      <c r="U41" s="33">
        <f ca="1">IF(INDEX(Summary!$C$15:$C$25,MATCH(U$1,Summary!$B$15:$B$25,0))="x",IF($A41=$A40,U40,SUM(E$2:E41)),0)</f>
        <v>415.39971827603136</v>
      </c>
      <c r="V41" s="33">
        <f ca="1">IF(INDEX(Summary!$C$15:$C$25,MATCH(V$1,Summary!$B$15:$B$25,0))="x",IF($A41=$A40,V40,SUM(F$2:F41)),0)</f>
        <v>93.580462440266857</v>
      </c>
      <c r="W41" s="33">
        <f ca="1">IF(INDEX(Summary!$C$15:$C$25,MATCH(W$1,Summary!$B$15:$B$25,0))="x",IF($A41=$A40,W40,SUM(G$2:G41)),0)</f>
        <v>364.97610019221014</v>
      </c>
      <c r="X41" s="33">
        <f ca="1">IF(INDEX(Summary!$C$15:$C$25,MATCH(X$1,Summary!$B$15:$B$25,0))="x",IF($A41=$A40,X40,SUM(H$2:H41)),0)</f>
        <v>239.51232564344795</v>
      </c>
      <c r="Y41" s="33">
        <f ca="1">IF(INDEX(Summary!$C$15:$C$25,MATCH(Y$1,Summary!$B$15:$B$25,0))="x",IF($A41=$A40,Y40,SUM(I$2:I41)),0)</f>
        <v>33.706293605934555</v>
      </c>
      <c r="Z41" s="33">
        <f ca="1">IF(INDEX(Summary!$C$15:$C$25,MATCH(Z$1,Summary!$B$15:$B$25,0))="x",IF($A41=$A40,Z40,SUM(J$2:J41)),0)</f>
        <v>2.6929709900831185</v>
      </c>
      <c r="AA41" s="33">
        <f ca="1">IF(INDEX(Summary!$C$15:$C$25,MATCH(AA$1,Summary!$B$15:$B$25,0))="x",IF($A41=$A40,AA40,SUM(K$2:K41)),0)</f>
        <v>2.1088791087863119</v>
      </c>
      <c r="AB41" s="33">
        <f ca="1">IF(INDEX(Summary!$C$15:$C$25,MATCH(AB$1,Summary!$B$15:$B$25,0))="x",IF($A41=$A40,AB40,SUM(L$2:L41)),0)</f>
        <v>106.73175227815442</v>
      </c>
    </row>
    <row r="42" spans="1:28" x14ac:dyDescent="0.35">
      <c r="A42" s="5">
        <f t="shared" ca="1" si="0"/>
        <v>44311</v>
      </c>
      <c r="B42" s="33">
        <f ca="1">IF(INDEX(Summary!$C$15:$C$25,MATCH(B$1,Summary!$B$15:$B$25,0))="x",INDEX('Week Selection'!C$3:C$59,MATCH($A42,'Week Selection'!$A$3:$A$59,0)),0)</f>
        <v>0</v>
      </c>
      <c r="C42" s="33">
        <f ca="1">IF(INDEX(Summary!$C$15:$C$24,MATCH(C$1,Summary!$B$15:$B$24,0))="x",INDEX('Week Selection'!D$3:D$59,MATCH($A42,'Week Selection'!$A$3:$A$59,0)),0)</f>
        <v>0</v>
      </c>
      <c r="D42" s="33">
        <f ca="1">IF(INDEX(Summary!$C$15:$C$24,MATCH(D$1,Summary!$B$15:$B$24,0))="x",INDEX('Week Selection'!E$3:E$59,MATCH($A42,'Week Selection'!$A$3:$A$59,0)),0)</f>
        <v>1.748083597495659</v>
      </c>
      <c r="E42" s="33">
        <f ca="1">IF(INDEX(Summary!$C$15:$C$24,MATCH(E$1,Summary!$B$15:$B$24,0))="x",INDEX('Week Selection'!F$3:F$59,MATCH($A42,'Week Selection'!$A$3:$A$59,0)),0)</f>
        <v>2.8223655073890401</v>
      </c>
      <c r="F42" s="33">
        <f ca="1">IF(INDEX(Summary!$C$15:$C$24,MATCH(F$1,Summary!$B$15:$B$24,0))="x",INDEX('Week Selection'!G$3:G$59,MATCH($A42,'Week Selection'!$A$3:$A$59,0)),0)</f>
        <v>0.82527431862617928</v>
      </c>
      <c r="G42" s="33">
        <f ca="1">IF(INDEX(Summary!$C$15:$C$24,MATCH(G$1,Summary!$B$15:$B$24,0))="x",INDEX('Week Selection'!H$3:H$59,MATCH($A42,'Week Selection'!$A$3:$A$59,0)),0)</f>
        <v>0</v>
      </c>
      <c r="H42" s="33">
        <f ca="1">IF(INDEX(Summary!$C$15:$C$24,MATCH(H$1,Summary!$B$15:$B$24,0))="x",INDEX('Week Selection'!I$3:I$59,MATCH($A42,'Week Selection'!$A$3:$A$59,0)),0)</f>
        <v>7.4067881023645148</v>
      </c>
      <c r="I42" s="33">
        <f ca="1">IF(INDEX(Summary!$C$15:$C$24,MATCH(I$1,Summary!$B$15:$B$24,0))="x",INDEX('Week Selection'!J$3:J$59,MATCH($A42,'Week Selection'!$A$3:$A$59,0)),0)</f>
        <v>3.0632684748533494</v>
      </c>
      <c r="J42" s="33">
        <f ca="1">IF(INDEX(Summary!$C$15:$C$24,MATCH(J$1,Summary!$B$15:$B$24,0))="x",INDEX('Week Selection'!K$3:K$59,MATCH($A42,'Week Selection'!$A$3:$A$59,0)),0)</f>
        <v>0</v>
      </c>
      <c r="K42" s="33">
        <f ca="1">IF(INDEX(Summary!$C$15:$C$24,MATCH(K$1,Summary!$B$15:$B$24,0))="x",INDEX('Week Selection'!L$3:L$59,MATCH($A42,'Week Selection'!$A$3:$A$59,0)),0)</f>
        <v>2.1088791087863119</v>
      </c>
      <c r="L42" s="33">
        <f ca="1">IF(INDEX(Summary!$C$15:$C$25,MATCH(L$1,Summary!$B$15:$B$25,0))="x",INDEX('Week Selection'!M$3:M$59,MATCH($A42,'Week Selection'!$A$3:$A$59,0)),0)</f>
        <v>0</v>
      </c>
      <c r="M42" s="3"/>
      <c r="N42" s="7">
        <f ca="1">INDEX('Week Selection'!O$3:O$59,MATCH($A42,'Week Selection'!$A$3:$A$59,0))</f>
        <v>0.31447339215010439</v>
      </c>
      <c r="O42" s="7">
        <f ca="1">INDEX('Week Selection'!P$3:P$59,MATCH($A42,'Week Selection'!$A$3:$A$59,0))</f>
        <v>0.40566438780048486</v>
      </c>
      <c r="P42" s="7">
        <f ca="1">INDEX('Week Selection'!Q$3:Q$59,MATCH($A42,'Week Selection'!$A$3:$A$59,0))</f>
        <v>0.39943686910033449</v>
      </c>
      <c r="R42" s="33">
        <f ca="1">IF(INDEX(Summary!$C$15:$C$25,MATCH(R$1,Summary!$B$15:$B$25,0))="x",IF($A42=$A41,R41,SUM(B$2:B42)),0)</f>
        <v>40.243651161885559</v>
      </c>
      <c r="S42" s="33">
        <f ca="1">IF(INDEX(Summary!$C$15:$C$25,MATCH(S$1,Summary!$B$15:$B$25,0))="x",IF($A42=$A41,S41,SUM(C$2:C42)),0)</f>
        <v>100.60912790462605</v>
      </c>
      <c r="T42" s="33">
        <f ca="1">IF(INDEX(Summary!$C$15:$C$25,MATCH(T$1,Summary!$B$15:$B$25,0))="x",IF($A42=$A41,T41,SUM(D$2:D42)),0)</f>
        <v>155.04425549620117</v>
      </c>
      <c r="U42" s="33">
        <f ca="1">IF(INDEX(Summary!$C$15:$C$25,MATCH(U$1,Summary!$B$15:$B$25,0))="x",IF($A42=$A41,U41,SUM(E$2:E42)),0)</f>
        <v>415.39971827603136</v>
      </c>
      <c r="V42" s="33">
        <f ca="1">IF(INDEX(Summary!$C$15:$C$25,MATCH(V$1,Summary!$B$15:$B$25,0))="x",IF($A42=$A41,V41,SUM(F$2:F42)),0)</f>
        <v>93.580462440266857</v>
      </c>
      <c r="W42" s="33">
        <f ca="1">IF(INDEX(Summary!$C$15:$C$25,MATCH(W$1,Summary!$B$15:$B$25,0))="x",IF($A42=$A41,W41,SUM(G$2:G42)),0)</f>
        <v>364.97610019221014</v>
      </c>
      <c r="X42" s="33">
        <f ca="1">IF(INDEX(Summary!$C$15:$C$25,MATCH(X$1,Summary!$B$15:$B$25,0))="x",IF($A42=$A41,X41,SUM(H$2:H42)),0)</f>
        <v>239.51232564344795</v>
      </c>
      <c r="Y42" s="33">
        <f ca="1">IF(INDEX(Summary!$C$15:$C$25,MATCH(Y$1,Summary!$B$15:$B$25,0))="x",IF($A42=$A41,Y41,SUM(I$2:I42)),0)</f>
        <v>33.706293605934555</v>
      </c>
      <c r="Z42" s="33">
        <f ca="1">IF(INDEX(Summary!$C$15:$C$25,MATCH(Z$1,Summary!$B$15:$B$25,0))="x",IF($A42=$A41,Z41,SUM(J$2:J42)),0)</f>
        <v>2.6929709900831185</v>
      </c>
      <c r="AA42" s="33">
        <f ca="1">IF(INDEX(Summary!$C$15:$C$25,MATCH(AA$1,Summary!$B$15:$B$25,0))="x",IF($A42=$A41,AA41,SUM(K$2:K42)),0)</f>
        <v>2.1088791087863119</v>
      </c>
      <c r="AB42" s="33">
        <f ca="1">IF(INDEX(Summary!$C$15:$C$25,MATCH(AB$1,Summary!$B$15:$B$25,0))="x",IF($A42=$A41,AB41,SUM(L$2:L42)),0)</f>
        <v>106.73175227815442</v>
      </c>
    </row>
    <row r="43" spans="1:28" x14ac:dyDescent="0.35">
      <c r="A43" s="5">
        <f t="shared" ca="1" si="0"/>
        <v>44311</v>
      </c>
      <c r="B43" s="33">
        <f ca="1">IF(INDEX(Summary!$C$15:$C$25,MATCH(B$1,Summary!$B$15:$B$25,0))="x",INDEX('Week Selection'!C$3:C$59,MATCH($A43,'Week Selection'!$A$3:$A$59,0)),0)</f>
        <v>0</v>
      </c>
      <c r="C43" s="33">
        <f ca="1">IF(INDEX(Summary!$C$15:$C$24,MATCH(C$1,Summary!$B$15:$B$24,0))="x",INDEX('Week Selection'!D$3:D$59,MATCH($A43,'Week Selection'!$A$3:$A$59,0)),0)</f>
        <v>0</v>
      </c>
      <c r="D43" s="33">
        <f ca="1">IF(INDEX(Summary!$C$15:$C$24,MATCH(D$1,Summary!$B$15:$B$24,0))="x",INDEX('Week Selection'!E$3:E$59,MATCH($A43,'Week Selection'!$A$3:$A$59,0)),0)</f>
        <v>1.748083597495659</v>
      </c>
      <c r="E43" s="33">
        <f ca="1">IF(INDEX(Summary!$C$15:$C$24,MATCH(E$1,Summary!$B$15:$B$24,0))="x",INDEX('Week Selection'!F$3:F$59,MATCH($A43,'Week Selection'!$A$3:$A$59,0)),0)</f>
        <v>2.8223655073890401</v>
      </c>
      <c r="F43" s="33">
        <f ca="1">IF(INDEX(Summary!$C$15:$C$24,MATCH(F$1,Summary!$B$15:$B$24,0))="x",INDEX('Week Selection'!G$3:G$59,MATCH($A43,'Week Selection'!$A$3:$A$59,0)),0)</f>
        <v>0.82527431862617928</v>
      </c>
      <c r="G43" s="33">
        <f ca="1">IF(INDEX(Summary!$C$15:$C$24,MATCH(G$1,Summary!$B$15:$B$24,0))="x",INDEX('Week Selection'!H$3:H$59,MATCH($A43,'Week Selection'!$A$3:$A$59,0)),0)</f>
        <v>0</v>
      </c>
      <c r="H43" s="33">
        <f ca="1">IF(INDEX(Summary!$C$15:$C$24,MATCH(H$1,Summary!$B$15:$B$24,0))="x",INDEX('Week Selection'!I$3:I$59,MATCH($A43,'Week Selection'!$A$3:$A$59,0)),0)</f>
        <v>7.4067881023645148</v>
      </c>
      <c r="I43" s="33">
        <f ca="1">IF(INDEX(Summary!$C$15:$C$24,MATCH(I$1,Summary!$B$15:$B$24,0))="x",INDEX('Week Selection'!J$3:J$59,MATCH($A43,'Week Selection'!$A$3:$A$59,0)),0)</f>
        <v>3.0632684748533494</v>
      </c>
      <c r="J43" s="33">
        <f ca="1">IF(INDEX(Summary!$C$15:$C$24,MATCH(J$1,Summary!$B$15:$B$24,0))="x",INDEX('Week Selection'!K$3:K$59,MATCH($A43,'Week Selection'!$A$3:$A$59,0)),0)</f>
        <v>0</v>
      </c>
      <c r="K43" s="33">
        <f ca="1">IF(INDEX(Summary!$C$15:$C$24,MATCH(K$1,Summary!$B$15:$B$24,0))="x",INDEX('Week Selection'!L$3:L$59,MATCH($A43,'Week Selection'!$A$3:$A$59,0)),0)</f>
        <v>2.1088791087863119</v>
      </c>
      <c r="L43" s="33">
        <f ca="1">IF(INDEX(Summary!$C$15:$C$25,MATCH(L$1,Summary!$B$15:$B$25,0))="x",INDEX('Week Selection'!M$3:M$59,MATCH($A43,'Week Selection'!$A$3:$A$59,0)),0)</f>
        <v>0</v>
      </c>
      <c r="M43" s="3"/>
      <c r="N43" s="7">
        <f ca="1">INDEX('Week Selection'!O$3:O$59,MATCH($A43,'Week Selection'!$A$3:$A$59,0))</f>
        <v>0.31447339215010439</v>
      </c>
      <c r="O43" s="7">
        <f ca="1">INDEX('Week Selection'!P$3:P$59,MATCH($A43,'Week Selection'!$A$3:$A$59,0))</f>
        <v>0.40566438780048486</v>
      </c>
      <c r="P43" s="7">
        <f ca="1">INDEX('Week Selection'!Q$3:Q$59,MATCH($A43,'Week Selection'!$A$3:$A$59,0))</f>
        <v>0.39943686910033449</v>
      </c>
      <c r="R43" s="33">
        <f ca="1">IF(INDEX(Summary!$C$15:$C$25,MATCH(R$1,Summary!$B$15:$B$25,0))="x",IF($A43=$A42,R42,SUM(B$2:B43)),0)</f>
        <v>40.243651161885559</v>
      </c>
      <c r="S43" s="33">
        <f ca="1">IF(INDEX(Summary!$C$15:$C$25,MATCH(S$1,Summary!$B$15:$B$25,0))="x",IF($A43=$A42,S42,SUM(C$2:C43)),0)</f>
        <v>100.60912790462605</v>
      </c>
      <c r="T43" s="33">
        <f ca="1">IF(INDEX(Summary!$C$15:$C$25,MATCH(T$1,Summary!$B$15:$B$25,0))="x",IF($A43=$A42,T42,SUM(D$2:D43)),0)</f>
        <v>155.04425549620117</v>
      </c>
      <c r="U43" s="33">
        <f ca="1">IF(INDEX(Summary!$C$15:$C$25,MATCH(U$1,Summary!$B$15:$B$25,0))="x",IF($A43=$A42,U42,SUM(E$2:E43)),0)</f>
        <v>415.39971827603136</v>
      </c>
      <c r="V43" s="33">
        <f ca="1">IF(INDEX(Summary!$C$15:$C$25,MATCH(V$1,Summary!$B$15:$B$25,0))="x",IF($A43=$A42,V42,SUM(F$2:F43)),0)</f>
        <v>93.580462440266857</v>
      </c>
      <c r="W43" s="33">
        <f ca="1">IF(INDEX(Summary!$C$15:$C$25,MATCH(W$1,Summary!$B$15:$B$25,0))="x",IF($A43=$A42,W42,SUM(G$2:G43)),0)</f>
        <v>364.97610019221014</v>
      </c>
      <c r="X43" s="33">
        <f ca="1">IF(INDEX(Summary!$C$15:$C$25,MATCH(X$1,Summary!$B$15:$B$25,0))="x",IF($A43=$A42,X42,SUM(H$2:H43)),0)</f>
        <v>239.51232564344795</v>
      </c>
      <c r="Y43" s="33">
        <f ca="1">IF(INDEX(Summary!$C$15:$C$25,MATCH(Y$1,Summary!$B$15:$B$25,0))="x",IF($A43=$A42,Y42,SUM(I$2:I43)),0)</f>
        <v>33.706293605934555</v>
      </c>
      <c r="Z43" s="33">
        <f ca="1">IF(INDEX(Summary!$C$15:$C$25,MATCH(Z$1,Summary!$B$15:$B$25,0))="x",IF($A43=$A42,Z42,SUM(J$2:J43)),0)</f>
        <v>2.6929709900831185</v>
      </c>
      <c r="AA43" s="33">
        <f ca="1">IF(INDEX(Summary!$C$15:$C$25,MATCH(AA$1,Summary!$B$15:$B$25,0))="x",IF($A43=$A42,AA42,SUM(K$2:K43)),0)</f>
        <v>2.1088791087863119</v>
      </c>
      <c r="AB43" s="33">
        <f ca="1">IF(INDEX(Summary!$C$15:$C$25,MATCH(AB$1,Summary!$B$15:$B$25,0))="x",IF($A43=$A42,AB42,SUM(L$2:L43)),0)</f>
        <v>106.73175227815442</v>
      </c>
    </row>
    <row r="44" spans="1:28" x14ac:dyDescent="0.35">
      <c r="A44" s="5">
        <f t="shared" ca="1" si="0"/>
        <v>44311</v>
      </c>
      <c r="B44" s="33">
        <f ca="1">IF(INDEX(Summary!$C$15:$C$25,MATCH(B$1,Summary!$B$15:$B$25,0))="x",INDEX('Week Selection'!C$3:C$59,MATCH($A44,'Week Selection'!$A$3:$A$59,0)),0)</f>
        <v>0</v>
      </c>
      <c r="C44" s="33">
        <f ca="1">IF(INDEX(Summary!$C$15:$C$24,MATCH(C$1,Summary!$B$15:$B$24,0))="x",INDEX('Week Selection'!D$3:D$59,MATCH($A44,'Week Selection'!$A$3:$A$59,0)),0)</f>
        <v>0</v>
      </c>
      <c r="D44" s="33">
        <f ca="1">IF(INDEX(Summary!$C$15:$C$24,MATCH(D$1,Summary!$B$15:$B$24,0))="x",INDEX('Week Selection'!E$3:E$59,MATCH($A44,'Week Selection'!$A$3:$A$59,0)),0)</f>
        <v>1.748083597495659</v>
      </c>
      <c r="E44" s="33">
        <f ca="1">IF(INDEX(Summary!$C$15:$C$24,MATCH(E$1,Summary!$B$15:$B$24,0))="x",INDEX('Week Selection'!F$3:F$59,MATCH($A44,'Week Selection'!$A$3:$A$59,0)),0)</f>
        <v>2.8223655073890401</v>
      </c>
      <c r="F44" s="33">
        <f ca="1">IF(INDEX(Summary!$C$15:$C$24,MATCH(F$1,Summary!$B$15:$B$24,0))="x",INDEX('Week Selection'!G$3:G$59,MATCH($A44,'Week Selection'!$A$3:$A$59,0)),0)</f>
        <v>0.82527431862617928</v>
      </c>
      <c r="G44" s="33">
        <f ca="1">IF(INDEX(Summary!$C$15:$C$24,MATCH(G$1,Summary!$B$15:$B$24,0))="x",INDEX('Week Selection'!H$3:H$59,MATCH($A44,'Week Selection'!$A$3:$A$59,0)),0)</f>
        <v>0</v>
      </c>
      <c r="H44" s="33">
        <f ca="1">IF(INDEX(Summary!$C$15:$C$24,MATCH(H$1,Summary!$B$15:$B$24,0))="x",INDEX('Week Selection'!I$3:I$59,MATCH($A44,'Week Selection'!$A$3:$A$59,0)),0)</f>
        <v>7.4067881023645148</v>
      </c>
      <c r="I44" s="33">
        <f ca="1">IF(INDEX(Summary!$C$15:$C$24,MATCH(I$1,Summary!$B$15:$B$24,0))="x",INDEX('Week Selection'!J$3:J$59,MATCH($A44,'Week Selection'!$A$3:$A$59,0)),0)</f>
        <v>3.0632684748533494</v>
      </c>
      <c r="J44" s="33">
        <f ca="1">IF(INDEX(Summary!$C$15:$C$24,MATCH(J$1,Summary!$B$15:$B$24,0))="x",INDEX('Week Selection'!K$3:K$59,MATCH($A44,'Week Selection'!$A$3:$A$59,0)),0)</f>
        <v>0</v>
      </c>
      <c r="K44" s="33">
        <f ca="1">IF(INDEX(Summary!$C$15:$C$24,MATCH(K$1,Summary!$B$15:$B$24,0))="x",INDEX('Week Selection'!L$3:L$59,MATCH($A44,'Week Selection'!$A$3:$A$59,0)),0)</f>
        <v>2.1088791087863119</v>
      </c>
      <c r="L44" s="33">
        <f ca="1">IF(INDEX(Summary!$C$15:$C$25,MATCH(L$1,Summary!$B$15:$B$25,0))="x",INDEX('Week Selection'!M$3:M$59,MATCH($A44,'Week Selection'!$A$3:$A$59,0)),0)</f>
        <v>0</v>
      </c>
      <c r="M44" s="3"/>
      <c r="N44" s="7">
        <f ca="1">INDEX('Week Selection'!O$3:O$59,MATCH($A44,'Week Selection'!$A$3:$A$59,0))</f>
        <v>0.31447339215010439</v>
      </c>
      <c r="O44" s="7">
        <f ca="1">INDEX('Week Selection'!P$3:P$59,MATCH($A44,'Week Selection'!$A$3:$A$59,0))</f>
        <v>0.40566438780048486</v>
      </c>
      <c r="P44" s="7">
        <f ca="1">INDEX('Week Selection'!Q$3:Q$59,MATCH($A44,'Week Selection'!$A$3:$A$59,0))</f>
        <v>0.39943686910033449</v>
      </c>
      <c r="R44" s="33">
        <f ca="1">IF(INDEX(Summary!$C$15:$C$25,MATCH(R$1,Summary!$B$15:$B$25,0))="x",IF($A44=$A43,R43,SUM(B$2:B44)),0)</f>
        <v>40.243651161885559</v>
      </c>
      <c r="S44" s="33">
        <f ca="1">IF(INDEX(Summary!$C$15:$C$25,MATCH(S$1,Summary!$B$15:$B$25,0))="x",IF($A44=$A43,S43,SUM(C$2:C44)),0)</f>
        <v>100.60912790462605</v>
      </c>
      <c r="T44" s="33">
        <f ca="1">IF(INDEX(Summary!$C$15:$C$25,MATCH(T$1,Summary!$B$15:$B$25,0))="x",IF($A44=$A43,T43,SUM(D$2:D44)),0)</f>
        <v>155.04425549620117</v>
      </c>
      <c r="U44" s="33">
        <f ca="1">IF(INDEX(Summary!$C$15:$C$25,MATCH(U$1,Summary!$B$15:$B$25,0))="x",IF($A44=$A43,U43,SUM(E$2:E44)),0)</f>
        <v>415.39971827603136</v>
      </c>
      <c r="V44" s="33">
        <f ca="1">IF(INDEX(Summary!$C$15:$C$25,MATCH(V$1,Summary!$B$15:$B$25,0))="x",IF($A44=$A43,V43,SUM(F$2:F44)),0)</f>
        <v>93.580462440266857</v>
      </c>
      <c r="W44" s="33">
        <f ca="1">IF(INDEX(Summary!$C$15:$C$25,MATCH(W$1,Summary!$B$15:$B$25,0))="x",IF($A44=$A43,W43,SUM(G$2:G44)),0)</f>
        <v>364.97610019221014</v>
      </c>
      <c r="X44" s="33">
        <f ca="1">IF(INDEX(Summary!$C$15:$C$25,MATCH(X$1,Summary!$B$15:$B$25,0))="x",IF($A44=$A43,X43,SUM(H$2:H44)),0)</f>
        <v>239.51232564344795</v>
      </c>
      <c r="Y44" s="33">
        <f ca="1">IF(INDEX(Summary!$C$15:$C$25,MATCH(Y$1,Summary!$B$15:$B$25,0))="x",IF($A44=$A43,Y43,SUM(I$2:I44)),0)</f>
        <v>33.706293605934555</v>
      </c>
      <c r="Z44" s="33">
        <f ca="1">IF(INDEX(Summary!$C$15:$C$25,MATCH(Z$1,Summary!$B$15:$B$25,0))="x",IF($A44=$A43,Z43,SUM(J$2:J44)),0)</f>
        <v>2.6929709900831185</v>
      </c>
      <c r="AA44" s="33">
        <f ca="1">IF(INDEX(Summary!$C$15:$C$25,MATCH(AA$1,Summary!$B$15:$B$25,0))="x",IF($A44=$A43,AA43,SUM(K$2:K44)),0)</f>
        <v>2.1088791087863119</v>
      </c>
      <c r="AB44" s="33">
        <f ca="1">IF(INDEX(Summary!$C$15:$C$25,MATCH(AB$1,Summary!$B$15:$B$25,0))="x",IF($A44=$A43,AB43,SUM(L$2:L44)),0)</f>
        <v>106.73175227815442</v>
      </c>
    </row>
    <row r="45" spans="1:28" x14ac:dyDescent="0.35">
      <c r="A45" s="5">
        <f t="shared" ca="1" si="0"/>
        <v>44311</v>
      </c>
      <c r="B45" s="33">
        <f ca="1">IF(INDEX(Summary!$C$15:$C$25,MATCH(B$1,Summary!$B$15:$B$25,0))="x",INDEX('Week Selection'!C$3:C$59,MATCH($A45,'Week Selection'!$A$3:$A$59,0)),0)</f>
        <v>0</v>
      </c>
      <c r="C45" s="33">
        <f ca="1">IF(INDEX(Summary!$C$15:$C$24,MATCH(C$1,Summary!$B$15:$B$24,0))="x",INDEX('Week Selection'!D$3:D$59,MATCH($A45,'Week Selection'!$A$3:$A$59,0)),0)</f>
        <v>0</v>
      </c>
      <c r="D45" s="33">
        <f ca="1">IF(INDEX(Summary!$C$15:$C$24,MATCH(D$1,Summary!$B$15:$B$24,0))="x",INDEX('Week Selection'!E$3:E$59,MATCH($A45,'Week Selection'!$A$3:$A$59,0)),0)</f>
        <v>1.748083597495659</v>
      </c>
      <c r="E45" s="33">
        <f ca="1">IF(INDEX(Summary!$C$15:$C$24,MATCH(E$1,Summary!$B$15:$B$24,0))="x",INDEX('Week Selection'!F$3:F$59,MATCH($A45,'Week Selection'!$A$3:$A$59,0)),0)</f>
        <v>2.8223655073890401</v>
      </c>
      <c r="F45" s="33">
        <f ca="1">IF(INDEX(Summary!$C$15:$C$24,MATCH(F$1,Summary!$B$15:$B$24,0))="x",INDEX('Week Selection'!G$3:G$59,MATCH($A45,'Week Selection'!$A$3:$A$59,0)),0)</f>
        <v>0.82527431862617928</v>
      </c>
      <c r="G45" s="33">
        <f ca="1">IF(INDEX(Summary!$C$15:$C$24,MATCH(G$1,Summary!$B$15:$B$24,0))="x",INDEX('Week Selection'!H$3:H$59,MATCH($A45,'Week Selection'!$A$3:$A$59,0)),0)</f>
        <v>0</v>
      </c>
      <c r="H45" s="33">
        <f ca="1">IF(INDEX(Summary!$C$15:$C$24,MATCH(H$1,Summary!$B$15:$B$24,0))="x",INDEX('Week Selection'!I$3:I$59,MATCH($A45,'Week Selection'!$A$3:$A$59,0)),0)</f>
        <v>7.4067881023645148</v>
      </c>
      <c r="I45" s="33">
        <f ca="1">IF(INDEX(Summary!$C$15:$C$24,MATCH(I$1,Summary!$B$15:$B$24,0))="x",INDEX('Week Selection'!J$3:J$59,MATCH($A45,'Week Selection'!$A$3:$A$59,0)),0)</f>
        <v>3.0632684748533494</v>
      </c>
      <c r="J45" s="33">
        <f ca="1">IF(INDEX(Summary!$C$15:$C$24,MATCH(J$1,Summary!$B$15:$B$24,0))="x",INDEX('Week Selection'!K$3:K$59,MATCH($A45,'Week Selection'!$A$3:$A$59,0)),0)</f>
        <v>0</v>
      </c>
      <c r="K45" s="33">
        <f ca="1">IF(INDEX(Summary!$C$15:$C$24,MATCH(K$1,Summary!$B$15:$B$24,0))="x",INDEX('Week Selection'!L$3:L$59,MATCH($A45,'Week Selection'!$A$3:$A$59,0)),0)</f>
        <v>2.1088791087863119</v>
      </c>
      <c r="L45" s="33">
        <f ca="1">IF(INDEX(Summary!$C$15:$C$25,MATCH(L$1,Summary!$B$15:$B$25,0))="x",INDEX('Week Selection'!M$3:M$59,MATCH($A45,'Week Selection'!$A$3:$A$59,0)),0)</f>
        <v>0</v>
      </c>
      <c r="M45" s="3"/>
      <c r="N45" s="7">
        <f ca="1">INDEX('Week Selection'!O$3:O$59,MATCH($A45,'Week Selection'!$A$3:$A$59,0))</f>
        <v>0.31447339215010439</v>
      </c>
      <c r="O45" s="7">
        <f ca="1">INDEX('Week Selection'!P$3:P$59,MATCH($A45,'Week Selection'!$A$3:$A$59,0))</f>
        <v>0.40566438780048486</v>
      </c>
      <c r="P45" s="7">
        <f ca="1">INDEX('Week Selection'!Q$3:Q$59,MATCH($A45,'Week Selection'!$A$3:$A$59,0))</f>
        <v>0.39943686910033449</v>
      </c>
      <c r="R45" s="33">
        <f ca="1">IF(INDEX(Summary!$C$15:$C$25,MATCH(R$1,Summary!$B$15:$B$25,0))="x",IF($A45=$A44,R44,SUM(B$2:B45)),0)</f>
        <v>40.243651161885559</v>
      </c>
      <c r="S45" s="33">
        <f ca="1">IF(INDEX(Summary!$C$15:$C$25,MATCH(S$1,Summary!$B$15:$B$25,0))="x",IF($A45=$A44,S44,SUM(C$2:C45)),0)</f>
        <v>100.60912790462605</v>
      </c>
      <c r="T45" s="33">
        <f ca="1">IF(INDEX(Summary!$C$15:$C$25,MATCH(T$1,Summary!$B$15:$B$25,0))="x",IF($A45=$A44,T44,SUM(D$2:D45)),0)</f>
        <v>155.04425549620117</v>
      </c>
      <c r="U45" s="33">
        <f ca="1">IF(INDEX(Summary!$C$15:$C$25,MATCH(U$1,Summary!$B$15:$B$25,0))="x",IF($A45=$A44,U44,SUM(E$2:E45)),0)</f>
        <v>415.39971827603136</v>
      </c>
      <c r="V45" s="33">
        <f ca="1">IF(INDEX(Summary!$C$15:$C$25,MATCH(V$1,Summary!$B$15:$B$25,0))="x",IF($A45=$A44,V44,SUM(F$2:F45)),0)</f>
        <v>93.580462440266857</v>
      </c>
      <c r="W45" s="33">
        <f ca="1">IF(INDEX(Summary!$C$15:$C$25,MATCH(W$1,Summary!$B$15:$B$25,0))="x",IF($A45=$A44,W44,SUM(G$2:G45)),0)</f>
        <v>364.97610019221014</v>
      </c>
      <c r="X45" s="33">
        <f ca="1">IF(INDEX(Summary!$C$15:$C$25,MATCH(X$1,Summary!$B$15:$B$25,0))="x",IF($A45=$A44,X44,SUM(H$2:H45)),0)</f>
        <v>239.51232564344795</v>
      </c>
      <c r="Y45" s="33">
        <f ca="1">IF(INDEX(Summary!$C$15:$C$25,MATCH(Y$1,Summary!$B$15:$B$25,0))="x",IF($A45=$A44,Y44,SUM(I$2:I45)),0)</f>
        <v>33.706293605934555</v>
      </c>
      <c r="Z45" s="33">
        <f ca="1">IF(INDEX(Summary!$C$15:$C$25,MATCH(Z$1,Summary!$B$15:$B$25,0))="x",IF($A45=$A44,Z44,SUM(J$2:J45)),0)</f>
        <v>2.6929709900831185</v>
      </c>
      <c r="AA45" s="33">
        <f ca="1">IF(INDEX(Summary!$C$15:$C$25,MATCH(AA$1,Summary!$B$15:$B$25,0))="x",IF($A45=$A44,AA44,SUM(K$2:K45)),0)</f>
        <v>2.1088791087863119</v>
      </c>
      <c r="AB45" s="33">
        <f ca="1">IF(INDEX(Summary!$C$15:$C$25,MATCH(AB$1,Summary!$B$15:$B$25,0))="x",IF($A45=$A44,AB44,SUM(L$2:L45)),0)</f>
        <v>106.73175227815442</v>
      </c>
    </row>
    <row r="46" spans="1:28" x14ac:dyDescent="0.35">
      <c r="A46" s="5">
        <f t="shared" ca="1" si="0"/>
        <v>44311</v>
      </c>
      <c r="B46" s="33">
        <f ca="1">IF(INDEX(Summary!$C$15:$C$25,MATCH(B$1,Summary!$B$15:$B$25,0))="x",INDEX('Week Selection'!C$3:C$59,MATCH($A46,'Week Selection'!$A$3:$A$59,0)),0)</f>
        <v>0</v>
      </c>
      <c r="C46" s="33">
        <f ca="1">IF(INDEX(Summary!$C$15:$C$24,MATCH(C$1,Summary!$B$15:$B$24,0))="x",INDEX('Week Selection'!D$3:D$59,MATCH($A46,'Week Selection'!$A$3:$A$59,0)),0)</f>
        <v>0</v>
      </c>
      <c r="D46" s="33">
        <f ca="1">IF(INDEX(Summary!$C$15:$C$24,MATCH(D$1,Summary!$B$15:$B$24,0))="x",INDEX('Week Selection'!E$3:E$59,MATCH($A46,'Week Selection'!$A$3:$A$59,0)),0)</f>
        <v>1.748083597495659</v>
      </c>
      <c r="E46" s="33">
        <f ca="1">IF(INDEX(Summary!$C$15:$C$24,MATCH(E$1,Summary!$B$15:$B$24,0))="x",INDEX('Week Selection'!F$3:F$59,MATCH($A46,'Week Selection'!$A$3:$A$59,0)),0)</f>
        <v>2.8223655073890401</v>
      </c>
      <c r="F46" s="33">
        <f ca="1">IF(INDEX(Summary!$C$15:$C$24,MATCH(F$1,Summary!$B$15:$B$24,0))="x",INDEX('Week Selection'!G$3:G$59,MATCH($A46,'Week Selection'!$A$3:$A$59,0)),0)</f>
        <v>0.82527431862617928</v>
      </c>
      <c r="G46" s="33">
        <f ca="1">IF(INDEX(Summary!$C$15:$C$24,MATCH(G$1,Summary!$B$15:$B$24,0))="x",INDEX('Week Selection'!H$3:H$59,MATCH($A46,'Week Selection'!$A$3:$A$59,0)),0)</f>
        <v>0</v>
      </c>
      <c r="H46" s="33">
        <f ca="1">IF(INDEX(Summary!$C$15:$C$24,MATCH(H$1,Summary!$B$15:$B$24,0))="x",INDEX('Week Selection'!I$3:I$59,MATCH($A46,'Week Selection'!$A$3:$A$59,0)),0)</f>
        <v>7.4067881023645148</v>
      </c>
      <c r="I46" s="33">
        <f ca="1">IF(INDEX(Summary!$C$15:$C$24,MATCH(I$1,Summary!$B$15:$B$24,0))="x",INDEX('Week Selection'!J$3:J$59,MATCH($A46,'Week Selection'!$A$3:$A$59,0)),0)</f>
        <v>3.0632684748533494</v>
      </c>
      <c r="J46" s="33">
        <f ca="1">IF(INDEX(Summary!$C$15:$C$24,MATCH(J$1,Summary!$B$15:$B$24,0))="x",INDEX('Week Selection'!K$3:K$59,MATCH($A46,'Week Selection'!$A$3:$A$59,0)),0)</f>
        <v>0</v>
      </c>
      <c r="K46" s="33">
        <f ca="1">IF(INDEX(Summary!$C$15:$C$24,MATCH(K$1,Summary!$B$15:$B$24,0))="x",INDEX('Week Selection'!L$3:L$59,MATCH($A46,'Week Selection'!$A$3:$A$59,0)),0)</f>
        <v>2.1088791087863119</v>
      </c>
      <c r="L46" s="33">
        <f ca="1">IF(INDEX(Summary!$C$15:$C$25,MATCH(L$1,Summary!$B$15:$B$25,0))="x",INDEX('Week Selection'!M$3:M$59,MATCH($A46,'Week Selection'!$A$3:$A$59,0)),0)</f>
        <v>0</v>
      </c>
      <c r="M46" s="3"/>
      <c r="N46" s="7">
        <f ca="1">INDEX('Week Selection'!O$3:O$59,MATCH($A46,'Week Selection'!$A$3:$A$59,0))</f>
        <v>0.31447339215010439</v>
      </c>
      <c r="O46" s="7">
        <f ca="1">INDEX('Week Selection'!P$3:P$59,MATCH($A46,'Week Selection'!$A$3:$A$59,0))</f>
        <v>0.40566438780048486</v>
      </c>
      <c r="P46" s="7">
        <f ca="1">INDEX('Week Selection'!Q$3:Q$59,MATCH($A46,'Week Selection'!$A$3:$A$59,0))</f>
        <v>0.39943686910033449</v>
      </c>
      <c r="R46" s="33">
        <f ca="1">IF(INDEX(Summary!$C$15:$C$25,MATCH(R$1,Summary!$B$15:$B$25,0))="x",IF($A46=$A45,R45,SUM(B$2:B46)),0)</f>
        <v>40.243651161885559</v>
      </c>
      <c r="S46" s="33">
        <f ca="1">IF(INDEX(Summary!$C$15:$C$25,MATCH(S$1,Summary!$B$15:$B$25,0))="x",IF($A46=$A45,S45,SUM(C$2:C46)),0)</f>
        <v>100.60912790462605</v>
      </c>
      <c r="T46" s="33">
        <f ca="1">IF(INDEX(Summary!$C$15:$C$25,MATCH(T$1,Summary!$B$15:$B$25,0))="x",IF($A46=$A45,T45,SUM(D$2:D46)),0)</f>
        <v>155.04425549620117</v>
      </c>
      <c r="U46" s="33">
        <f ca="1">IF(INDEX(Summary!$C$15:$C$25,MATCH(U$1,Summary!$B$15:$B$25,0))="x",IF($A46=$A45,U45,SUM(E$2:E46)),0)</f>
        <v>415.39971827603136</v>
      </c>
      <c r="V46" s="33">
        <f ca="1">IF(INDEX(Summary!$C$15:$C$25,MATCH(V$1,Summary!$B$15:$B$25,0))="x",IF($A46=$A45,V45,SUM(F$2:F46)),0)</f>
        <v>93.580462440266857</v>
      </c>
      <c r="W46" s="33">
        <f ca="1">IF(INDEX(Summary!$C$15:$C$25,MATCH(W$1,Summary!$B$15:$B$25,0))="x",IF($A46=$A45,W45,SUM(G$2:G46)),0)</f>
        <v>364.97610019221014</v>
      </c>
      <c r="X46" s="33">
        <f ca="1">IF(INDEX(Summary!$C$15:$C$25,MATCH(X$1,Summary!$B$15:$B$25,0))="x",IF($A46=$A45,X45,SUM(H$2:H46)),0)</f>
        <v>239.51232564344795</v>
      </c>
      <c r="Y46" s="33">
        <f ca="1">IF(INDEX(Summary!$C$15:$C$25,MATCH(Y$1,Summary!$B$15:$B$25,0))="x",IF($A46=$A45,Y45,SUM(I$2:I46)),0)</f>
        <v>33.706293605934555</v>
      </c>
      <c r="Z46" s="33">
        <f ca="1">IF(INDEX(Summary!$C$15:$C$25,MATCH(Z$1,Summary!$B$15:$B$25,0))="x",IF($A46=$A45,Z45,SUM(J$2:J46)),0)</f>
        <v>2.6929709900831185</v>
      </c>
      <c r="AA46" s="33">
        <f ca="1">IF(INDEX(Summary!$C$15:$C$25,MATCH(AA$1,Summary!$B$15:$B$25,0))="x",IF($A46=$A45,AA45,SUM(K$2:K46)),0)</f>
        <v>2.1088791087863119</v>
      </c>
      <c r="AB46" s="33">
        <f ca="1">IF(INDEX(Summary!$C$15:$C$25,MATCH(AB$1,Summary!$B$15:$B$25,0))="x",IF($A46=$A45,AB45,SUM(L$2:L46)),0)</f>
        <v>106.73175227815442</v>
      </c>
    </row>
    <row r="47" spans="1:28" x14ac:dyDescent="0.35">
      <c r="A47" s="5">
        <f t="shared" ca="1" si="0"/>
        <v>44311</v>
      </c>
      <c r="B47" s="33">
        <f ca="1">IF(INDEX(Summary!$C$15:$C$25,MATCH(B$1,Summary!$B$15:$B$25,0))="x",INDEX('Week Selection'!C$3:C$59,MATCH($A47,'Week Selection'!$A$3:$A$59,0)),0)</f>
        <v>0</v>
      </c>
      <c r="C47" s="33">
        <f ca="1">IF(INDEX(Summary!$C$15:$C$24,MATCH(C$1,Summary!$B$15:$B$24,0))="x",INDEX('Week Selection'!D$3:D$59,MATCH($A47,'Week Selection'!$A$3:$A$59,0)),0)</f>
        <v>0</v>
      </c>
      <c r="D47" s="33">
        <f ca="1">IF(INDEX(Summary!$C$15:$C$24,MATCH(D$1,Summary!$B$15:$B$24,0))="x",INDEX('Week Selection'!E$3:E$59,MATCH($A47,'Week Selection'!$A$3:$A$59,0)),0)</f>
        <v>1.748083597495659</v>
      </c>
      <c r="E47" s="33">
        <f ca="1">IF(INDEX(Summary!$C$15:$C$24,MATCH(E$1,Summary!$B$15:$B$24,0))="x",INDEX('Week Selection'!F$3:F$59,MATCH($A47,'Week Selection'!$A$3:$A$59,0)),0)</f>
        <v>2.8223655073890401</v>
      </c>
      <c r="F47" s="33">
        <f ca="1">IF(INDEX(Summary!$C$15:$C$24,MATCH(F$1,Summary!$B$15:$B$24,0))="x",INDEX('Week Selection'!G$3:G$59,MATCH($A47,'Week Selection'!$A$3:$A$59,0)),0)</f>
        <v>0.82527431862617928</v>
      </c>
      <c r="G47" s="33">
        <f ca="1">IF(INDEX(Summary!$C$15:$C$24,MATCH(G$1,Summary!$B$15:$B$24,0))="x",INDEX('Week Selection'!H$3:H$59,MATCH($A47,'Week Selection'!$A$3:$A$59,0)),0)</f>
        <v>0</v>
      </c>
      <c r="H47" s="33">
        <f ca="1">IF(INDEX(Summary!$C$15:$C$24,MATCH(H$1,Summary!$B$15:$B$24,0))="x",INDEX('Week Selection'!I$3:I$59,MATCH($A47,'Week Selection'!$A$3:$A$59,0)),0)</f>
        <v>7.4067881023645148</v>
      </c>
      <c r="I47" s="33">
        <f ca="1">IF(INDEX(Summary!$C$15:$C$24,MATCH(I$1,Summary!$B$15:$B$24,0))="x",INDEX('Week Selection'!J$3:J$59,MATCH($A47,'Week Selection'!$A$3:$A$59,0)),0)</f>
        <v>3.0632684748533494</v>
      </c>
      <c r="J47" s="33">
        <f ca="1">IF(INDEX(Summary!$C$15:$C$24,MATCH(J$1,Summary!$B$15:$B$24,0))="x",INDEX('Week Selection'!K$3:K$59,MATCH($A47,'Week Selection'!$A$3:$A$59,0)),0)</f>
        <v>0</v>
      </c>
      <c r="K47" s="33">
        <f ca="1">IF(INDEX(Summary!$C$15:$C$24,MATCH(K$1,Summary!$B$15:$B$24,0))="x",INDEX('Week Selection'!L$3:L$59,MATCH($A47,'Week Selection'!$A$3:$A$59,0)),0)</f>
        <v>2.1088791087863119</v>
      </c>
      <c r="L47" s="33">
        <f ca="1">IF(INDEX(Summary!$C$15:$C$25,MATCH(L$1,Summary!$B$15:$B$25,0))="x",INDEX('Week Selection'!M$3:M$59,MATCH($A47,'Week Selection'!$A$3:$A$59,0)),0)</f>
        <v>0</v>
      </c>
      <c r="M47" s="3"/>
      <c r="N47" s="7">
        <f ca="1">INDEX('Week Selection'!O$3:O$59,MATCH($A47,'Week Selection'!$A$3:$A$59,0))</f>
        <v>0.31447339215010439</v>
      </c>
      <c r="O47" s="7">
        <f ca="1">INDEX('Week Selection'!P$3:P$59,MATCH($A47,'Week Selection'!$A$3:$A$59,0))</f>
        <v>0.40566438780048486</v>
      </c>
      <c r="P47" s="7">
        <f ca="1">INDEX('Week Selection'!Q$3:Q$59,MATCH($A47,'Week Selection'!$A$3:$A$59,0))</f>
        <v>0.39943686910033449</v>
      </c>
      <c r="R47" s="33">
        <f ca="1">IF(INDEX(Summary!$C$15:$C$25,MATCH(R$1,Summary!$B$15:$B$25,0))="x",IF($A47=$A46,R46,SUM(B$2:B47)),0)</f>
        <v>40.243651161885559</v>
      </c>
      <c r="S47" s="33">
        <f ca="1">IF(INDEX(Summary!$C$15:$C$25,MATCH(S$1,Summary!$B$15:$B$25,0))="x",IF($A47=$A46,S46,SUM(C$2:C47)),0)</f>
        <v>100.60912790462605</v>
      </c>
      <c r="T47" s="33">
        <f ca="1">IF(INDEX(Summary!$C$15:$C$25,MATCH(T$1,Summary!$B$15:$B$25,0))="x",IF($A47=$A46,T46,SUM(D$2:D47)),0)</f>
        <v>155.04425549620117</v>
      </c>
      <c r="U47" s="33">
        <f ca="1">IF(INDEX(Summary!$C$15:$C$25,MATCH(U$1,Summary!$B$15:$B$25,0))="x",IF($A47=$A46,U46,SUM(E$2:E47)),0)</f>
        <v>415.39971827603136</v>
      </c>
      <c r="V47" s="33">
        <f ca="1">IF(INDEX(Summary!$C$15:$C$25,MATCH(V$1,Summary!$B$15:$B$25,0))="x",IF($A47=$A46,V46,SUM(F$2:F47)),0)</f>
        <v>93.580462440266857</v>
      </c>
      <c r="W47" s="33">
        <f ca="1">IF(INDEX(Summary!$C$15:$C$25,MATCH(W$1,Summary!$B$15:$B$25,0))="x",IF($A47=$A46,W46,SUM(G$2:G47)),0)</f>
        <v>364.97610019221014</v>
      </c>
      <c r="X47" s="33">
        <f ca="1">IF(INDEX(Summary!$C$15:$C$25,MATCH(X$1,Summary!$B$15:$B$25,0))="x",IF($A47=$A46,X46,SUM(H$2:H47)),0)</f>
        <v>239.51232564344795</v>
      </c>
      <c r="Y47" s="33">
        <f ca="1">IF(INDEX(Summary!$C$15:$C$25,MATCH(Y$1,Summary!$B$15:$B$25,0))="x",IF($A47=$A46,Y46,SUM(I$2:I47)),0)</f>
        <v>33.706293605934555</v>
      </c>
      <c r="Z47" s="33">
        <f ca="1">IF(INDEX(Summary!$C$15:$C$25,MATCH(Z$1,Summary!$B$15:$B$25,0))="x",IF($A47=$A46,Z46,SUM(J$2:J47)),0)</f>
        <v>2.6929709900831185</v>
      </c>
      <c r="AA47" s="33">
        <f ca="1">IF(INDEX(Summary!$C$15:$C$25,MATCH(AA$1,Summary!$B$15:$B$25,0))="x",IF($A47=$A46,AA46,SUM(K$2:K47)),0)</f>
        <v>2.1088791087863119</v>
      </c>
      <c r="AB47" s="33">
        <f ca="1">IF(INDEX(Summary!$C$15:$C$25,MATCH(AB$1,Summary!$B$15:$B$25,0))="x",IF($A47=$A46,AB46,SUM(L$2:L47)),0)</f>
        <v>106.73175227815442</v>
      </c>
    </row>
    <row r="48" spans="1:28" x14ac:dyDescent="0.35">
      <c r="A48" s="5">
        <f t="shared" ca="1" si="0"/>
        <v>44311</v>
      </c>
      <c r="B48" s="33">
        <f ca="1">IF(INDEX(Summary!$C$15:$C$25,MATCH(B$1,Summary!$B$15:$B$25,0))="x",INDEX('Week Selection'!C$3:C$59,MATCH($A48,'Week Selection'!$A$3:$A$59,0)),0)</f>
        <v>0</v>
      </c>
      <c r="C48" s="33">
        <f ca="1">IF(INDEX(Summary!$C$15:$C$24,MATCH(C$1,Summary!$B$15:$B$24,0))="x",INDEX('Week Selection'!D$3:D$59,MATCH($A48,'Week Selection'!$A$3:$A$59,0)),0)</f>
        <v>0</v>
      </c>
      <c r="D48" s="33">
        <f ca="1">IF(INDEX(Summary!$C$15:$C$24,MATCH(D$1,Summary!$B$15:$B$24,0))="x",INDEX('Week Selection'!E$3:E$59,MATCH($A48,'Week Selection'!$A$3:$A$59,0)),0)</f>
        <v>1.748083597495659</v>
      </c>
      <c r="E48" s="33">
        <f ca="1">IF(INDEX(Summary!$C$15:$C$24,MATCH(E$1,Summary!$B$15:$B$24,0))="x",INDEX('Week Selection'!F$3:F$59,MATCH($A48,'Week Selection'!$A$3:$A$59,0)),0)</f>
        <v>2.8223655073890401</v>
      </c>
      <c r="F48" s="33">
        <f ca="1">IF(INDEX(Summary!$C$15:$C$24,MATCH(F$1,Summary!$B$15:$B$24,0))="x",INDEX('Week Selection'!G$3:G$59,MATCH($A48,'Week Selection'!$A$3:$A$59,0)),0)</f>
        <v>0.82527431862617928</v>
      </c>
      <c r="G48" s="33">
        <f ca="1">IF(INDEX(Summary!$C$15:$C$24,MATCH(G$1,Summary!$B$15:$B$24,0))="x",INDEX('Week Selection'!H$3:H$59,MATCH($A48,'Week Selection'!$A$3:$A$59,0)),0)</f>
        <v>0</v>
      </c>
      <c r="H48" s="33">
        <f ca="1">IF(INDEX(Summary!$C$15:$C$24,MATCH(H$1,Summary!$B$15:$B$24,0))="x",INDEX('Week Selection'!I$3:I$59,MATCH($A48,'Week Selection'!$A$3:$A$59,0)),0)</f>
        <v>7.4067881023645148</v>
      </c>
      <c r="I48" s="33">
        <f ca="1">IF(INDEX(Summary!$C$15:$C$24,MATCH(I$1,Summary!$B$15:$B$24,0))="x",INDEX('Week Selection'!J$3:J$59,MATCH($A48,'Week Selection'!$A$3:$A$59,0)),0)</f>
        <v>3.0632684748533494</v>
      </c>
      <c r="J48" s="33">
        <f ca="1">IF(INDEX(Summary!$C$15:$C$24,MATCH(J$1,Summary!$B$15:$B$24,0))="x",INDEX('Week Selection'!K$3:K$59,MATCH($A48,'Week Selection'!$A$3:$A$59,0)),0)</f>
        <v>0</v>
      </c>
      <c r="K48" s="33">
        <f ca="1">IF(INDEX(Summary!$C$15:$C$24,MATCH(K$1,Summary!$B$15:$B$24,0))="x",INDEX('Week Selection'!L$3:L$59,MATCH($A48,'Week Selection'!$A$3:$A$59,0)),0)</f>
        <v>2.1088791087863119</v>
      </c>
      <c r="L48" s="33">
        <f ca="1">IF(INDEX(Summary!$C$15:$C$25,MATCH(L$1,Summary!$B$15:$B$25,0))="x",INDEX('Week Selection'!M$3:M$59,MATCH($A48,'Week Selection'!$A$3:$A$59,0)),0)</f>
        <v>0</v>
      </c>
      <c r="M48" s="3"/>
      <c r="N48" s="7">
        <f ca="1">INDEX('Week Selection'!O$3:O$59,MATCH($A48,'Week Selection'!$A$3:$A$59,0))</f>
        <v>0.31447339215010439</v>
      </c>
      <c r="O48" s="7">
        <f ca="1">INDEX('Week Selection'!P$3:P$59,MATCH($A48,'Week Selection'!$A$3:$A$59,0))</f>
        <v>0.40566438780048486</v>
      </c>
      <c r="P48" s="7">
        <f ca="1">INDEX('Week Selection'!Q$3:Q$59,MATCH($A48,'Week Selection'!$A$3:$A$59,0))</f>
        <v>0.39943686910033449</v>
      </c>
      <c r="R48" s="33">
        <f ca="1">IF(INDEX(Summary!$C$15:$C$25,MATCH(R$1,Summary!$B$15:$B$25,0))="x",IF($A48=$A47,R47,SUM(B$2:B48)),0)</f>
        <v>40.243651161885559</v>
      </c>
      <c r="S48" s="33">
        <f ca="1">IF(INDEX(Summary!$C$15:$C$25,MATCH(S$1,Summary!$B$15:$B$25,0))="x",IF($A48=$A47,S47,SUM(C$2:C48)),0)</f>
        <v>100.60912790462605</v>
      </c>
      <c r="T48" s="33">
        <f ca="1">IF(INDEX(Summary!$C$15:$C$25,MATCH(T$1,Summary!$B$15:$B$25,0))="x",IF($A48=$A47,T47,SUM(D$2:D48)),0)</f>
        <v>155.04425549620117</v>
      </c>
      <c r="U48" s="33">
        <f ca="1">IF(INDEX(Summary!$C$15:$C$25,MATCH(U$1,Summary!$B$15:$B$25,0))="x",IF($A48=$A47,U47,SUM(E$2:E48)),0)</f>
        <v>415.39971827603136</v>
      </c>
      <c r="V48" s="33">
        <f ca="1">IF(INDEX(Summary!$C$15:$C$25,MATCH(V$1,Summary!$B$15:$B$25,0))="x",IF($A48=$A47,V47,SUM(F$2:F48)),0)</f>
        <v>93.580462440266857</v>
      </c>
      <c r="W48" s="33">
        <f ca="1">IF(INDEX(Summary!$C$15:$C$25,MATCH(W$1,Summary!$B$15:$B$25,0))="x",IF($A48=$A47,W47,SUM(G$2:G48)),0)</f>
        <v>364.97610019221014</v>
      </c>
      <c r="X48" s="33">
        <f ca="1">IF(INDEX(Summary!$C$15:$C$25,MATCH(X$1,Summary!$B$15:$B$25,0))="x",IF($A48=$A47,X47,SUM(H$2:H48)),0)</f>
        <v>239.51232564344795</v>
      </c>
      <c r="Y48" s="33">
        <f ca="1">IF(INDEX(Summary!$C$15:$C$25,MATCH(Y$1,Summary!$B$15:$B$25,0))="x",IF($A48=$A47,Y47,SUM(I$2:I48)),0)</f>
        <v>33.706293605934555</v>
      </c>
      <c r="Z48" s="33">
        <f ca="1">IF(INDEX(Summary!$C$15:$C$25,MATCH(Z$1,Summary!$B$15:$B$25,0))="x",IF($A48=$A47,Z47,SUM(J$2:J48)),0)</f>
        <v>2.6929709900831185</v>
      </c>
      <c r="AA48" s="33">
        <f ca="1">IF(INDEX(Summary!$C$15:$C$25,MATCH(AA$1,Summary!$B$15:$B$25,0))="x",IF($A48=$A47,AA47,SUM(K$2:K48)),0)</f>
        <v>2.1088791087863119</v>
      </c>
      <c r="AB48" s="33">
        <f ca="1">IF(INDEX(Summary!$C$15:$C$25,MATCH(AB$1,Summary!$B$15:$B$25,0))="x",IF($A48=$A47,AB47,SUM(L$2:L48)),0)</f>
        <v>106.73175227815442</v>
      </c>
    </row>
    <row r="49" spans="1:28" x14ac:dyDescent="0.35">
      <c r="A49" s="5">
        <f t="shared" ca="1" si="0"/>
        <v>44311</v>
      </c>
      <c r="B49" s="33">
        <f ca="1">IF(INDEX(Summary!$C$15:$C$25,MATCH(B$1,Summary!$B$15:$B$25,0))="x",INDEX('Week Selection'!C$3:C$59,MATCH($A49,'Week Selection'!$A$3:$A$59,0)),0)</f>
        <v>0</v>
      </c>
      <c r="C49" s="33">
        <f ca="1">IF(INDEX(Summary!$C$15:$C$24,MATCH(C$1,Summary!$B$15:$B$24,0))="x",INDEX('Week Selection'!D$3:D$59,MATCH($A49,'Week Selection'!$A$3:$A$59,0)),0)</f>
        <v>0</v>
      </c>
      <c r="D49" s="33">
        <f ca="1">IF(INDEX(Summary!$C$15:$C$24,MATCH(D$1,Summary!$B$15:$B$24,0))="x",INDEX('Week Selection'!E$3:E$59,MATCH($A49,'Week Selection'!$A$3:$A$59,0)),0)</f>
        <v>1.748083597495659</v>
      </c>
      <c r="E49" s="33">
        <f ca="1">IF(INDEX(Summary!$C$15:$C$24,MATCH(E$1,Summary!$B$15:$B$24,0))="x",INDEX('Week Selection'!F$3:F$59,MATCH($A49,'Week Selection'!$A$3:$A$59,0)),0)</f>
        <v>2.8223655073890401</v>
      </c>
      <c r="F49" s="33">
        <f ca="1">IF(INDEX(Summary!$C$15:$C$24,MATCH(F$1,Summary!$B$15:$B$24,0))="x",INDEX('Week Selection'!G$3:G$59,MATCH($A49,'Week Selection'!$A$3:$A$59,0)),0)</f>
        <v>0.82527431862617928</v>
      </c>
      <c r="G49" s="33">
        <f ca="1">IF(INDEX(Summary!$C$15:$C$24,MATCH(G$1,Summary!$B$15:$B$24,0))="x",INDEX('Week Selection'!H$3:H$59,MATCH($A49,'Week Selection'!$A$3:$A$59,0)),0)</f>
        <v>0</v>
      </c>
      <c r="H49" s="33">
        <f ca="1">IF(INDEX(Summary!$C$15:$C$24,MATCH(H$1,Summary!$B$15:$B$24,0))="x",INDEX('Week Selection'!I$3:I$59,MATCH($A49,'Week Selection'!$A$3:$A$59,0)),0)</f>
        <v>7.4067881023645148</v>
      </c>
      <c r="I49" s="33">
        <f ca="1">IF(INDEX(Summary!$C$15:$C$24,MATCH(I$1,Summary!$B$15:$B$24,0))="x",INDEX('Week Selection'!J$3:J$59,MATCH($A49,'Week Selection'!$A$3:$A$59,0)),0)</f>
        <v>3.0632684748533494</v>
      </c>
      <c r="J49" s="33">
        <f ca="1">IF(INDEX(Summary!$C$15:$C$24,MATCH(J$1,Summary!$B$15:$B$24,0))="x",INDEX('Week Selection'!K$3:K$59,MATCH($A49,'Week Selection'!$A$3:$A$59,0)),0)</f>
        <v>0</v>
      </c>
      <c r="K49" s="33">
        <f ca="1">IF(INDEX(Summary!$C$15:$C$24,MATCH(K$1,Summary!$B$15:$B$24,0))="x",INDEX('Week Selection'!L$3:L$59,MATCH($A49,'Week Selection'!$A$3:$A$59,0)),0)</f>
        <v>2.1088791087863119</v>
      </c>
      <c r="L49" s="33">
        <f ca="1">IF(INDEX(Summary!$C$15:$C$25,MATCH(L$1,Summary!$B$15:$B$25,0))="x",INDEX('Week Selection'!M$3:M$59,MATCH($A49,'Week Selection'!$A$3:$A$59,0)),0)</f>
        <v>0</v>
      </c>
      <c r="M49" s="3"/>
      <c r="N49" s="7">
        <f ca="1">INDEX('Week Selection'!O$3:O$59,MATCH($A49,'Week Selection'!$A$3:$A$59,0))</f>
        <v>0.31447339215010439</v>
      </c>
      <c r="O49" s="7">
        <f ca="1">INDEX('Week Selection'!P$3:P$59,MATCH($A49,'Week Selection'!$A$3:$A$59,0))</f>
        <v>0.40566438780048486</v>
      </c>
      <c r="P49" s="7">
        <f ca="1">INDEX('Week Selection'!Q$3:Q$59,MATCH($A49,'Week Selection'!$A$3:$A$59,0))</f>
        <v>0.39943686910033449</v>
      </c>
      <c r="R49" s="33">
        <f ca="1">IF(INDEX(Summary!$C$15:$C$25,MATCH(R$1,Summary!$B$15:$B$25,0))="x",IF($A49=$A48,R48,SUM(B$2:B49)),0)</f>
        <v>40.243651161885559</v>
      </c>
      <c r="S49" s="33">
        <f ca="1">IF(INDEX(Summary!$C$15:$C$25,MATCH(S$1,Summary!$B$15:$B$25,0))="x",IF($A49=$A48,S48,SUM(C$2:C49)),0)</f>
        <v>100.60912790462605</v>
      </c>
      <c r="T49" s="33">
        <f ca="1">IF(INDEX(Summary!$C$15:$C$25,MATCH(T$1,Summary!$B$15:$B$25,0))="x",IF($A49=$A48,T48,SUM(D$2:D49)),0)</f>
        <v>155.04425549620117</v>
      </c>
      <c r="U49" s="33">
        <f ca="1">IF(INDEX(Summary!$C$15:$C$25,MATCH(U$1,Summary!$B$15:$B$25,0))="x",IF($A49=$A48,U48,SUM(E$2:E49)),0)</f>
        <v>415.39971827603136</v>
      </c>
      <c r="V49" s="33">
        <f ca="1">IF(INDEX(Summary!$C$15:$C$25,MATCH(V$1,Summary!$B$15:$B$25,0))="x",IF($A49=$A48,V48,SUM(F$2:F49)),0)</f>
        <v>93.580462440266857</v>
      </c>
      <c r="W49" s="33">
        <f ca="1">IF(INDEX(Summary!$C$15:$C$25,MATCH(W$1,Summary!$B$15:$B$25,0))="x",IF($A49=$A48,W48,SUM(G$2:G49)),0)</f>
        <v>364.97610019221014</v>
      </c>
      <c r="X49" s="33">
        <f ca="1">IF(INDEX(Summary!$C$15:$C$25,MATCH(X$1,Summary!$B$15:$B$25,0))="x",IF($A49=$A48,X48,SUM(H$2:H49)),0)</f>
        <v>239.51232564344795</v>
      </c>
      <c r="Y49" s="33">
        <f ca="1">IF(INDEX(Summary!$C$15:$C$25,MATCH(Y$1,Summary!$B$15:$B$25,0))="x",IF($A49=$A48,Y48,SUM(I$2:I49)),0)</f>
        <v>33.706293605934555</v>
      </c>
      <c r="Z49" s="33">
        <f ca="1">IF(INDEX(Summary!$C$15:$C$25,MATCH(Z$1,Summary!$B$15:$B$25,0))="x",IF($A49=$A48,Z48,SUM(J$2:J49)),0)</f>
        <v>2.6929709900831185</v>
      </c>
      <c r="AA49" s="33">
        <f ca="1">IF(INDEX(Summary!$C$15:$C$25,MATCH(AA$1,Summary!$B$15:$B$25,0))="x",IF($A49=$A48,AA48,SUM(K$2:K49)),0)</f>
        <v>2.1088791087863119</v>
      </c>
      <c r="AB49" s="33">
        <f ca="1">IF(INDEX(Summary!$C$15:$C$25,MATCH(AB$1,Summary!$B$15:$B$25,0))="x",IF($A49=$A48,AB48,SUM(L$2:L49)),0)</f>
        <v>106.73175227815442</v>
      </c>
    </row>
    <row r="50" spans="1:28" x14ac:dyDescent="0.35">
      <c r="A50" s="5">
        <f t="shared" ca="1" si="0"/>
        <v>44311</v>
      </c>
      <c r="B50" s="33">
        <f ca="1">IF(INDEX(Summary!$C$15:$C$25,MATCH(B$1,Summary!$B$15:$B$25,0))="x",INDEX('Week Selection'!C$3:C$59,MATCH($A50,'Week Selection'!$A$3:$A$59,0)),0)</f>
        <v>0</v>
      </c>
      <c r="C50" s="33">
        <f ca="1">IF(INDEX(Summary!$C$15:$C$24,MATCH(C$1,Summary!$B$15:$B$24,0))="x",INDEX('Week Selection'!D$3:D$59,MATCH($A50,'Week Selection'!$A$3:$A$59,0)),0)</f>
        <v>0</v>
      </c>
      <c r="D50" s="33">
        <f ca="1">IF(INDEX(Summary!$C$15:$C$24,MATCH(D$1,Summary!$B$15:$B$24,0))="x",INDEX('Week Selection'!E$3:E$59,MATCH($A50,'Week Selection'!$A$3:$A$59,0)),0)</f>
        <v>1.748083597495659</v>
      </c>
      <c r="E50" s="33">
        <f ca="1">IF(INDEX(Summary!$C$15:$C$24,MATCH(E$1,Summary!$B$15:$B$24,0))="x",INDEX('Week Selection'!F$3:F$59,MATCH($A50,'Week Selection'!$A$3:$A$59,0)),0)</f>
        <v>2.8223655073890401</v>
      </c>
      <c r="F50" s="33">
        <f ca="1">IF(INDEX(Summary!$C$15:$C$24,MATCH(F$1,Summary!$B$15:$B$24,0))="x",INDEX('Week Selection'!G$3:G$59,MATCH($A50,'Week Selection'!$A$3:$A$59,0)),0)</f>
        <v>0.82527431862617928</v>
      </c>
      <c r="G50" s="33">
        <f ca="1">IF(INDEX(Summary!$C$15:$C$24,MATCH(G$1,Summary!$B$15:$B$24,0))="x",INDEX('Week Selection'!H$3:H$59,MATCH($A50,'Week Selection'!$A$3:$A$59,0)),0)</f>
        <v>0</v>
      </c>
      <c r="H50" s="33">
        <f ca="1">IF(INDEX(Summary!$C$15:$C$24,MATCH(H$1,Summary!$B$15:$B$24,0))="x",INDEX('Week Selection'!I$3:I$59,MATCH($A50,'Week Selection'!$A$3:$A$59,0)),0)</f>
        <v>7.4067881023645148</v>
      </c>
      <c r="I50" s="33">
        <f ca="1">IF(INDEX(Summary!$C$15:$C$24,MATCH(I$1,Summary!$B$15:$B$24,0))="x",INDEX('Week Selection'!J$3:J$59,MATCH($A50,'Week Selection'!$A$3:$A$59,0)),0)</f>
        <v>3.0632684748533494</v>
      </c>
      <c r="J50" s="33">
        <f ca="1">IF(INDEX(Summary!$C$15:$C$24,MATCH(J$1,Summary!$B$15:$B$24,0))="x",INDEX('Week Selection'!K$3:K$59,MATCH($A50,'Week Selection'!$A$3:$A$59,0)),0)</f>
        <v>0</v>
      </c>
      <c r="K50" s="33">
        <f ca="1">IF(INDEX(Summary!$C$15:$C$24,MATCH(K$1,Summary!$B$15:$B$24,0))="x",INDEX('Week Selection'!L$3:L$59,MATCH($A50,'Week Selection'!$A$3:$A$59,0)),0)</f>
        <v>2.1088791087863119</v>
      </c>
      <c r="L50" s="33">
        <f ca="1">IF(INDEX(Summary!$C$15:$C$25,MATCH(L$1,Summary!$B$15:$B$25,0))="x",INDEX('Week Selection'!M$3:M$59,MATCH($A50,'Week Selection'!$A$3:$A$59,0)),0)</f>
        <v>0</v>
      </c>
      <c r="M50" s="3"/>
      <c r="N50" s="7">
        <f ca="1">INDEX('Week Selection'!O$3:O$59,MATCH($A50,'Week Selection'!$A$3:$A$59,0))</f>
        <v>0.31447339215010439</v>
      </c>
      <c r="O50" s="7">
        <f ca="1">INDEX('Week Selection'!P$3:P$59,MATCH($A50,'Week Selection'!$A$3:$A$59,0))</f>
        <v>0.40566438780048486</v>
      </c>
      <c r="P50" s="7">
        <f ca="1">INDEX('Week Selection'!Q$3:Q$59,MATCH($A50,'Week Selection'!$A$3:$A$59,0))</f>
        <v>0.39943686910033449</v>
      </c>
      <c r="R50" s="33">
        <f ca="1">IF(INDEX(Summary!$C$15:$C$25,MATCH(R$1,Summary!$B$15:$B$25,0))="x",IF($A50=$A49,R49,SUM(B$2:B50)),0)</f>
        <v>40.243651161885559</v>
      </c>
      <c r="S50" s="33">
        <f ca="1">IF(INDEX(Summary!$C$15:$C$25,MATCH(S$1,Summary!$B$15:$B$25,0))="x",IF($A50=$A49,S49,SUM(C$2:C50)),0)</f>
        <v>100.60912790462605</v>
      </c>
      <c r="T50" s="33">
        <f ca="1">IF(INDEX(Summary!$C$15:$C$25,MATCH(T$1,Summary!$B$15:$B$25,0))="x",IF($A50=$A49,T49,SUM(D$2:D50)),0)</f>
        <v>155.04425549620117</v>
      </c>
      <c r="U50" s="33">
        <f ca="1">IF(INDEX(Summary!$C$15:$C$25,MATCH(U$1,Summary!$B$15:$B$25,0))="x",IF($A50=$A49,U49,SUM(E$2:E50)),0)</f>
        <v>415.39971827603136</v>
      </c>
      <c r="V50" s="33">
        <f ca="1">IF(INDEX(Summary!$C$15:$C$25,MATCH(V$1,Summary!$B$15:$B$25,0))="x",IF($A50=$A49,V49,SUM(F$2:F50)),0)</f>
        <v>93.580462440266857</v>
      </c>
      <c r="W50" s="33">
        <f ca="1">IF(INDEX(Summary!$C$15:$C$25,MATCH(W$1,Summary!$B$15:$B$25,0))="x",IF($A50=$A49,W49,SUM(G$2:G50)),0)</f>
        <v>364.97610019221014</v>
      </c>
      <c r="X50" s="33">
        <f ca="1">IF(INDEX(Summary!$C$15:$C$25,MATCH(X$1,Summary!$B$15:$B$25,0))="x",IF($A50=$A49,X49,SUM(H$2:H50)),0)</f>
        <v>239.51232564344795</v>
      </c>
      <c r="Y50" s="33">
        <f ca="1">IF(INDEX(Summary!$C$15:$C$25,MATCH(Y$1,Summary!$B$15:$B$25,0))="x",IF($A50=$A49,Y49,SUM(I$2:I50)),0)</f>
        <v>33.706293605934555</v>
      </c>
      <c r="Z50" s="33">
        <f ca="1">IF(INDEX(Summary!$C$15:$C$25,MATCH(Z$1,Summary!$B$15:$B$25,0))="x",IF($A50=$A49,Z49,SUM(J$2:J50)),0)</f>
        <v>2.6929709900831185</v>
      </c>
      <c r="AA50" s="33">
        <f ca="1">IF(INDEX(Summary!$C$15:$C$25,MATCH(AA$1,Summary!$B$15:$B$25,0))="x",IF($A50=$A49,AA49,SUM(K$2:K50)),0)</f>
        <v>2.1088791087863119</v>
      </c>
      <c r="AB50" s="33">
        <f ca="1">IF(INDEX(Summary!$C$15:$C$25,MATCH(AB$1,Summary!$B$15:$B$25,0))="x",IF($A50=$A49,AB49,SUM(L$2:L50)),0)</f>
        <v>106.73175227815442</v>
      </c>
    </row>
    <row r="51" spans="1:28" x14ac:dyDescent="0.35">
      <c r="A51" s="5">
        <f t="shared" ca="1" si="0"/>
        <v>44311</v>
      </c>
      <c r="B51" s="33">
        <f ca="1">IF(INDEX(Summary!$C$15:$C$25,MATCH(B$1,Summary!$B$15:$B$25,0))="x",INDEX('Week Selection'!C$3:C$59,MATCH($A51,'Week Selection'!$A$3:$A$59,0)),0)</f>
        <v>0</v>
      </c>
      <c r="C51" s="33">
        <f ca="1">IF(INDEX(Summary!$C$15:$C$24,MATCH(C$1,Summary!$B$15:$B$24,0))="x",INDEX('Week Selection'!D$3:D$59,MATCH($A51,'Week Selection'!$A$3:$A$59,0)),0)</f>
        <v>0</v>
      </c>
      <c r="D51" s="33">
        <f ca="1">IF(INDEX(Summary!$C$15:$C$24,MATCH(D$1,Summary!$B$15:$B$24,0))="x",INDEX('Week Selection'!E$3:E$59,MATCH($A51,'Week Selection'!$A$3:$A$59,0)),0)</f>
        <v>1.748083597495659</v>
      </c>
      <c r="E51" s="33">
        <f ca="1">IF(INDEX(Summary!$C$15:$C$24,MATCH(E$1,Summary!$B$15:$B$24,0))="x",INDEX('Week Selection'!F$3:F$59,MATCH($A51,'Week Selection'!$A$3:$A$59,0)),0)</f>
        <v>2.8223655073890401</v>
      </c>
      <c r="F51" s="33">
        <f ca="1">IF(INDEX(Summary!$C$15:$C$24,MATCH(F$1,Summary!$B$15:$B$24,0))="x",INDEX('Week Selection'!G$3:G$59,MATCH($A51,'Week Selection'!$A$3:$A$59,0)),0)</f>
        <v>0.82527431862617928</v>
      </c>
      <c r="G51" s="33">
        <f ca="1">IF(INDEX(Summary!$C$15:$C$24,MATCH(G$1,Summary!$B$15:$B$24,0))="x",INDEX('Week Selection'!H$3:H$59,MATCH($A51,'Week Selection'!$A$3:$A$59,0)),0)</f>
        <v>0</v>
      </c>
      <c r="H51" s="33">
        <f ca="1">IF(INDEX(Summary!$C$15:$C$24,MATCH(H$1,Summary!$B$15:$B$24,0))="x",INDEX('Week Selection'!I$3:I$59,MATCH($A51,'Week Selection'!$A$3:$A$59,0)),0)</f>
        <v>7.4067881023645148</v>
      </c>
      <c r="I51" s="33">
        <f ca="1">IF(INDEX(Summary!$C$15:$C$24,MATCH(I$1,Summary!$B$15:$B$24,0))="x",INDEX('Week Selection'!J$3:J$59,MATCH($A51,'Week Selection'!$A$3:$A$59,0)),0)</f>
        <v>3.0632684748533494</v>
      </c>
      <c r="J51" s="33">
        <f ca="1">IF(INDEX(Summary!$C$15:$C$24,MATCH(J$1,Summary!$B$15:$B$24,0))="x",INDEX('Week Selection'!K$3:K$59,MATCH($A51,'Week Selection'!$A$3:$A$59,0)),0)</f>
        <v>0</v>
      </c>
      <c r="K51" s="33">
        <f ca="1">IF(INDEX(Summary!$C$15:$C$24,MATCH(K$1,Summary!$B$15:$B$24,0))="x",INDEX('Week Selection'!L$3:L$59,MATCH($A51,'Week Selection'!$A$3:$A$59,0)),0)</f>
        <v>2.1088791087863119</v>
      </c>
      <c r="L51" s="33">
        <f ca="1">IF(INDEX(Summary!$C$15:$C$25,MATCH(L$1,Summary!$B$15:$B$25,0))="x",INDEX('Week Selection'!M$3:M$59,MATCH($A51,'Week Selection'!$A$3:$A$59,0)),0)</f>
        <v>0</v>
      </c>
      <c r="M51" s="3"/>
      <c r="N51" s="7">
        <f ca="1">INDEX('Week Selection'!O$3:O$59,MATCH($A51,'Week Selection'!$A$3:$A$59,0))</f>
        <v>0.31447339215010439</v>
      </c>
      <c r="O51" s="7">
        <f ca="1">INDEX('Week Selection'!P$3:P$59,MATCH($A51,'Week Selection'!$A$3:$A$59,0))</f>
        <v>0.40566438780048486</v>
      </c>
      <c r="P51" s="7">
        <f ca="1">INDEX('Week Selection'!Q$3:Q$59,MATCH($A51,'Week Selection'!$A$3:$A$59,0))</f>
        <v>0.39943686910033449</v>
      </c>
      <c r="R51" s="33">
        <f ca="1">IF(INDEX(Summary!$C$15:$C$25,MATCH(R$1,Summary!$B$15:$B$25,0))="x",IF($A51=$A50,R50,SUM(B$2:B51)),0)</f>
        <v>40.243651161885559</v>
      </c>
      <c r="S51" s="33">
        <f ca="1">IF(INDEX(Summary!$C$15:$C$25,MATCH(S$1,Summary!$B$15:$B$25,0))="x",IF($A51=$A50,S50,SUM(C$2:C51)),0)</f>
        <v>100.60912790462605</v>
      </c>
      <c r="T51" s="33">
        <f ca="1">IF(INDEX(Summary!$C$15:$C$25,MATCH(T$1,Summary!$B$15:$B$25,0))="x",IF($A51=$A50,T50,SUM(D$2:D51)),0)</f>
        <v>155.04425549620117</v>
      </c>
      <c r="U51" s="33">
        <f ca="1">IF(INDEX(Summary!$C$15:$C$25,MATCH(U$1,Summary!$B$15:$B$25,0))="x",IF($A51=$A50,U50,SUM(E$2:E51)),0)</f>
        <v>415.39971827603136</v>
      </c>
      <c r="V51" s="33">
        <f ca="1">IF(INDEX(Summary!$C$15:$C$25,MATCH(V$1,Summary!$B$15:$B$25,0))="x",IF($A51=$A50,V50,SUM(F$2:F51)),0)</f>
        <v>93.580462440266857</v>
      </c>
      <c r="W51" s="33">
        <f ca="1">IF(INDEX(Summary!$C$15:$C$25,MATCH(W$1,Summary!$B$15:$B$25,0))="x",IF($A51=$A50,W50,SUM(G$2:G51)),0)</f>
        <v>364.97610019221014</v>
      </c>
      <c r="X51" s="33">
        <f ca="1">IF(INDEX(Summary!$C$15:$C$25,MATCH(X$1,Summary!$B$15:$B$25,0))="x",IF($A51=$A50,X50,SUM(H$2:H51)),0)</f>
        <v>239.51232564344795</v>
      </c>
      <c r="Y51" s="33">
        <f ca="1">IF(INDEX(Summary!$C$15:$C$25,MATCH(Y$1,Summary!$B$15:$B$25,0))="x",IF($A51=$A50,Y50,SUM(I$2:I51)),0)</f>
        <v>33.706293605934555</v>
      </c>
      <c r="Z51" s="33">
        <f ca="1">IF(INDEX(Summary!$C$15:$C$25,MATCH(Z$1,Summary!$B$15:$B$25,0))="x",IF($A51=$A50,Z50,SUM(J$2:J51)),0)</f>
        <v>2.6929709900831185</v>
      </c>
      <c r="AA51" s="33">
        <f ca="1">IF(INDEX(Summary!$C$15:$C$25,MATCH(AA$1,Summary!$B$15:$B$25,0))="x",IF($A51=$A50,AA50,SUM(K$2:K51)),0)</f>
        <v>2.1088791087863119</v>
      </c>
      <c r="AB51" s="33">
        <f ca="1">IF(INDEX(Summary!$C$15:$C$25,MATCH(AB$1,Summary!$B$15:$B$25,0))="x",IF($A51=$A50,AB50,SUM(L$2:L51)),0)</f>
        <v>106.73175227815442</v>
      </c>
    </row>
    <row r="52" spans="1:28" x14ac:dyDescent="0.35">
      <c r="A52" s="5">
        <f t="shared" ca="1" si="0"/>
        <v>44311</v>
      </c>
      <c r="B52" s="33">
        <f ca="1">IF(INDEX(Summary!$C$15:$C$25,MATCH(B$1,Summary!$B$15:$B$25,0))="x",INDEX('Week Selection'!C$3:C$59,MATCH($A52,'Week Selection'!$A$3:$A$59,0)),0)</f>
        <v>0</v>
      </c>
      <c r="C52" s="33">
        <f ca="1">IF(INDEX(Summary!$C$15:$C$24,MATCH(C$1,Summary!$B$15:$B$24,0))="x",INDEX('Week Selection'!D$3:D$59,MATCH($A52,'Week Selection'!$A$3:$A$59,0)),0)</f>
        <v>0</v>
      </c>
      <c r="D52" s="33">
        <f ca="1">IF(INDEX(Summary!$C$15:$C$24,MATCH(D$1,Summary!$B$15:$B$24,0))="x",INDEX('Week Selection'!E$3:E$59,MATCH($A52,'Week Selection'!$A$3:$A$59,0)),0)</f>
        <v>1.748083597495659</v>
      </c>
      <c r="E52" s="33">
        <f ca="1">IF(INDEX(Summary!$C$15:$C$24,MATCH(E$1,Summary!$B$15:$B$24,0))="x",INDEX('Week Selection'!F$3:F$59,MATCH($A52,'Week Selection'!$A$3:$A$59,0)),0)</f>
        <v>2.8223655073890401</v>
      </c>
      <c r="F52" s="33">
        <f ca="1">IF(INDEX(Summary!$C$15:$C$24,MATCH(F$1,Summary!$B$15:$B$24,0))="x",INDEX('Week Selection'!G$3:G$59,MATCH($A52,'Week Selection'!$A$3:$A$59,0)),0)</f>
        <v>0.82527431862617928</v>
      </c>
      <c r="G52" s="33">
        <f ca="1">IF(INDEX(Summary!$C$15:$C$24,MATCH(G$1,Summary!$B$15:$B$24,0))="x",INDEX('Week Selection'!H$3:H$59,MATCH($A52,'Week Selection'!$A$3:$A$59,0)),0)</f>
        <v>0</v>
      </c>
      <c r="H52" s="33">
        <f ca="1">IF(INDEX(Summary!$C$15:$C$24,MATCH(H$1,Summary!$B$15:$B$24,0))="x",INDEX('Week Selection'!I$3:I$59,MATCH($A52,'Week Selection'!$A$3:$A$59,0)),0)</f>
        <v>7.4067881023645148</v>
      </c>
      <c r="I52" s="33">
        <f ca="1">IF(INDEX(Summary!$C$15:$C$24,MATCH(I$1,Summary!$B$15:$B$24,0))="x",INDEX('Week Selection'!J$3:J$59,MATCH($A52,'Week Selection'!$A$3:$A$59,0)),0)</f>
        <v>3.0632684748533494</v>
      </c>
      <c r="J52" s="33">
        <f ca="1">IF(INDEX(Summary!$C$15:$C$24,MATCH(J$1,Summary!$B$15:$B$24,0))="x",INDEX('Week Selection'!K$3:K$59,MATCH($A52,'Week Selection'!$A$3:$A$59,0)),0)</f>
        <v>0</v>
      </c>
      <c r="K52" s="33">
        <f ca="1">IF(INDEX(Summary!$C$15:$C$24,MATCH(K$1,Summary!$B$15:$B$24,0))="x",INDEX('Week Selection'!L$3:L$59,MATCH($A52,'Week Selection'!$A$3:$A$59,0)),0)</f>
        <v>2.1088791087863119</v>
      </c>
      <c r="L52" s="33">
        <f ca="1">IF(INDEX(Summary!$C$15:$C$25,MATCH(L$1,Summary!$B$15:$B$25,0))="x",INDEX('Week Selection'!M$3:M$59,MATCH($A52,'Week Selection'!$A$3:$A$59,0)),0)</f>
        <v>0</v>
      </c>
      <c r="M52" s="3"/>
      <c r="N52" s="7">
        <f ca="1">INDEX('Week Selection'!O$3:O$59,MATCH($A52,'Week Selection'!$A$3:$A$59,0))</f>
        <v>0.31447339215010439</v>
      </c>
      <c r="O52" s="7">
        <f ca="1">INDEX('Week Selection'!P$3:P$59,MATCH($A52,'Week Selection'!$A$3:$A$59,0))</f>
        <v>0.40566438780048486</v>
      </c>
      <c r="P52" s="7">
        <f ca="1">INDEX('Week Selection'!Q$3:Q$59,MATCH($A52,'Week Selection'!$A$3:$A$59,0))</f>
        <v>0.39943686910033449</v>
      </c>
      <c r="R52" s="33">
        <f ca="1">IF(INDEX(Summary!$C$15:$C$25,MATCH(R$1,Summary!$B$15:$B$25,0))="x",IF($A52=$A51,R51,SUM(B$2:B52)),0)</f>
        <v>40.243651161885559</v>
      </c>
      <c r="S52" s="33">
        <f ca="1">IF(INDEX(Summary!$C$15:$C$25,MATCH(S$1,Summary!$B$15:$B$25,0))="x",IF($A52=$A51,S51,SUM(C$2:C52)),0)</f>
        <v>100.60912790462605</v>
      </c>
      <c r="T52" s="33">
        <f ca="1">IF(INDEX(Summary!$C$15:$C$25,MATCH(T$1,Summary!$B$15:$B$25,0))="x",IF($A52=$A51,T51,SUM(D$2:D52)),0)</f>
        <v>155.04425549620117</v>
      </c>
      <c r="U52" s="33">
        <f ca="1">IF(INDEX(Summary!$C$15:$C$25,MATCH(U$1,Summary!$B$15:$B$25,0))="x",IF($A52=$A51,U51,SUM(E$2:E52)),0)</f>
        <v>415.39971827603136</v>
      </c>
      <c r="V52" s="33">
        <f ca="1">IF(INDEX(Summary!$C$15:$C$25,MATCH(V$1,Summary!$B$15:$B$25,0))="x",IF($A52=$A51,V51,SUM(F$2:F52)),0)</f>
        <v>93.580462440266857</v>
      </c>
      <c r="W52" s="33">
        <f ca="1">IF(INDEX(Summary!$C$15:$C$25,MATCH(W$1,Summary!$B$15:$B$25,0))="x",IF($A52=$A51,W51,SUM(G$2:G52)),0)</f>
        <v>364.97610019221014</v>
      </c>
      <c r="X52" s="33">
        <f ca="1">IF(INDEX(Summary!$C$15:$C$25,MATCH(X$1,Summary!$B$15:$B$25,0))="x",IF($A52=$A51,X51,SUM(H$2:H52)),0)</f>
        <v>239.51232564344795</v>
      </c>
      <c r="Y52" s="33">
        <f ca="1">IF(INDEX(Summary!$C$15:$C$25,MATCH(Y$1,Summary!$B$15:$B$25,0))="x",IF($A52=$A51,Y51,SUM(I$2:I52)),0)</f>
        <v>33.706293605934555</v>
      </c>
      <c r="Z52" s="33">
        <f ca="1">IF(INDEX(Summary!$C$15:$C$25,MATCH(Z$1,Summary!$B$15:$B$25,0))="x",IF($A52=$A51,Z51,SUM(J$2:J52)),0)</f>
        <v>2.6929709900831185</v>
      </c>
      <c r="AA52" s="33">
        <f ca="1">IF(INDEX(Summary!$C$15:$C$25,MATCH(AA$1,Summary!$B$15:$B$25,0))="x",IF($A52=$A51,AA51,SUM(K$2:K52)),0)</f>
        <v>2.1088791087863119</v>
      </c>
      <c r="AB52" s="33">
        <f ca="1">IF(INDEX(Summary!$C$15:$C$25,MATCH(AB$1,Summary!$B$15:$B$25,0))="x",IF($A52=$A51,AB51,SUM(L$2:L52)),0)</f>
        <v>106.73175227815442</v>
      </c>
    </row>
    <row r="53" spans="1:28" x14ac:dyDescent="0.35">
      <c r="A53" s="5">
        <f t="shared" ca="1" si="0"/>
        <v>44311</v>
      </c>
      <c r="B53" s="33">
        <f ca="1">IF(INDEX(Summary!$C$15:$C$25,MATCH(B$1,Summary!$B$15:$B$25,0))="x",INDEX('Week Selection'!C$3:C$59,MATCH($A53,'Week Selection'!$A$3:$A$59,0)),0)</f>
        <v>0</v>
      </c>
      <c r="C53" s="33">
        <f ca="1">IF(INDEX(Summary!$C$15:$C$24,MATCH(C$1,Summary!$B$15:$B$24,0))="x",INDEX('Week Selection'!D$3:D$59,MATCH($A53,'Week Selection'!$A$3:$A$59,0)),0)</f>
        <v>0</v>
      </c>
      <c r="D53" s="33">
        <f ca="1">IF(INDEX(Summary!$C$15:$C$24,MATCH(D$1,Summary!$B$15:$B$24,0))="x",INDEX('Week Selection'!E$3:E$59,MATCH($A53,'Week Selection'!$A$3:$A$59,0)),0)</f>
        <v>1.748083597495659</v>
      </c>
      <c r="E53" s="33">
        <f ca="1">IF(INDEX(Summary!$C$15:$C$24,MATCH(E$1,Summary!$B$15:$B$24,0))="x",INDEX('Week Selection'!F$3:F$59,MATCH($A53,'Week Selection'!$A$3:$A$59,0)),0)</f>
        <v>2.8223655073890401</v>
      </c>
      <c r="F53" s="33">
        <f ca="1">IF(INDEX(Summary!$C$15:$C$24,MATCH(F$1,Summary!$B$15:$B$24,0))="x",INDEX('Week Selection'!G$3:G$59,MATCH($A53,'Week Selection'!$A$3:$A$59,0)),0)</f>
        <v>0.82527431862617928</v>
      </c>
      <c r="G53" s="33">
        <f ca="1">IF(INDEX(Summary!$C$15:$C$24,MATCH(G$1,Summary!$B$15:$B$24,0))="x",INDEX('Week Selection'!H$3:H$59,MATCH($A53,'Week Selection'!$A$3:$A$59,0)),0)</f>
        <v>0</v>
      </c>
      <c r="H53" s="33">
        <f ca="1">IF(INDEX(Summary!$C$15:$C$24,MATCH(H$1,Summary!$B$15:$B$24,0))="x",INDEX('Week Selection'!I$3:I$59,MATCH($A53,'Week Selection'!$A$3:$A$59,0)),0)</f>
        <v>7.4067881023645148</v>
      </c>
      <c r="I53" s="33">
        <f ca="1">IF(INDEX(Summary!$C$15:$C$24,MATCH(I$1,Summary!$B$15:$B$24,0))="x",INDEX('Week Selection'!J$3:J$59,MATCH($A53,'Week Selection'!$A$3:$A$59,0)),0)</f>
        <v>3.0632684748533494</v>
      </c>
      <c r="J53" s="33">
        <f ca="1">IF(INDEX(Summary!$C$15:$C$24,MATCH(J$1,Summary!$B$15:$B$24,0))="x",INDEX('Week Selection'!K$3:K$59,MATCH($A53,'Week Selection'!$A$3:$A$59,0)),0)</f>
        <v>0</v>
      </c>
      <c r="K53" s="33">
        <f ca="1">IF(INDEX(Summary!$C$15:$C$24,MATCH(K$1,Summary!$B$15:$B$24,0))="x",INDEX('Week Selection'!L$3:L$59,MATCH($A53,'Week Selection'!$A$3:$A$59,0)),0)</f>
        <v>2.1088791087863119</v>
      </c>
      <c r="L53" s="33">
        <f ca="1">IF(INDEX(Summary!$C$15:$C$25,MATCH(L$1,Summary!$B$15:$B$25,0))="x",INDEX('Week Selection'!M$3:M$59,MATCH($A53,'Week Selection'!$A$3:$A$59,0)),0)</f>
        <v>0</v>
      </c>
      <c r="M53" s="3"/>
      <c r="N53" s="7">
        <f ca="1">INDEX('Week Selection'!O$3:O$59,MATCH($A53,'Week Selection'!$A$3:$A$59,0))</f>
        <v>0.31447339215010439</v>
      </c>
      <c r="O53" s="7">
        <f ca="1">INDEX('Week Selection'!P$3:P$59,MATCH($A53,'Week Selection'!$A$3:$A$59,0))</f>
        <v>0.40566438780048486</v>
      </c>
      <c r="P53" s="7">
        <f ca="1">INDEX('Week Selection'!Q$3:Q$59,MATCH($A53,'Week Selection'!$A$3:$A$59,0))</f>
        <v>0.39943686910033449</v>
      </c>
      <c r="R53" s="33">
        <f ca="1">IF(INDEX(Summary!$C$15:$C$25,MATCH(R$1,Summary!$B$15:$B$25,0))="x",IF($A53=$A52,R52,SUM(B$2:B53)),0)</f>
        <v>40.243651161885559</v>
      </c>
      <c r="S53" s="33">
        <f ca="1">IF(INDEX(Summary!$C$15:$C$25,MATCH(S$1,Summary!$B$15:$B$25,0))="x",IF($A53=$A52,S52,SUM(C$2:C53)),0)</f>
        <v>100.60912790462605</v>
      </c>
      <c r="T53" s="33">
        <f ca="1">IF(INDEX(Summary!$C$15:$C$25,MATCH(T$1,Summary!$B$15:$B$25,0))="x",IF($A53=$A52,T52,SUM(D$2:D53)),0)</f>
        <v>155.04425549620117</v>
      </c>
      <c r="U53" s="33">
        <f ca="1">IF(INDEX(Summary!$C$15:$C$25,MATCH(U$1,Summary!$B$15:$B$25,0))="x",IF($A53=$A52,U52,SUM(E$2:E53)),0)</f>
        <v>415.39971827603136</v>
      </c>
      <c r="V53" s="33">
        <f ca="1">IF(INDEX(Summary!$C$15:$C$25,MATCH(V$1,Summary!$B$15:$B$25,0))="x",IF($A53=$A52,V52,SUM(F$2:F53)),0)</f>
        <v>93.580462440266857</v>
      </c>
      <c r="W53" s="33">
        <f ca="1">IF(INDEX(Summary!$C$15:$C$25,MATCH(W$1,Summary!$B$15:$B$25,0))="x",IF($A53=$A52,W52,SUM(G$2:G53)),0)</f>
        <v>364.97610019221014</v>
      </c>
      <c r="X53" s="33">
        <f ca="1">IF(INDEX(Summary!$C$15:$C$25,MATCH(X$1,Summary!$B$15:$B$25,0))="x",IF($A53=$A52,X52,SUM(H$2:H53)),0)</f>
        <v>239.51232564344795</v>
      </c>
      <c r="Y53" s="33">
        <f ca="1">IF(INDEX(Summary!$C$15:$C$25,MATCH(Y$1,Summary!$B$15:$B$25,0))="x",IF($A53=$A52,Y52,SUM(I$2:I53)),0)</f>
        <v>33.706293605934555</v>
      </c>
      <c r="Z53" s="33">
        <f ca="1">IF(INDEX(Summary!$C$15:$C$25,MATCH(Z$1,Summary!$B$15:$B$25,0))="x",IF($A53=$A52,Z52,SUM(J$2:J53)),0)</f>
        <v>2.6929709900831185</v>
      </c>
      <c r="AA53" s="33">
        <f ca="1">IF(INDEX(Summary!$C$15:$C$25,MATCH(AA$1,Summary!$B$15:$B$25,0))="x",IF($A53=$A52,AA52,SUM(K$2:K53)),0)</f>
        <v>2.1088791087863119</v>
      </c>
      <c r="AB53" s="33">
        <f ca="1">IF(INDEX(Summary!$C$15:$C$25,MATCH(AB$1,Summary!$B$15:$B$25,0))="x",IF($A53=$A52,AB52,SUM(L$2:L53)),0)</f>
        <v>106.73175227815442</v>
      </c>
    </row>
    <row r="54" spans="1:28" x14ac:dyDescent="0.35">
      <c r="A54" s="5">
        <f t="shared" ca="1" si="0"/>
        <v>44311</v>
      </c>
      <c r="B54" s="33">
        <f ca="1">IF(INDEX(Summary!$C$15:$C$25,MATCH(B$1,Summary!$B$15:$B$25,0))="x",INDEX('Week Selection'!C$3:C$59,MATCH($A54,'Week Selection'!$A$3:$A$59,0)),0)</f>
        <v>0</v>
      </c>
      <c r="C54" s="33">
        <f ca="1">IF(INDEX(Summary!$C$15:$C$24,MATCH(C$1,Summary!$B$15:$B$24,0))="x",INDEX('Week Selection'!D$3:D$59,MATCH($A54,'Week Selection'!$A$3:$A$59,0)),0)</f>
        <v>0</v>
      </c>
      <c r="D54" s="33">
        <f ca="1">IF(INDEX(Summary!$C$15:$C$24,MATCH(D$1,Summary!$B$15:$B$24,0))="x",INDEX('Week Selection'!E$3:E$59,MATCH($A54,'Week Selection'!$A$3:$A$59,0)),0)</f>
        <v>1.748083597495659</v>
      </c>
      <c r="E54" s="33">
        <f ca="1">IF(INDEX(Summary!$C$15:$C$24,MATCH(E$1,Summary!$B$15:$B$24,0))="x",INDEX('Week Selection'!F$3:F$59,MATCH($A54,'Week Selection'!$A$3:$A$59,0)),0)</f>
        <v>2.8223655073890401</v>
      </c>
      <c r="F54" s="33">
        <f ca="1">IF(INDEX(Summary!$C$15:$C$24,MATCH(F$1,Summary!$B$15:$B$24,0))="x",INDEX('Week Selection'!G$3:G$59,MATCH($A54,'Week Selection'!$A$3:$A$59,0)),0)</f>
        <v>0.82527431862617928</v>
      </c>
      <c r="G54" s="33">
        <f ca="1">IF(INDEX(Summary!$C$15:$C$24,MATCH(G$1,Summary!$B$15:$B$24,0))="x",INDEX('Week Selection'!H$3:H$59,MATCH($A54,'Week Selection'!$A$3:$A$59,0)),0)</f>
        <v>0</v>
      </c>
      <c r="H54" s="33">
        <f ca="1">IF(INDEX(Summary!$C$15:$C$24,MATCH(H$1,Summary!$B$15:$B$24,0))="x",INDEX('Week Selection'!I$3:I$59,MATCH($A54,'Week Selection'!$A$3:$A$59,0)),0)</f>
        <v>7.4067881023645148</v>
      </c>
      <c r="I54" s="33">
        <f ca="1">IF(INDEX(Summary!$C$15:$C$24,MATCH(I$1,Summary!$B$15:$B$24,0))="x",INDEX('Week Selection'!J$3:J$59,MATCH($A54,'Week Selection'!$A$3:$A$59,0)),0)</f>
        <v>3.0632684748533494</v>
      </c>
      <c r="J54" s="33">
        <f ca="1">IF(INDEX(Summary!$C$15:$C$24,MATCH(J$1,Summary!$B$15:$B$24,0))="x",INDEX('Week Selection'!K$3:K$59,MATCH($A54,'Week Selection'!$A$3:$A$59,0)),0)</f>
        <v>0</v>
      </c>
      <c r="K54" s="33">
        <f ca="1">IF(INDEX(Summary!$C$15:$C$24,MATCH(K$1,Summary!$B$15:$B$24,0))="x",INDEX('Week Selection'!L$3:L$59,MATCH($A54,'Week Selection'!$A$3:$A$59,0)),0)</f>
        <v>2.1088791087863119</v>
      </c>
      <c r="L54" s="33">
        <f ca="1">IF(INDEX(Summary!$C$15:$C$25,MATCH(L$1,Summary!$B$15:$B$25,0))="x",INDEX('Week Selection'!M$3:M$59,MATCH($A54,'Week Selection'!$A$3:$A$59,0)),0)</f>
        <v>0</v>
      </c>
      <c r="M54" s="3"/>
      <c r="N54" s="7">
        <f ca="1">INDEX('Week Selection'!O$3:O$59,MATCH($A54,'Week Selection'!$A$3:$A$59,0))</f>
        <v>0.31447339215010439</v>
      </c>
      <c r="O54" s="7">
        <f ca="1">INDEX('Week Selection'!P$3:P$59,MATCH($A54,'Week Selection'!$A$3:$A$59,0))</f>
        <v>0.40566438780048486</v>
      </c>
      <c r="P54" s="7">
        <f ca="1">INDEX('Week Selection'!Q$3:Q$59,MATCH($A54,'Week Selection'!$A$3:$A$59,0))</f>
        <v>0.39943686910033449</v>
      </c>
      <c r="R54" s="33">
        <f ca="1">IF(INDEX(Summary!$C$15:$C$25,MATCH(R$1,Summary!$B$15:$B$25,0))="x",IF($A54=$A53,R53,SUM(B$2:B54)),0)</f>
        <v>40.243651161885559</v>
      </c>
      <c r="S54" s="33">
        <f ca="1">IF(INDEX(Summary!$C$15:$C$25,MATCH(S$1,Summary!$B$15:$B$25,0))="x",IF($A54=$A53,S53,SUM(C$2:C54)),0)</f>
        <v>100.60912790462605</v>
      </c>
      <c r="T54" s="33">
        <f ca="1">IF(INDEX(Summary!$C$15:$C$25,MATCH(T$1,Summary!$B$15:$B$25,0))="x",IF($A54=$A53,T53,SUM(D$2:D54)),0)</f>
        <v>155.04425549620117</v>
      </c>
      <c r="U54" s="33">
        <f ca="1">IF(INDEX(Summary!$C$15:$C$25,MATCH(U$1,Summary!$B$15:$B$25,0))="x",IF($A54=$A53,U53,SUM(E$2:E54)),0)</f>
        <v>415.39971827603136</v>
      </c>
      <c r="V54" s="33">
        <f ca="1">IF(INDEX(Summary!$C$15:$C$25,MATCH(V$1,Summary!$B$15:$B$25,0))="x",IF($A54=$A53,V53,SUM(F$2:F54)),0)</f>
        <v>93.580462440266857</v>
      </c>
      <c r="W54" s="33">
        <f ca="1">IF(INDEX(Summary!$C$15:$C$25,MATCH(W$1,Summary!$B$15:$B$25,0))="x",IF($A54=$A53,W53,SUM(G$2:G54)),0)</f>
        <v>364.97610019221014</v>
      </c>
      <c r="X54" s="33">
        <f ca="1">IF(INDEX(Summary!$C$15:$C$25,MATCH(X$1,Summary!$B$15:$B$25,0))="x",IF($A54=$A53,X53,SUM(H$2:H54)),0)</f>
        <v>239.51232564344795</v>
      </c>
      <c r="Y54" s="33">
        <f ca="1">IF(INDEX(Summary!$C$15:$C$25,MATCH(Y$1,Summary!$B$15:$B$25,0))="x",IF($A54=$A53,Y53,SUM(I$2:I54)),0)</f>
        <v>33.706293605934555</v>
      </c>
      <c r="Z54" s="33">
        <f ca="1">IF(INDEX(Summary!$C$15:$C$25,MATCH(Z$1,Summary!$B$15:$B$25,0))="x",IF($A54=$A53,Z53,SUM(J$2:J54)),0)</f>
        <v>2.6929709900831185</v>
      </c>
      <c r="AA54" s="33">
        <f ca="1">IF(INDEX(Summary!$C$15:$C$25,MATCH(AA$1,Summary!$B$15:$B$25,0))="x",IF($A54=$A53,AA53,SUM(K$2:K54)),0)</f>
        <v>2.1088791087863119</v>
      </c>
      <c r="AB54" s="33">
        <f ca="1">IF(INDEX(Summary!$C$15:$C$25,MATCH(AB$1,Summary!$B$15:$B$25,0))="x",IF($A54=$A53,AB53,SUM(L$2:L54)),0)</f>
        <v>106.73175227815442</v>
      </c>
    </row>
    <row r="55" spans="1:28" x14ac:dyDescent="0.35">
      <c r="A55" s="5">
        <f t="shared" ca="1" si="0"/>
        <v>44311</v>
      </c>
      <c r="B55" s="33">
        <f ca="1">IF(INDEX(Summary!$C$15:$C$25,MATCH(B$1,Summary!$B$15:$B$25,0))="x",INDEX('Week Selection'!C$3:C$59,MATCH($A55,'Week Selection'!$A$3:$A$59,0)),0)</f>
        <v>0</v>
      </c>
      <c r="C55" s="33">
        <f ca="1">IF(INDEX(Summary!$C$15:$C$24,MATCH(C$1,Summary!$B$15:$B$24,0))="x",INDEX('Week Selection'!D$3:D$59,MATCH($A55,'Week Selection'!$A$3:$A$59,0)),0)</f>
        <v>0</v>
      </c>
      <c r="D55" s="33">
        <f ca="1">IF(INDEX(Summary!$C$15:$C$24,MATCH(D$1,Summary!$B$15:$B$24,0))="x",INDEX('Week Selection'!E$3:E$59,MATCH($A55,'Week Selection'!$A$3:$A$59,0)),0)</f>
        <v>1.748083597495659</v>
      </c>
      <c r="E55" s="33">
        <f ca="1">IF(INDEX(Summary!$C$15:$C$24,MATCH(E$1,Summary!$B$15:$B$24,0))="x",INDEX('Week Selection'!F$3:F$59,MATCH($A55,'Week Selection'!$A$3:$A$59,0)),0)</f>
        <v>2.8223655073890401</v>
      </c>
      <c r="F55" s="33">
        <f ca="1">IF(INDEX(Summary!$C$15:$C$24,MATCH(F$1,Summary!$B$15:$B$24,0))="x",INDEX('Week Selection'!G$3:G$59,MATCH($A55,'Week Selection'!$A$3:$A$59,0)),0)</f>
        <v>0.82527431862617928</v>
      </c>
      <c r="G55" s="33">
        <f ca="1">IF(INDEX(Summary!$C$15:$C$24,MATCH(G$1,Summary!$B$15:$B$24,0))="x",INDEX('Week Selection'!H$3:H$59,MATCH($A55,'Week Selection'!$A$3:$A$59,0)),0)</f>
        <v>0</v>
      </c>
      <c r="H55" s="33">
        <f ca="1">IF(INDEX(Summary!$C$15:$C$24,MATCH(H$1,Summary!$B$15:$B$24,0))="x",INDEX('Week Selection'!I$3:I$59,MATCH($A55,'Week Selection'!$A$3:$A$59,0)),0)</f>
        <v>7.4067881023645148</v>
      </c>
      <c r="I55" s="33">
        <f ca="1">IF(INDEX(Summary!$C$15:$C$24,MATCH(I$1,Summary!$B$15:$B$24,0))="x",INDEX('Week Selection'!J$3:J$59,MATCH($A55,'Week Selection'!$A$3:$A$59,0)),0)</f>
        <v>3.0632684748533494</v>
      </c>
      <c r="J55" s="33">
        <f ca="1">IF(INDEX(Summary!$C$15:$C$24,MATCH(J$1,Summary!$B$15:$B$24,0))="x",INDEX('Week Selection'!K$3:K$59,MATCH($A55,'Week Selection'!$A$3:$A$59,0)),0)</f>
        <v>0</v>
      </c>
      <c r="K55" s="33">
        <f ca="1">IF(INDEX(Summary!$C$15:$C$24,MATCH(K$1,Summary!$B$15:$B$24,0))="x",INDEX('Week Selection'!L$3:L$59,MATCH($A55,'Week Selection'!$A$3:$A$59,0)),0)</f>
        <v>2.1088791087863119</v>
      </c>
      <c r="L55" s="33">
        <f ca="1">IF(INDEX(Summary!$C$15:$C$25,MATCH(L$1,Summary!$B$15:$B$25,0))="x",INDEX('Week Selection'!M$3:M$59,MATCH($A55,'Week Selection'!$A$3:$A$59,0)),0)</f>
        <v>0</v>
      </c>
      <c r="M55" s="3"/>
      <c r="N55" s="7">
        <f ca="1">INDEX('Week Selection'!O$3:O$59,MATCH($A55,'Week Selection'!$A$3:$A$59,0))</f>
        <v>0.31447339215010439</v>
      </c>
      <c r="O55" s="7">
        <f ca="1">INDEX('Week Selection'!P$3:P$59,MATCH($A55,'Week Selection'!$A$3:$A$59,0))</f>
        <v>0.40566438780048486</v>
      </c>
      <c r="P55" s="7">
        <f ca="1">INDEX('Week Selection'!Q$3:Q$59,MATCH($A55,'Week Selection'!$A$3:$A$59,0))</f>
        <v>0.39943686910033449</v>
      </c>
      <c r="R55" s="33">
        <f ca="1">IF(INDEX(Summary!$C$15:$C$25,MATCH(R$1,Summary!$B$15:$B$25,0))="x",IF($A55=$A54,R54,SUM(B$2:B55)),0)</f>
        <v>40.243651161885559</v>
      </c>
      <c r="S55" s="33">
        <f ca="1">IF(INDEX(Summary!$C$15:$C$25,MATCH(S$1,Summary!$B$15:$B$25,0))="x",IF($A55=$A54,S54,SUM(C$2:C55)),0)</f>
        <v>100.60912790462605</v>
      </c>
      <c r="T55" s="33">
        <f ca="1">IF(INDEX(Summary!$C$15:$C$25,MATCH(T$1,Summary!$B$15:$B$25,0))="x",IF($A55=$A54,T54,SUM(D$2:D55)),0)</f>
        <v>155.04425549620117</v>
      </c>
      <c r="U55" s="33">
        <f ca="1">IF(INDEX(Summary!$C$15:$C$25,MATCH(U$1,Summary!$B$15:$B$25,0))="x",IF($A55=$A54,U54,SUM(E$2:E55)),0)</f>
        <v>415.39971827603136</v>
      </c>
      <c r="V55" s="33">
        <f ca="1">IF(INDEX(Summary!$C$15:$C$25,MATCH(V$1,Summary!$B$15:$B$25,0))="x",IF($A55=$A54,V54,SUM(F$2:F55)),0)</f>
        <v>93.580462440266857</v>
      </c>
      <c r="W55" s="33">
        <f ca="1">IF(INDEX(Summary!$C$15:$C$25,MATCH(W$1,Summary!$B$15:$B$25,0))="x",IF($A55=$A54,W54,SUM(G$2:G55)),0)</f>
        <v>364.97610019221014</v>
      </c>
      <c r="X55" s="33">
        <f ca="1">IF(INDEX(Summary!$C$15:$C$25,MATCH(X$1,Summary!$B$15:$B$25,0))="x",IF($A55=$A54,X54,SUM(H$2:H55)),0)</f>
        <v>239.51232564344795</v>
      </c>
      <c r="Y55" s="33">
        <f ca="1">IF(INDEX(Summary!$C$15:$C$25,MATCH(Y$1,Summary!$B$15:$B$25,0))="x",IF($A55=$A54,Y54,SUM(I$2:I55)),0)</f>
        <v>33.706293605934555</v>
      </c>
      <c r="Z55" s="33">
        <f ca="1">IF(INDEX(Summary!$C$15:$C$25,MATCH(Z$1,Summary!$B$15:$B$25,0))="x",IF($A55=$A54,Z54,SUM(J$2:J55)),0)</f>
        <v>2.6929709900831185</v>
      </c>
      <c r="AA55" s="33">
        <f ca="1">IF(INDEX(Summary!$C$15:$C$25,MATCH(AA$1,Summary!$B$15:$B$25,0))="x",IF($A55=$A54,AA54,SUM(K$2:K55)),0)</f>
        <v>2.1088791087863119</v>
      </c>
      <c r="AB55" s="33">
        <f ca="1">IF(INDEX(Summary!$C$15:$C$25,MATCH(AB$1,Summary!$B$15:$B$25,0))="x",IF($A55=$A54,AB54,SUM(L$2:L55)),0)</f>
        <v>106.73175227815442</v>
      </c>
    </row>
    <row r="56" spans="1:28" x14ac:dyDescent="0.35">
      <c r="A56" s="5">
        <f t="shared" ca="1" si="0"/>
        <v>44311</v>
      </c>
      <c r="B56" s="33">
        <f ca="1">IF(INDEX(Summary!$C$15:$C$25,MATCH(B$1,Summary!$B$15:$B$25,0))="x",INDEX('Week Selection'!C$3:C$59,MATCH($A56,'Week Selection'!$A$3:$A$59,0)),0)</f>
        <v>0</v>
      </c>
      <c r="C56" s="33">
        <f ca="1">IF(INDEX(Summary!$C$15:$C$24,MATCH(C$1,Summary!$B$15:$B$24,0))="x",INDEX('Week Selection'!D$3:D$59,MATCH($A56,'Week Selection'!$A$3:$A$59,0)),0)</f>
        <v>0</v>
      </c>
      <c r="D56" s="33">
        <f ca="1">IF(INDEX(Summary!$C$15:$C$24,MATCH(D$1,Summary!$B$15:$B$24,0))="x",INDEX('Week Selection'!E$3:E$59,MATCH($A56,'Week Selection'!$A$3:$A$59,0)),0)</f>
        <v>1.748083597495659</v>
      </c>
      <c r="E56" s="33">
        <f ca="1">IF(INDEX(Summary!$C$15:$C$24,MATCH(E$1,Summary!$B$15:$B$24,0))="x",INDEX('Week Selection'!F$3:F$59,MATCH($A56,'Week Selection'!$A$3:$A$59,0)),0)</f>
        <v>2.8223655073890401</v>
      </c>
      <c r="F56" s="33">
        <f ca="1">IF(INDEX(Summary!$C$15:$C$24,MATCH(F$1,Summary!$B$15:$B$24,0))="x",INDEX('Week Selection'!G$3:G$59,MATCH($A56,'Week Selection'!$A$3:$A$59,0)),0)</f>
        <v>0.82527431862617928</v>
      </c>
      <c r="G56" s="33">
        <f ca="1">IF(INDEX(Summary!$C$15:$C$24,MATCH(G$1,Summary!$B$15:$B$24,0))="x",INDEX('Week Selection'!H$3:H$59,MATCH($A56,'Week Selection'!$A$3:$A$59,0)),0)</f>
        <v>0</v>
      </c>
      <c r="H56" s="33">
        <f ca="1">IF(INDEX(Summary!$C$15:$C$24,MATCH(H$1,Summary!$B$15:$B$24,0))="x",INDEX('Week Selection'!I$3:I$59,MATCH($A56,'Week Selection'!$A$3:$A$59,0)),0)</f>
        <v>7.4067881023645148</v>
      </c>
      <c r="I56" s="33">
        <f ca="1">IF(INDEX(Summary!$C$15:$C$24,MATCH(I$1,Summary!$B$15:$B$24,0))="x",INDEX('Week Selection'!J$3:J$59,MATCH($A56,'Week Selection'!$A$3:$A$59,0)),0)</f>
        <v>3.0632684748533494</v>
      </c>
      <c r="J56" s="33">
        <f ca="1">IF(INDEX(Summary!$C$15:$C$24,MATCH(J$1,Summary!$B$15:$B$24,0))="x",INDEX('Week Selection'!K$3:K$59,MATCH($A56,'Week Selection'!$A$3:$A$59,0)),0)</f>
        <v>0</v>
      </c>
      <c r="K56" s="33">
        <f ca="1">IF(INDEX(Summary!$C$15:$C$24,MATCH(K$1,Summary!$B$15:$B$24,0))="x",INDEX('Week Selection'!L$3:L$59,MATCH($A56,'Week Selection'!$A$3:$A$59,0)),0)</f>
        <v>2.1088791087863119</v>
      </c>
      <c r="L56" s="33">
        <f ca="1">IF(INDEX(Summary!$C$15:$C$25,MATCH(L$1,Summary!$B$15:$B$25,0))="x",INDEX('Week Selection'!M$3:M$59,MATCH($A56,'Week Selection'!$A$3:$A$59,0)),0)</f>
        <v>0</v>
      </c>
      <c r="M56" s="3"/>
      <c r="N56" s="7">
        <f ca="1">INDEX('Week Selection'!O$3:O$59,MATCH($A56,'Week Selection'!$A$3:$A$59,0))</f>
        <v>0.31447339215010439</v>
      </c>
      <c r="O56" s="7">
        <f ca="1">INDEX('Week Selection'!P$3:P$59,MATCH($A56,'Week Selection'!$A$3:$A$59,0))</f>
        <v>0.40566438780048486</v>
      </c>
      <c r="P56" s="7">
        <f ca="1">INDEX('Week Selection'!Q$3:Q$59,MATCH($A56,'Week Selection'!$A$3:$A$59,0))</f>
        <v>0.39943686910033449</v>
      </c>
      <c r="R56" s="33">
        <f ca="1">IF(INDEX(Summary!$C$15:$C$25,MATCH(R$1,Summary!$B$15:$B$25,0))="x",IF($A56=$A55,R55,SUM(B$2:B56)),0)</f>
        <v>40.243651161885559</v>
      </c>
      <c r="S56" s="33">
        <f ca="1">IF(INDEX(Summary!$C$15:$C$25,MATCH(S$1,Summary!$B$15:$B$25,0))="x",IF($A56=$A55,S55,SUM(C$2:C56)),0)</f>
        <v>100.60912790462605</v>
      </c>
      <c r="T56" s="33">
        <f ca="1">IF(INDEX(Summary!$C$15:$C$25,MATCH(T$1,Summary!$B$15:$B$25,0))="x",IF($A56=$A55,T55,SUM(D$2:D56)),0)</f>
        <v>155.04425549620117</v>
      </c>
      <c r="U56" s="33">
        <f ca="1">IF(INDEX(Summary!$C$15:$C$25,MATCH(U$1,Summary!$B$15:$B$25,0))="x",IF($A56=$A55,U55,SUM(E$2:E56)),0)</f>
        <v>415.39971827603136</v>
      </c>
      <c r="V56" s="33">
        <f ca="1">IF(INDEX(Summary!$C$15:$C$25,MATCH(V$1,Summary!$B$15:$B$25,0))="x",IF($A56=$A55,V55,SUM(F$2:F56)),0)</f>
        <v>93.580462440266857</v>
      </c>
      <c r="W56" s="33">
        <f ca="1">IF(INDEX(Summary!$C$15:$C$25,MATCH(W$1,Summary!$B$15:$B$25,0))="x",IF($A56=$A55,W55,SUM(G$2:G56)),0)</f>
        <v>364.97610019221014</v>
      </c>
      <c r="X56" s="33">
        <f ca="1">IF(INDEX(Summary!$C$15:$C$25,MATCH(X$1,Summary!$B$15:$B$25,0))="x",IF($A56=$A55,X55,SUM(H$2:H56)),0)</f>
        <v>239.51232564344795</v>
      </c>
      <c r="Y56" s="33">
        <f ca="1">IF(INDEX(Summary!$C$15:$C$25,MATCH(Y$1,Summary!$B$15:$B$25,0))="x",IF($A56=$A55,Y55,SUM(I$2:I56)),0)</f>
        <v>33.706293605934555</v>
      </c>
      <c r="Z56" s="33">
        <f ca="1">IF(INDEX(Summary!$C$15:$C$25,MATCH(Z$1,Summary!$B$15:$B$25,0))="x",IF($A56=$A55,Z55,SUM(J$2:J56)),0)</f>
        <v>2.6929709900831185</v>
      </c>
      <c r="AA56" s="33">
        <f ca="1">IF(INDEX(Summary!$C$15:$C$25,MATCH(AA$1,Summary!$B$15:$B$25,0))="x",IF($A56=$A55,AA55,SUM(K$2:K56)),0)</f>
        <v>2.1088791087863119</v>
      </c>
      <c r="AB56" s="33">
        <f ca="1">IF(INDEX(Summary!$C$15:$C$25,MATCH(AB$1,Summary!$B$15:$B$25,0))="x",IF($A56=$A55,AB55,SUM(L$2:L56)),0)</f>
        <v>106.73175227815442</v>
      </c>
    </row>
    <row r="57" spans="1:28" x14ac:dyDescent="0.35">
      <c r="A57" s="5">
        <f t="shared" ca="1" si="0"/>
        <v>44311</v>
      </c>
      <c r="B57" s="33">
        <f ca="1">IF(INDEX(Summary!$C$15:$C$25,MATCH(B$1,Summary!$B$15:$B$25,0))="x",INDEX('Week Selection'!C$3:C$59,MATCH($A57,'Week Selection'!$A$3:$A$59,0)),0)</f>
        <v>0</v>
      </c>
      <c r="C57" s="33">
        <f ca="1">IF(INDEX(Summary!$C$15:$C$24,MATCH(C$1,Summary!$B$15:$B$24,0))="x",INDEX('Week Selection'!D$3:D$59,MATCH($A57,'Week Selection'!$A$3:$A$59,0)),0)</f>
        <v>0</v>
      </c>
      <c r="D57" s="33">
        <f ca="1">IF(INDEX(Summary!$C$15:$C$24,MATCH(D$1,Summary!$B$15:$B$24,0))="x",INDEX('Week Selection'!E$3:E$59,MATCH($A57,'Week Selection'!$A$3:$A$59,0)),0)</f>
        <v>1.748083597495659</v>
      </c>
      <c r="E57" s="33">
        <f ca="1">IF(INDEX(Summary!$C$15:$C$24,MATCH(E$1,Summary!$B$15:$B$24,0))="x",INDEX('Week Selection'!F$3:F$59,MATCH($A57,'Week Selection'!$A$3:$A$59,0)),0)</f>
        <v>2.8223655073890401</v>
      </c>
      <c r="F57" s="33">
        <f ca="1">IF(INDEX(Summary!$C$15:$C$24,MATCH(F$1,Summary!$B$15:$B$24,0))="x",INDEX('Week Selection'!G$3:G$59,MATCH($A57,'Week Selection'!$A$3:$A$59,0)),0)</f>
        <v>0.82527431862617928</v>
      </c>
      <c r="G57" s="33">
        <f ca="1">IF(INDEX(Summary!$C$15:$C$24,MATCH(G$1,Summary!$B$15:$B$24,0))="x",INDEX('Week Selection'!H$3:H$59,MATCH($A57,'Week Selection'!$A$3:$A$59,0)),0)</f>
        <v>0</v>
      </c>
      <c r="H57" s="33">
        <f ca="1">IF(INDEX(Summary!$C$15:$C$24,MATCH(H$1,Summary!$B$15:$B$24,0))="x",INDEX('Week Selection'!I$3:I$59,MATCH($A57,'Week Selection'!$A$3:$A$59,0)),0)</f>
        <v>7.4067881023645148</v>
      </c>
      <c r="I57" s="33">
        <f ca="1">IF(INDEX(Summary!$C$15:$C$24,MATCH(I$1,Summary!$B$15:$B$24,0))="x",INDEX('Week Selection'!J$3:J$59,MATCH($A57,'Week Selection'!$A$3:$A$59,0)),0)</f>
        <v>3.0632684748533494</v>
      </c>
      <c r="J57" s="33">
        <f ca="1">IF(INDEX(Summary!$C$15:$C$24,MATCH(J$1,Summary!$B$15:$B$24,0))="x",INDEX('Week Selection'!K$3:K$59,MATCH($A57,'Week Selection'!$A$3:$A$59,0)),0)</f>
        <v>0</v>
      </c>
      <c r="K57" s="33">
        <f ca="1">IF(INDEX(Summary!$C$15:$C$24,MATCH(K$1,Summary!$B$15:$B$24,0))="x",INDEX('Week Selection'!L$3:L$59,MATCH($A57,'Week Selection'!$A$3:$A$59,0)),0)</f>
        <v>2.1088791087863119</v>
      </c>
      <c r="L57" s="33">
        <f ca="1">IF(INDEX(Summary!$C$15:$C$25,MATCH(L$1,Summary!$B$15:$B$25,0))="x",INDEX('Week Selection'!M$3:M$59,MATCH($A57,'Week Selection'!$A$3:$A$59,0)),0)</f>
        <v>0</v>
      </c>
      <c r="M57" s="3"/>
      <c r="N57" s="7">
        <f ca="1">INDEX('Week Selection'!O$3:O$59,MATCH($A57,'Week Selection'!$A$3:$A$59,0))</f>
        <v>0.31447339215010439</v>
      </c>
      <c r="O57" s="7">
        <f ca="1">INDEX('Week Selection'!P$3:P$59,MATCH($A57,'Week Selection'!$A$3:$A$59,0))</f>
        <v>0.40566438780048486</v>
      </c>
      <c r="P57" s="7">
        <f ca="1">INDEX('Week Selection'!Q$3:Q$59,MATCH($A57,'Week Selection'!$A$3:$A$59,0))</f>
        <v>0.39943686910033449</v>
      </c>
      <c r="R57" s="33">
        <f ca="1">IF(INDEX(Summary!$C$15:$C$25,MATCH(R$1,Summary!$B$15:$B$25,0))="x",IF($A57=$A56,R56,SUM(B$2:B57)),0)</f>
        <v>40.243651161885559</v>
      </c>
      <c r="S57" s="33">
        <f ca="1">IF(INDEX(Summary!$C$15:$C$25,MATCH(S$1,Summary!$B$15:$B$25,0))="x",IF($A57=$A56,S56,SUM(C$2:C57)),0)</f>
        <v>100.60912790462605</v>
      </c>
      <c r="T57" s="33">
        <f ca="1">IF(INDEX(Summary!$C$15:$C$25,MATCH(T$1,Summary!$B$15:$B$25,0))="x",IF($A57=$A56,T56,SUM(D$2:D57)),0)</f>
        <v>155.04425549620117</v>
      </c>
      <c r="U57" s="33">
        <f ca="1">IF(INDEX(Summary!$C$15:$C$25,MATCH(U$1,Summary!$B$15:$B$25,0))="x",IF($A57=$A56,U56,SUM(E$2:E57)),0)</f>
        <v>415.39971827603136</v>
      </c>
      <c r="V57" s="33">
        <f ca="1">IF(INDEX(Summary!$C$15:$C$25,MATCH(V$1,Summary!$B$15:$B$25,0))="x",IF($A57=$A56,V56,SUM(F$2:F57)),0)</f>
        <v>93.580462440266857</v>
      </c>
      <c r="W57" s="33">
        <f ca="1">IF(INDEX(Summary!$C$15:$C$25,MATCH(W$1,Summary!$B$15:$B$25,0))="x",IF($A57=$A56,W56,SUM(G$2:G57)),0)</f>
        <v>364.97610019221014</v>
      </c>
      <c r="X57" s="33">
        <f ca="1">IF(INDEX(Summary!$C$15:$C$25,MATCH(X$1,Summary!$B$15:$B$25,0))="x",IF($A57=$A56,X56,SUM(H$2:H57)),0)</f>
        <v>239.51232564344795</v>
      </c>
      <c r="Y57" s="33">
        <f ca="1">IF(INDEX(Summary!$C$15:$C$25,MATCH(Y$1,Summary!$B$15:$B$25,0))="x",IF($A57=$A56,Y56,SUM(I$2:I57)),0)</f>
        <v>33.706293605934555</v>
      </c>
      <c r="Z57" s="33">
        <f ca="1">IF(INDEX(Summary!$C$15:$C$25,MATCH(Z$1,Summary!$B$15:$B$25,0))="x",IF($A57=$A56,Z56,SUM(J$2:J57)),0)</f>
        <v>2.6929709900831185</v>
      </c>
      <c r="AA57" s="33">
        <f ca="1">IF(INDEX(Summary!$C$15:$C$25,MATCH(AA$1,Summary!$B$15:$B$25,0))="x",IF($A57=$A56,AA56,SUM(K$2:K57)),0)</f>
        <v>2.1088791087863119</v>
      </c>
      <c r="AB57" s="33">
        <f ca="1">IF(INDEX(Summary!$C$15:$C$25,MATCH(AB$1,Summary!$B$15:$B$25,0))="x",IF($A57=$A56,AB56,SUM(L$2:L57)),0)</f>
        <v>106.73175227815442</v>
      </c>
    </row>
    <row r="58" spans="1:28" x14ac:dyDescent="0.35">
      <c r="A58" s="5">
        <f t="shared" ca="1" si="0"/>
        <v>44311</v>
      </c>
      <c r="B58" s="33">
        <f ca="1">IF(INDEX(Summary!$C$15:$C$25,MATCH(B$1,Summary!$B$15:$B$25,0))="x",INDEX('Week Selection'!C$3:C$59,MATCH($A58,'Week Selection'!$A$3:$A$59,0)),0)</f>
        <v>0</v>
      </c>
      <c r="C58" s="33">
        <f ca="1">IF(INDEX(Summary!$C$15:$C$24,MATCH(C$1,Summary!$B$15:$B$24,0))="x",INDEX('Week Selection'!D$3:D$59,MATCH($A58,'Week Selection'!$A$3:$A$59,0)),0)</f>
        <v>0</v>
      </c>
      <c r="D58" s="33">
        <f ca="1">IF(INDEX(Summary!$C$15:$C$24,MATCH(D$1,Summary!$B$15:$B$24,0))="x",INDEX('Week Selection'!E$3:E$59,MATCH($A58,'Week Selection'!$A$3:$A$59,0)),0)</f>
        <v>1.748083597495659</v>
      </c>
      <c r="E58" s="33">
        <f ca="1">IF(INDEX(Summary!$C$15:$C$24,MATCH(E$1,Summary!$B$15:$B$24,0))="x",INDEX('Week Selection'!F$3:F$59,MATCH($A58,'Week Selection'!$A$3:$A$59,0)),0)</f>
        <v>2.8223655073890401</v>
      </c>
      <c r="F58" s="33">
        <f ca="1">IF(INDEX(Summary!$C$15:$C$24,MATCH(F$1,Summary!$B$15:$B$24,0))="x",INDEX('Week Selection'!G$3:G$59,MATCH($A58,'Week Selection'!$A$3:$A$59,0)),0)</f>
        <v>0.82527431862617928</v>
      </c>
      <c r="G58" s="33">
        <f ca="1">IF(INDEX(Summary!$C$15:$C$24,MATCH(G$1,Summary!$B$15:$B$24,0))="x",INDEX('Week Selection'!H$3:H$59,MATCH($A58,'Week Selection'!$A$3:$A$59,0)),0)</f>
        <v>0</v>
      </c>
      <c r="H58" s="33">
        <f ca="1">IF(INDEX(Summary!$C$15:$C$24,MATCH(H$1,Summary!$B$15:$B$24,0))="x",INDEX('Week Selection'!I$3:I$59,MATCH($A58,'Week Selection'!$A$3:$A$59,0)),0)</f>
        <v>7.4067881023645148</v>
      </c>
      <c r="I58" s="33">
        <f ca="1">IF(INDEX(Summary!$C$15:$C$24,MATCH(I$1,Summary!$B$15:$B$24,0))="x",INDEX('Week Selection'!J$3:J$59,MATCH($A58,'Week Selection'!$A$3:$A$59,0)),0)</f>
        <v>3.0632684748533494</v>
      </c>
      <c r="J58" s="33">
        <f ca="1">IF(INDEX(Summary!$C$15:$C$24,MATCH(J$1,Summary!$B$15:$B$24,0))="x",INDEX('Week Selection'!K$3:K$59,MATCH($A58,'Week Selection'!$A$3:$A$59,0)),0)</f>
        <v>0</v>
      </c>
      <c r="K58" s="33">
        <f ca="1">IF(INDEX(Summary!$C$15:$C$24,MATCH(K$1,Summary!$B$15:$B$24,0))="x",INDEX('Week Selection'!L$3:L$59,MATCH($A58,'Week Selection'!$A$3:$A$59,0)),0)</f>
        <v>2.1088791087863119</v>
      </c>
      <c r="L58" s="33">
        <f ca="1">IF(INDEX(Summary!$C$15:$C$25,MATCH(L$1,Summary!$B$15:$B$25,0))="x",INDEX('Week Selection'!M$3:M$59,MATCH($A58,'Week Selection'!$A$3:$A$59,0)),0)</f>
        <v>0</v>
      </c>
      <c r="M58" s="3"/>
      <c r="N58" s="7">
        <f ca="1">INDEX('Week Selection'!O$3:O$59,MATCH($A58,'Week Selection'!$A$3:$A$59,0))</f>
        <v>0.31447339215010439</v>
      </c>
      <c r="O58" s="7">
        <f ca="1">INDEX('Week Selection'!P$3:P$59,MATCH($A58,'Week Selection'!$A$3:$A$59,0))</f>
        <v>0.40566438780048486</v>
      </c>
      <c r="P58" s="7">
        <f ca="1">INDEX('Week Selection'!Q$3:Q$59,MATCH($A58,'Week Selection'!$A$3:$A$59,0))</f>
        <v>0.39943686910033449</v>
      </c>
      <c r="T58" s="3">
        <f ca="1">IF(A58=A57,T57,SUM(D$2:D58))</f>
        <v>155.04425549620117</v>
      </c>
      <c r="U58" s="3">
        <f ca="1">IF(D58=D57,U57,SUM(E$2:E58))</f>
        <v>415.39971827603136</v>
      </c>
      <c r="V58" s="3"/>
      <c r="W58" s="3"/>
      <c r="X58" s="3">
        <f ca="1">IF(E58=E57,X57,SUM(H$2:H58))</f>
        <v>239.51232564344795</v>
      </c>
      <c r="Y58" s="3">
        <f ca="1">IF(H58=H57,Y57,SUM(I$2:I58))</f>
        <v>33.706293605934555</v>
      </c>
      <c r="Z58" s="3">
        <f ca="1">IF(I58=I57,Z57,SUM(J$2:J58))</f>
        <v>2.6929709900831185</v>
      </c>
    </row>
    <row r="59" spans="1:28" x14ac:dyDescent="0.35">
      <c r="D59" s="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0C9FB-FF6B-4D12-8C75-9823FFD880AD}">
  <sheetPr codeName="Sheet7">
    <pageSetUpPr autoPageBreaks="0"/>
  </sheetPr>
  <dimension ref="A1:C9"/>
  <sheetViews>
    <sheetView zoomScale="60" zoomScaleNormal="60" workbookViewId="0">
      <selection activeCell="B3" sqref="B3"/>
    </sheetView>
  </sheetViews>
  <sheetFormatPr defaultRowHeight="14.5" x14ac:dyDescent="0.35"/>
  <cols>
    <col min="1" max="1" width="20.26953125" bestFit="1" customWidth="1"/>
    <col min="2" max="2" width="20" bestFit="1" customWidth="1"/>
    <col min="3" max="3" width="11" bestFit="1" customWidth="1"/>
  </cols>
  <sheetData>
    <row r="1" spans="1:3" x14ac:dyDescent="0.35">
      <c r="A1" t="s">
        <v>74</v>
      </c>
      <c r="B1" t="s">
        <v>75</v>
      </c>
      <c r="C1" t="s">
        <v>17</v>
      </c>
    </row>
    <row r="2" spans="1:3" x14ac:dyDescent="0.35">
      <c r="A2" s="35" t="s">
        <v>76</v>
      </c>
      <c r="B2" s="35" t="s">
        <v>24</v>
      </c>
      <c r="C2" s="34">
        <v>44197</v>
      </c>
    </row>
    <row r="3" spans="1:3" x14ac:dyDescent="0.35">
      <c r="A3" s="35" t="s">
        <v>77</v>
      </c>
      <c r="B3" s="35" t="s">
        <v>20</v>
      </c>
      <c r="C3" s="34">
        <v>44347</v>
      </c>
    </row>
    <row r="4" spans="1:3" ht="29" x14ac:dyDescent="0.35">
      <c r="A4" s="36" t="s">
        <v>78</v>
      </c>
      <c r="B4" s="35" t="s">
        <v>20</v>
      </c>
      <c r="C4" s="34">
        <v>44382</v>
      </c>
    </row>
    <row r="5" spans="1:3" x14ac:dyDescent="0.35">
      <c r="A5" s="35" t="s">
        <v>79</v>
      </c>
      <c r="B5" s="35" t="s">
        <v>20</v>
      </c>
      <c r="C5" s="34">
        <v>44445</v>
      </c>
    </row>
    <row r="6" spans="1:3" x14ac:dyDescent="0.35">
      <c r="A6" s="35" t="s">
        <v>80</v>
      </c>
      <c r="B6" s="35" t="s">
        <v>23</v>
      </c>
      <c r="C6" s="34">
        <v>44525</v>
      </c>
    </row>
    <row r="7" spans="1:3" x14ac:dyDescent="0.35">
      <c r="A7" s="35" t="s">
        <v>81</v>
      </c>
      <c r="B7" s="35" t="s">
        <v>24</v>
      </c>
      <c r="C7" s="34">
        <v>44526</v>
      </c>
    </row>
    <row r="8" spans="1:3" ht="29" x14ac:dyDescent="0.35">
      <c r="A8" s="36" t="s">
        <v>82</v>
      </c>
      <c r="B8" s="35" t="s">
        <v>23</v>
      </c>
      <c r="C8" s="34">
        <v>44553</v>
      </c>
    </row>
    <row r="9" spans="1:3" ht="29" x14ac:dyDescent="0.35">
      <c r="A9" s="36" t="s">
        <v>83</v>
      </c>
      <c r="B9" s="35" t="s">
        <v>24</v>
      </c>
      <c r="C9" s="34">
        <v>44554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Tracker</vt:lpstr>
      <vt:lpstr>Projects</vt:lpstr>
      <vt:lpstr>Charge Codes</vt:lpstr>
      <vt:lpstr>Week Selection</vt:lpstr>
      <vt:lpstr>Report Out Chart</vt:lpstr>
      <vt:lpstr>2021 Holiday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Rieke, Mark (PG DR GS UOG)</dc:creator>
  <cp:lastModifiedBy>Rieke, Mark (PG DR GS UOG)</cp:lastModifiedBy>
  <dcterms:created xsi:type="dcterms:W3CDTF">2020-10-05T12:51:54Z</dcterms:created>
  <dcterms:modified xsi:type="dcterms:W3CDTF">2021-04-27T21:57:02Z</dcterms:modified>
</cp:coreProperties>
</file>